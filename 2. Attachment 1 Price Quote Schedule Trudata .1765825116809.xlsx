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H:\Acquisition Management\SPhillips Team\Kyle\FY 2026\426Q000006   TruData Modernization IT Support\5. Solicitation\a. Solicitation- RFQ and Amendments\"/>
    </mc:Choice>
  </mc:AlternateContent>
  <xr:revisionPtr revIDLastSave="0" documentId="14_{52902EBB-4A77-44B5-83EF-11430453E254}" xr6:coauthVersionLast="47" xr6:coauthVersionMax="47" xr10:uidLastSave="{00000000-0000-0000-0000-000000000000}"/>
  <bookViews>
    <workbookView xWindow="-110" yWindow="-110" windowWidth="19420" windowHeight="10300" xr2:uid="{28EC7EDE-82E8-4F3F-AE1A-F898EE7B8ABF}"/>
  </bookViews>
  <sheets>
    <sheet name="Price Schedule Summary" sheetId="1" r:id="rId1"/>
    <sheet name="Detailed FFP Breakdown" sheetId="6" r:id="rId2"/>
    <sheet name="Assumptions" sheetId="5"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1" i="6" l="1"/>
  <c r="D50" i="6"/>
  <c r="D49" i="6"/>
  <c r="D48" i="6"/>
  <c r="D38" i="6"/>
  <c r="D37" i="6"/>
  <c r="D36" i="6"/>
  <c r="D35" i="6"/>
  <c r="D25" i="6"/>
  <c r="D24" i="6"/>
  <c r="D23" i="6"/>
  <c r="D22" i="6"/>
  <c r="D21" i="6"/>
  <c r="D12" i="6"/>
  <c r="D11" i="6"/>
  <c r="D10" i="6"/>
  <c r="D9" i="6"/>
  <c r="D8" i="6"/>
</calcChain>
</file>

<file path=xl/sharedStrings.xml><?xml version="1.0" encoding="utf-8"?>
<sst xmlns="http://schemas.openxmlformats.org/spreadsheetml/2006/main" count="114" uniqueCount="45">
  <si>
    <t>CLIN</t>
  </si>
  <si>
    <t xml:space="preserve">Description </t>
  </si>
  <si>
    <t xml:space="preserve">Unit Price </t>
  </si>
  <si>
    <t xml:space="preserve">Total Price </t>
  </si>
  <si>
    <t>00001</t>
  </si>
  <si>
    <t>$</t>
  </si>
  <si>
    <t xml:space="preserve">Assumptions </t>
  </si>
  <si>
    <t>Period of Performance (POP)</t>
  </si>
  <si>
    <t xml:space="preserve">Base Period   </t>
  </si>
  <si>
    <t xml:space="preserve"> </t>
  </si>
  <si>
    <t>Unit /  Mo</t>
  </si>
  <si>
    <t>*The Government anticipates awarding a Firm Fixed Price (FFP) Task Order</t>
  </si>
  <si>
    <t xml:space="preserve">* Complete the Detailed Break Down Page and Assumptions </t>
  </si>
  <si>
    <t xml:space="preserve">12 Mo. </t>
  </si>
  <si>
    <t>Rate</t>
  </si>
  <si>
    <t xml:space="preserve">        </t>
  </si>
  <si>
    <t xml:space="preserve">Total </t>
  </si>
  <si>
    <t>Total for All Task Requirements</t>
  </si>
  <si>
    <t xml:space="preserve">                                                                                     Detailed Firm Fixed Price (FFP) Breakdown  </t>
  </si>
  <si>
    <t>Est. Hours</t>
  </si>
  <si>
    <t xml:space="preserve"> $</t>
  </si>
  <si>
    <t xml:space="preserve">12 Month POP Total Price  </t>
  </si>
  <si>
    <t>LABOR CATEGORY</t>
  </si>
  <si>
    <t>*THE ALLOCATED HOURS AND LABOR CATEGORIES ARE FOR ESTIMATING PURPOSES ONLY. THE CONTRACTOR MAY ADJUST TO CONFORM WITH THE TECHNCIAL APPROACH AND THE PWS SUBMITTED IN RESPONSE TO THIS RFQ.</t>
  </si>
  <si>
    <t xml:space="preserve">The contractor shall provide the Amazon Web Services (AWS) native technology stack to continue the implementation of the new data platform for FMCSA. The technology set includes but is not limited to: Amazon Redshift, Data Pipeline, AWS Data Exchange, AWS Lake Formation, AWS Glue, Kinesis, DynamoDB, and S3. as detailed in the Statement of Objectives (SOO) (Attachment 2).   </t>
  </si>
  <si>
    <t>Quality Assurance Analyst</t>
  </si>
  <si>
    <t xml:space="preserve">Attachment 1 -Price Quote Schedule Trudata IT Support </t>
  </si>
  <si>
    <t>Project Manager - Senior</t>
  </si>
  <si>
    <t>Business Analyst - Intermediate</t>
  </si>
  <si>
    <t>Database Developer - Intermediate</t>
  </si>
  <si>
    <t>Database Developer - Senior</t>
  </si>
  <si>
    <t>Base Period - IT Support  Support Services</t>
  </si>
  <si>
    <t>Option Period 1 - IT Support  Support Services</t>
  </si>
  <si>
    <t>Option Period 2 - IT Support  Support Services</t>
  </si>
  <si>
    <t>Option Period 3 - IT Support  Support Services</t>
  </si>
  <si>
    <t xml:space="preserve"># of FTE </t>
  </si>
  <si>
    <t># of FTE</t>
  </si>
  <si>
    <t xml:space="preserve">Total Price  48 Months </t>
  </si>
  <si>
    <r>
      <t>Option Year 3 -</t>
    </r>
    <r>
      <rPr>
        <sz val="11"/>
        <color theme="1"/>
        <rFont val="Calibri"/>
        <family val="2"/>
        <scheme val="minor"/>
      </rPr>
      <t xml:space="preserve"> The contractor shall provide the Amazon Web Services (AWS) native technology stack to continue the implementation of the new data platform for FMCSA. The technology set includes but is not limited to: Amazon Redshift, Data Pipeline, AWS Data Exchange, AWS Lake Formation, AWS Glue, Kinesis, DynamoDB, and S3. as detailed in the Statement of Objectives (SOO) (Attachment 2).   </t>
    </r>
  </si>
  <si>
    <r>
      <t xml:space="preserve">Option year 2 -  </t>
    </r>
    <r>
      <rPr>
        <sz val="11"/>
        <color theme="1"/>
        <rFont val="Calibri"/>
        <family val="2"/>
        <scheme val="minor"/>
      </rPr>
      <t xml:space="preserve">The contractor shall provide the Amazon Web Services (AWS) native technology stack to continue the implementation of the new data platform for FMCSA. The technology set includes but is not limited to: Amazon Redshift, Data Pipeline, AWS Data Exchange, AWS Lake Formation, AWS Glue, Kinesis, DynamoDB, and S3. as detailed in the Statement of Objectives (SOO) (Attachment 2).   </t>
    </r>
  </si>
  <si>
    <r>
      <t xml:space="preserve">Option year 1 - </t>
    </r>
    <r>
      <rPr>
        <sz val="11"/>
        <color theme="1"/>
        <rFont val="Calibri"/>
        <family val="2"/>
        <scheme val="minor"/>
      </rPr>
      <t xml:space="preserve"> The contractor shall provide the Amazon Web Services (AWS) native technology stack to continue the implementation of the new data platform for FMCSA. The technology set includes but is not limited to: Amazon Redshift, Data Pipeline, AWS Data Exchange, AWS Lake Formation, AWS Glue, Kinesis, DynamoDB, and S3. as detailed in the Statement of Objectives (SOO) (Attachment 2).   </t>
    </r>
  </si>
  <si>
    <t xml:space="preserve">01/30/2026 - 01/29/2027       *Estimated POP Start and End dates.  POP is subject to change based on award date. </t>
  </si>
  <si>
    <t xml:space="preserve">01/30/2027 - 01/29/2028  </t>
  </si>
  <si>
    <t xml:space="preserve">01/30/2028- 01/29/2029 </t>
  </si>
  <si>
    <t xml:space="preserve"> 01/30/2029 - 01/29/2030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</si>
</sst>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5" formatCode="&quot;$&quot;#,##0_);\(&quot;$&quot;#,##0\)"/>
    <numFmt numFmtId="8" formatCode="&quot;$&quot;#,##0.00_);[Red]\(&quot;$&quot;#,##0.00\)"/>
    <numFmt numFmtId="44" formatCode="_(&quot;$&quot;* #,##0.00_);_(&quot;$&quot;* \(#,##0.00\);_(&quot;$&quot;* &quot;-&quot;??_);_(@_)"/>
  </numFmts>
  <fonts count="15" x14ac:knownFonts="1">
    <font>
      <sz val="11"/>
      <color theme="1"/>
      <name val="Calibri"/>
      <family val="2"/>
      <scheme val="minor"/>
    </font>
    <font>
      <b/>
      <sz val="11"/>
      <color theme="1"/>
      <name val="Calibri"/>
      <family val="2"/>
      <scheme val="minor"/>
    </font>
    <font>
      <b/>
      <u/>
      <sz val="11"/>
      <color theme="1"/>
      <name val="Calibri"/>
      <family val="2"/>
      <scheme val="minor"/>
    </font>
    <font>
      <b/>
      <sz val="11"/>
      <color rgb="FFFF0000"/>
      <name val="Calibri"/>
      <family val="2"/>
      <scheme val="minor"/>
    </font>
    <font>
      <b/>
      <sz val="13"/>
      <color theme="3"/>
      <name val="Calibri"/>
      <family val="2"/>
      <scheme val="minor"/>
    </font>
    <font>
      <b/>
      <sz val="18"/>
      <color theme="0"/>
      <name val="Calibri Light"/>
      <family val="1"/>
      <scheme val="major"/>
    </font>
    <font>
      <b/>
      <sz val="13"/>
      <color theme="3"/>
      <name val="Calibri Light"/>
      <family val="1"/>
      <scheme val="major"/>
    </font>
    <font>
      <sz val="12"/>
      <name val="Times New Roman"/>
      <family val="1"/>
    </font>
    <font>
      <b/>
      <sz val="12"/>
      <color theme="3"/>
      <name val="Calibri Light"/>
      <family val="1"/>
      <scheme val="major"/>
    </font>
    <font>
      <b/>
      <sz val="12"/>
      <color theme="1"/>
      <name val="Calibri Light"/>
      <family val="1"/>
      <scheme val="major"/>
    </font>
    <font>
      <sz val="12"/>
      <color theme="1"/>
      <name val="Calibri Light"/>
      <family val="1"/>
      <scheme val="major"/>
    </font>
    <font>
      <b/>
      <sz val="14"/>
      <color theme="3"/>
      <name val="Calibri Light"/>
      <family val="2"/>
      <scheme val="major"/>
    </font>
    <font>
      <sz val="10"/>
      <name val="Arial"/>
      <family val="2"/>
    </font>
    <font>
      <sz val="8"/>
      <name val="Calibri"/>
      <family val="2"/>
      <scheme val="minor"/>
    </font>
    <font>
      <b/>
      <sz val="14"/>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3" tint="-0.24994659260841701"/>
        <bgColor indexed="64"/>
      </patternFill>
    </fill>
  </fills>
  <borders count="6">
    <border>
      <left/>
      <right/>
      <top/>
      <bottom/>
      <diagonal/>
    </border>
    <border>
      <left/>
      <right/>
      <top/>
      <bottom style="thick">
        <color theme="4"/>
      </bottom>
      <diagonal/>
    </border>
    <border>
      <left/>
      <right/>
      <top/>
      <bottom style="thick">
        <color theme="4" tint="0.499984740745262"/>
      </bottom>
      <diagonal/>
    </border>
    <border>
      <left/>
      <right/>
      <top style="thin">
        <color theme="4"/>
      </top>
      <bottom style="thick">
        <color theme="4" tint="0.499984740745262"/>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4" fillId="0" borderId="2" applyNumberFormat="0" applyFill="0" applyAlignment="0" applyProtection="0"/>
  </cellStyleXfs>
  <cellXfs count="47">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2" fillId="2" borderId="0" xfId="0" applyFont="1" applyFill="1" applyAlignment="1">
      <alignment wrapText="1"/>
    </xf>
    <xf numFmtId="0" fontId="2" fillId="0" borderId="0" xfId="0" applyFont="1" applyAlignment="1">
      <alignment horizontal="center" wrapText="1"/>
    </xf>
    <xf numFmtId="0" fontId="0" fillId="0" borderId="0" xfId="0" applyAlignment="1">
      <alignment horizontal="center" wrapText="1"/>
    </xf>
    <xf numFmtId="0" fontId="2" fillId="2" borderId="0" xfId="0" applyFont="1" applyFill="1"/>
    <xf numFmtId="0" fontId="3" fillId="0" borderId="0" xfId="0" applyFont="1" applyAlignment="1">
      <alignment wrapText="1"/>
    </xf>
    <xf numFmtId="0" fontId="0" fillId="0" borderId="0" xfId="0" applyAlignment="1">
      <alignment vertical="top" wrapText="1"/>
    </xf>
    <xf numFmtId="0" fontId="0" fillId="0" borderId="0" xfId="0" applyAlignment="1">
      <alignment horizontal="center" vertical="top" wrapText="1"/>
    </xf>
    <xf numFmtId="0" fontId="1" fillId="0" borderId="0" xfId="0" applyFont="1" applyAlignment="1">
      <alignment vertical="top" wrapText="1"/>
    </xf>
    <xf numFmtId="0" fontId="1" fillId="0" borderId="0" xfId="0" applyFont="1" applyAlignment="1">
      <alignment horizontal="center" vertical="top" wrapText="1"/>
    </xf>
    <xf numFmtId="0" fontId="6" fillId="0" borderId="2" xfId="1" applyFont="1"/>
    <xf numFmtId="0" fontId="6" fillId="0" borderId="2" xfId="1" applyFont="1" applyAlignment="1">
      <alignment horizontal="center" vertical="center"/>
    </xf>
    <xf numFmtId="0" fontId="6" fillId="0" borderId="2" xfId="1" applyFont="1" applyAlignment="1">
      <alignment horizontal="center" vertical="center" wrapText="1"/>
    </xf>
    <xf numFmtId="0" fontId="6" fillId="0" borderId="2" xfId="1" applyFont="1" applyAlignment="1">
      <alignment horizontal="center"/>
    </xf>
    <xf numFmtId="2" fontId="6" fillId="0" borderId="2" xfId="1" applyNumberFormat="1" applyFont="1" applyAlignment="1">
      <alignment horizontal="center"/>
    </xf>
    <xf numFmtId="8" fontId="6" fillId="0" borderId="2" xfId="1" applyNumberFormat="1" applyFont="1" applyFill="1" applyAlignment="1"/>
    <xf numFmtId="5" fontId="6" fillId="0" borderId="2" xfId="1" applyNumberFormat="1" applyFont="1" applyAlignment="1">
      <alignment horizontal="right"/>
    </xf>
    <xf numFmtId="44" fontId="6" fillId="0" borderId="2" xfId="1" applyNumberFormat="1" applyFont="1" applyFill="1" applyAlignment="1">
      <alignment vertical="center"/>
    </xf>
    <xf numFmtId="44" fontId="6" fillId="0" borderId="2" xfId="1" applyNumberFormat="1" applyFont="1" applyFill="1" applyAlignment="1">
      <alignment horizontal="center"/>
    </xf>
    <xf numFmtId="0" fontId="6" fillId="0" borderId="2" xfId="1" applyFont="1" applyFill="1" applyAlignment="1">
      <alignment horizontal="center"/>
    </xf>
    <xf numFmtId="44" fontId="6" fillId="0" borderId="2" xfId="1" applyNumberFormat="1" applyFont="1" applyAlignment="1">
      <alignment horizontal="center"/>
    </xf>
    <xf numFmtId="44" fontId="8" fillId="0" borderId="2" xfId="1" applyNumberFormat="1" applyFont="1" applyFill="1" applyAlignment="1">
      <alignment horizontal="center"/>
    </xf>
    <xf numFmtId="0" fontId="8" fillId="0" borderId="2" xfId="1" applyFont="1" applyFill="1"/>
    <xf numFmtId="5" fontId="8" fillId="0" borderId="2" xfId="1" applyNumberFormat="1" applyFont="1" applyFill="1" applyAlignment="1">
      <alignment horizontal="right"/>
    </xf>
    <xf numFmtId="0" fontId="6" fillId="0" borderId="3" xfId="1" applyFont="1" applyFill="1" applyBorder="1"/>
    <xf numFmtId="0" fontId="9" fillId="0" borderId="0" xfId="0" applyFont="1" applyAlignment="1">
      <alignment vertical="top" wrapText="1"/>
    </xf>
    <xf numFmtId="0" fontId="10" fillId="0" borderId="0" xfId="0" applyFont="1" applyAlignment="1">
      <alignment vertical="top"/>
    </xf>
    <xf numFmtId="0" fontId="10" fillId="0" borderId="0" xfId="0" applyFont="1"/>
    <xf numFmtId="0" fontId="9" fillId="0" borderId="0" xfId="0" applyFont="1"/>
    <xf numFmtId="0" fontId="11" fillId="0" borderId="2" xfId="1" applyFont="1"/>
    <xf numFmtId="0" fontId="6" fillId="0" borderId="0" xfId="1" applyFont="1" applyBorder="1" applyAlignment="1">
      <alignment horizontal="center"/>
    </xf>
    <xf numFmtId="0" fontId="0" fillId="0" borderId="0" xfId="0" applyAlignment="1">
      <alignment horizontal="left" vertical="center" wrapText="1" indent="42"/>
    </xf>
    <xf numFmtId="0" fontId="0" fillId="0" borderId="0" xfId="0" applyAlignment="1">
      <alignment horizontal="center" vertical="center"/>
    </xf>
    <xf numFmtId="0" fontId="7" fillId="0" borderId="0" xfId="0" applyFont="1" applyAlignment="1">
      <alignment horizontal="center" vertical="center"/>
    </xf>
    <xf numFmtId="0" fontId="1" fillId="0" borderId="0" xfId="0" applyFont="1" applyAlignment="1">
      <alignment horizontal="center" vertical="center"/>
    </xf>
    <xf numFmtId="3" fontId="12" fillId="0" borderId="4" xfId="0" applyNumberFormat="1" applyFont="1" applyBorder="1" applyAlignment="1">
      <alignment horizontal="center" vertical="center"/>
    </xf>
    <xf numFmtId="0" fontId="0" fillId="0" borderId="5" xfId="0" applyBorder="1" applyAlignment="1">
      <alignment horizontal="center" vertical="center"/>
    </xf>
    <xf numFmtId="0" fontId="0" fillId="0" borderId="0" xfId="0" quotePrefix="1" applyFill="1" applyAlignment="1">
      <alignment horizontal="center" vertical="top" wrapText="1"/>
    </xf>
    <xf numFmtId="0" fontId="2" fillId="0" borderId="0" xfId="0" applyFont="1" applyAlignment="1"/>
    <xf numFmtId="0" fontId="1" fillId="0" borderId="0" xfId="0" applyFont="1" applyAlignment="1">
      <alignment horizontal="left" vertical="center" wrapText="1" indent="42"/>
    </xf>
    <xf numFmtId="0" fontId="0" fillId="0" borderId="0" xfId="0" applyAlignment="1">
      <alignment horizontal="left" vertical="center" wrapText="1" indent="42"/>
    </xf>
    <xf numFmtId="0" fontId="5" fillId="3" borderId="0" xfId="1" applyFont="1" applyFill="1" applyBorder="1" applyAlignment="1">
      <alignment horizontal="center" vertical="center"/>
    </xf>
    <xf numFmtId="0" fontId="5" fillId="3" borderId="1" xfId="1" applyFont="1" applyFill="1" applyBorder="1" applyAlignment="1">
      <alignment horizontal="center" vertical="center"/>
    </xf>
    <xf numFmtId="0" fontId="14" fillId="0" borderId="0" xfId="0" applyFont="1" applyAlignment="1">
      <alignment horizontal="left"/>
    </xf>
  </cellXfs>
  <cellStyles count="2">
    <cellStyle name="Heading 2" xfId="1" builtinId="17"/>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8978F-7280-4E3C-8953-A67623A2FCE7}">
  <dimension ref="A1:K12"/>
  <sheetViews>
    <sheetView tabSelected="1" workbookViewId="0">
      <selection activeCell="C6" sqref="C6"/>
    </sheetView>
  </sheetViews>
  <sheetFormatPr defaultRowHeight="14.5" x14ac:dyDescent="0.35"/>
  <cols>
    <col min="1" max="1" width="7.54296875" style="10" customWidth="1"/>
    <col min="2" max="2" width="58.26953125" style="3" customWidth="1"/>
    <col min="3" max="3" width="24.81640625" style="3" customWidth="1"/>
    <col min="4" max="4" width="11.81640625" style="6" customWidth="1"/>
    <col min="5" max="5" width="17.54296875" style="2" customWidth="1"/>
    <col min="6" max="6" width="14.1796875" style="2" customWidth="1"/>
    <col min="7" max="9" width="9.1796875" style="3"/>
    <col min="11" max="11" width="13.81640625" customWidth="1"/>
  </cols>
  <sheetData>
    <row r="1" spans="1:11" ht="13.15" customHeight="1" x14ac:dyDescent="0.35">
      <c r="A1" s="41" t="s">
        <v>26</v>
      </c>
      <c r="B1" s="41"/>
      <c r="C1" s="41"/>
      <c r="D1" s="41"/>
      <c r="E1" s="41"/>
      <c r="F1" s="41"/>
      <c r="G1" s="41"/>
      <c r="H1" s="41"/>
      <c r="I1" s="41"/>
      <c r="J1" s="41"/>
      <c r="K1" s="41"/>
    </row>
    <row r="2" spans="1:11" ht="29" x14ac:dyDescent="0.35">
      <c r="A2" s="12" t="s">
        <v>0</v>
      </c>
      <c r="B2" s="2" t="s">
        <v>1</v>
      </c>
      <c r="C2" s="2" t="s">
        <v>7</v>
      </c>
      <c r="D2" s="5" t="s">
        <v>10</v>
      </c>
      <c r="E2" s="4" t="s">
        <v>2</v>
      </c>
      <c r="F2" s="4" t="s">
        <v>3</v>
      </c>
    </row>
    <row r="3" spans="1:11" x14ac:dyDescent="0.35">
      <c r="A3" s="12"/>
      <c r="B3" s="2" t="s">
        <v>8</v>
      </c>
      <c r="C3" s="2"/>
      <c r="D3" s="5"/>
      <c r="E3" s="4"/>
      <c r="F3" s="4"/>
    </row>
    <row r="4" spans="1:11" ht="87" x14ac:dyDescent="0.35">
      <c r="A4" s="40" t="s">
        <v>4</v>
      </c>
      <c r="B4" s="3" t="s">
        <v>24</v>
      </c>
      <c r="C4" s="9" t="s">
        <v>41</v>
      </c>
      <c r="D4" s="10" t="s">
        <v>13</v>
      </c>
      <c r="E4" s="11" t="s">
        <v>5</v>
      </c>
      <c r="F4" s="11" t="s">
        <v>5</v>
      </c>
    </row>
    <row r="6" spans="1:11" ht="101.5" x14ac:dyDescent="0.35">
      <c r="A6" s="10">
        <v>10001</v>
      </c>
      <c r="B6" s="11" t="s">
        <v>40</v>
      </c>
      <c r="C6" s="9" t="s">
        <v>42</v>
      </c>
      <c r="D6" s="34" t="s">
        <v>9</v>
      </c>
      <c r="E6" s="34"/>
      <c r="F6" s="4"/>
    </row>
    <row r="7" spans="1:11" ht="101.5" x14ac:dyDescent="0.35">
      <c r="A7" s="10">
        <v>20001</v>
      </c>
      <c r="B7" s="11" t="s">
        <v>39</v>
      </c>
      <c r="C7" s="9" t="s">
        <v>43</v>
      </c>
      <c r="D7" s="34"/>
      <c r="E7" s="34"/>
      <c r="F7" s="4"/>
    </row>
    <row r="8" spans="1:11" ht="101.5" x14ac:dyDescent="0.35">
      <c r="A8" s="10">
        <v>30001</v>
      </c>
      <c r="B8" s="11" t="s">
        <v>38</v>
      </c>
      <c r="C8" s="9" t="s">
        <v>44</v>
      </c>
      <c r="D8" s="34"/>
      <c r="E8" s="34"/>
      <c r="F8" s="4"/>
    </row>
    <row r="9" spans="1:11" x14ac:dyDescent="0.35">
      <c r="B9" s="42" t="s">
        <v>37</v>
      </c>
      <c r="C9" s="42"/>
      <c r="D9" s="43"/>
      <c r="E9" s="43"/>
      <c r="F9" s="4" t="s">
        <v>5</v>
      </c>
    </row>
    <row r="10" spans="1:11" ht="29" x14ac:dyDescent="0.35">
      <c r="B10" s="2" t="s">
        <v>11</v>
      </c>
    </row>
    <row r="12" spans="1:11" x14ac:dyDescent="0.35">
      <c r="B12" s="3" t="s">
        <v>12</v>
      </c>
    </row>
  </sheetData>
  <mergeCells count="2">
    <mergeCell ref="A1:K1"/>
    <mergeCell ref="B9:E9"/>
  </mergeCells>
  <phoneticPr fontId="13" type="noConversion"/>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38B1C-97BC-4FD1-9E56-4716DE831CCD}">
  <dimension ref="A1:E94"/>
  <sheetViews>
    <sheetView zoomScale="73" workbookViewId="0">
      <selection activeCell="B57" sqref="B57"/>
    </sheetView>
  </sheetViews>
  <sheetFormatPr defaultRowHeight="14.5" x14ac:dyDescent="0.35"/>
  <cols>
    <col min="1" max="1" width="11.26953125" style="35" customWidth="1"/>
    <col min="2" max="2" width="55.81640625" customWidth="1"/>
    <col min="3" max="3" width="13" customWidth="1"/>
    <col min="4" max="4" width="12.81640625" customWidth="1"/>
    <col min="5" max="5" width="38.453125" customWidth="1"/>
    <col min="9" max="9" width="18.1796875" bestFit="1" customWidth="1"/>
    <col min="11" max="11" width="16.1796875" bestFit="1" customWidth="1"/>
    <col min="12" max="12" width="18.1796875" bestFit="1" customWidth="1"/>
  </cols>
  <sheetData>
    <row r="1" spans="1:5" s="46" customFormat="1" ht="18.5" x14ac:dyDescent="0.45">
      <c r="A1" s="46" t="s">
        <v>18</v>
      </c>
    </row>
    <row r="2" spans="1:5" ht="15.75" customHeight="1" x14ac:dyDescent="0.35">
      <c r="B2" s="44" t="s">
        <v>31</v>
      </c>
      <c r="C2" s="44"/>
      <c r="D2" s="44"/>
      <c r="E2" s="44"/>
    </row>
    <row r="3" spans="1:5" ht="16.5" customHeight="1" x14ac:dyDescent="0.35">
      <c r="B3" s="44"/>
      <c r="C3" s="44"/>
      <c r="D3" s="44"/>
      <c r="E3" s="44"/>
    </row>
    <row r="4" spans="1:5" ht="15" thickBot="1" x14ac:dyDescent="0.4">
      <c r="B4" s="45"/>
      <c r="C4" s="45"/>
      <c r="D4" s="45"/>
      <c r="E4" s="45"/>
    </row>
    <row r="5" spans="1:5" ht="18" thickTop="1" thickBot="1" x14ac:dyDescent="0.45">
      <c r="B5" s="13"/>
      <c r="C5" s="14" t="s">
        <v>14</v>
      </c>
      <c r="D5" s="15" t="s">
        <v>19</v>
      </c>
      <c r="E5" s="14" t="s">
        <v>21</v>
      </c>
    </row>
    <row r="6" spans="1:5" ht="18" thickTop="1" thickBot="1" x14ac:dyDescent="0.45">
      <c r="B6" s="13"/>
      <c r="C6" s="16"/>
      <c r="D6" s="16"/>
      <c r="E6" s="17" t="s">
        <v>9</v>
      </c>
    </row>
    <row r="7" spans="1:5" ht="19.5" thickTop="1" thickBot="1" x14ac:dyDescent="0.5">
      <c r="A7" s="39" t="s">
        <v>36</v>
      </c>
      <c r="B7" s="32" t="s">
        <v>22</v>
      </c>
      <c r="C7" s="16"/>
      <c r="D7" s="33"/>
      <c r="E7" s="16" t="s">
        <v>15</v>
      </c>
    </row>
    <row r="8" spans="1:5" ht="17.5" thickBot="1" x14ac:dyDescent="0.45">
      <c r="A8" s="35">
        <v>1</v>
      </c>
      <c r="B8" s="13" t="s">
        <v>27</v>
      </c>
      <c r="C8" s="18" t="s">
        <v>9</v>
      </c>
      <c r="D8" s="38">
        <f t="shared" ref="D8:D12" si="0">1880*A8</f>
        <v>1880</v>
      </c>
      <c r="E8" s="19" t="s">
        <v>9</v>
      </c>
    </row>
    <row r="9" spans="1:5" ht="18" thickTop="1" thickBot="1" x14ac:dyDescent="0.45">
      <c r="A9" s="35">
        <v>1</v>
      </c>
      <c r="B9" s="13" t="s">
        <v>28</v>
      </c>
      <c r="C9" s="18" t="s">
        <v>9</v>
      </c>
      <c r="D9" s="38">
        <f t="shared" si="0"/>
        <v>1880</v>
      </c>
      <c r="E9" s="19" t="s">
        <v>9</v>
      </c>
    </row>
    <row r="10" spans="1:5" ht="18" thickTop="1" thickBot="1" x14ac:dyDescent="0.45">
      <c r="A10" s="35">
        <v>2</v>
      </c>
      <c r="B10" s="13" t="s">
        <v>29</v>
      </c>
      <c r="C10" s="20" t="s">
        <v>9</v>
      </c>
      <c r="D10" s="38">
        <f t="shared" si="0"/>
        <v>3760</v>
      </c>
      <c r="E10" s="19" t="s">
        <v>9</v>
      </c>
    </row>
    <row r="11" spans="1:5" ht="18" thickTop="1" thickBot="1" x14ac:dyDescent="0.45">
      <c r="A11" s="35">
        <v>2</v>
      </c>
      <c r="B11" s="13" t="s">
        <v>30</v>
      </c>
      <c r="C11" s="21"/>
      <c r="D11" s="38">
        <f t="shared" si="0"/>
        <v>3760</v>
      </c>
      <c r="E11" s="19"/>
    </row>
    <row r="12" spans="1:5" ht="18" thickTop="1" thickBot="1" x14ac:dyDescent="0.45">
      <c r="A12" s="35">
        <v>1</v>
      </c>
      <c r="B12" s="13" t="s">
        <v>25</v>
      </c>
      <c r="C12" s="21"/>
      <c r="D12" s="38">
        <f t="shared" si="0"/>
        <v>1880</v>
      </c>
      <c r="E12" s="19"/>
    </row>
    <row r="13" spans="1:5" ht="18" thickTop="1" thickBot="1" x14ac:dyDescent="0.45">
      <c r="A13" s="35">
        <v>7</v>
      </c>
      <c r="B13" s="13" t="s">
        <v>16</v>
      </c>
      <c r="C13" s="23"/>
      <c r="D13" s="16"/>
      <c r="E13" s="19" t="s">
        <v>20</v>
      </c>
    </row>
    <row r="14" spans="1:5" ht="18" thickTop="1" thickBot="1" x14ac:dyDescent="0.45">
      <c r="B14" s="13"/>
      <c r="C14" s="21"/>
      <c r="D14" s="22"/>
      <c r="E14" s="19"/>
    </row>
    <row r="15" spans="1:5" ht="15.75" customHeight="1" thickTop="1" x14ac:dyDescent="0.35">
      <c r="B15" s="44" t="s">
        <v>32</v>
      </c>
      <c r="C15" s="44"/>
      <c r="D15" s="44"/>
      <c r="E15" s="44"/>
    </row>
    <row r="16" spans="1:5" ht="16.5" customHeight="1" x14ac:dyDescent="0.35">
      <c r="B16" s="44"/>
      <c r="C16" s="44"/>
      <c r="D16" s="44"/>
      <c r="E16" s="44"/>
    </row>
    <row r="17" spans="1:5" ht="15" thickBot="1" x14ac:dyDescent="0.4">
      <c r="B17" s="45"/>
      <c r="C17" s="45"/>
      <c r="D17" s="45"/>
      <c r="E17" s="45"/>
    </row>
    <row r="18" spans="1:5" ht="18" thickTop="1" thickBot="1" x14ac:dyDescent="0.45">
      <c r="B18" s="13"/>
      <c r="C18" s="14" t="s">
        <v>14</v>
      </c>
      <c r="D18" s="15" t="s">
        <v>19</v>
      </c>
      <c r="E18" s="14" t="s">
        <v>21</v>
      </c>
    </row>
    <row r="19" spans="1:5" ht="18" thickTop="1" thickBot="1" x14ac:dyDescent="0.45">
      <c r="B19" s="13"/>
      <c r="C19" s="16"/>
      <c r="D19" s="16"/>
      <c r="E19" s="17" t="s">
        <v>9</v>
      </c>
    </row>
    <row r="20" spans="1:5" ht="19.5" thickTop="1" thickBot="1" x14ac:dyDescent="0.5">
      <c r="A20" s="39" t="s">
        <v>36</v>
      </c>
      <c r="B20" s="32" t="s">
        <v>22</v>
      </c>
      <c r="C20" s="16"/>
      <c r="D20" s="33"/>
      <c r="E20" s="16" t="s">
        <v>15</v>
      </c>
    </row>
    <row r="21" spans="1:5" ht="17.5" thickBot="1" x14ac:dyDescent="0.45">
      <c r="A21" s="35">
        <v>1</v>
      </c>
      <c r="B21" s="13" t="s">
        <v>27</v>
      </c>
      <c r="C21" s="18" t="s">
        <v>9</v>
      </c>
      <c r="D21" s="38">
        <f t="shared" ref="D21:D25" si="1">1880*A21</f>
        <v>1880</v>
      </c>
      <c r="E21" s="19" t="s">
        <v>9</v>
      </c>
    </row>
    <row r="22" spans="1:5" ht="18" thickTop="1" thickBot="1" x14ac:dyDescent="0.45">
      <c r="A22" s="35">
        <v>1</v>
      </c>
      <c r="B22" s="13" t="s">
        <v>28</v>
      </c>
      <c r="C22" s="18" t="s">
        <v>9</v>
      </c>
      <c r="D22" s="38">
        <f t="shared" si="1"/>
        <v>1880</v>
      </c>
      <c r="E22" s="19" t="s">
        <v>9</v>
      </c>
    </row>
    <row r="23" spans="1:5" ht="18" thickTop="1" thickBot="1" x14ac:dyDescent="0.45">
      <c r="A23" s="35">
        <v>2</v>
      </c>
      <c r="B23" s="13" t="s">
        <v>29</v>
      </c>
      <c r="C23" s="20" t="s">
        <v>9</v>
      </c>
      <c r="D23" s="38">
        <f t="shared" si="1"/>
        <v>3760</v>
      </c>
      <c r="E23" s="19" t="s">
        <v>9</v>
      </c>
    </row>
    <row r="24" spans="1:5" ht="18" thickTop="1" thickBot="1" x14ac:dyDescent="0.45">
      <c r="A24" s="35">
        <v>2</v>
      </c>
      <c r="B24" s="13" t="s">
        <v>30</v>
      </c>
      <c r="C24" s="21"/>
      <c r="D24" s="38">
        <f t="shared" si="1"/>
        <v>3760</v>
      </c>
      <c r="E24" s="19"/>
    </row>
    <row r="25" spans="1:5" ht="18" thickTop="1" thickBot="1" x14ac:dyDescent="0.45">
      <c r="A25" s="35">
        <v>1</v>
      </c>
      <c r="B25" s="13" t="s">
        <v>25</v>
      </c>
      <c r="C25" s="21"/>
      <c r="D25" s="38">
        <f t="shared" si="1"/>
        <v>1880</v>
      </c>
      <c r="E25" s="19"/>
    </row>
    <row r="26" spans="1:5" ht="18" thickTop="1" thickBot="1" x14ac:dyDescent="0.45">
      <c r="A26" s="35">
        <v>7</v>
      </c>
      <c r="B26" s="13" t="s">
        <v>16</v>
      </c>
      <c r="C26" s="23"/>
      <c r="D26" s="16"/>
      <c r="E26" s="19" t="s">
        <v>20</v>
      </c>
    </row>
    <row r="27" spans="1:5" ht="18" thickTop="1" thickBot="1" x14ac:dyDescent="0.45">
      <c r="B27" s="13"/>
      <c r="C27" s="23"/>
      <c r="D27" s="16"/>
      <c r="E27" s="19"/>
    </row>
    <row r="28" spans="1:5" ht="15.75" customHeight="1" thickTop="1" x14ac:dyDescent="0.35">
      <c r="B28" s="44" t="s">
        <v>33</v>
      </c>
      <c r="C28" s="44"/>
      <c r="D28" s="44"/>
      <c r="E28" s="44"/>
    </row>
    <row r="29" spans="1:5" ht="16.5" customHeight="1" x14ac:dyDescent="0.35">
      <c r="B29" s="44"/>
      <c r="C29" s="44"/>
      <c r="D29" s="44"/>
      <c r="E29" s="44"/>
    </row>
    <row r="30" spans="1:5" ht="15" thickBot="1" x14ac:dyDescent="0.4">
      <c r="B30" s="45"/>
      <c r="C30" s="45"/>
      <c r="D30" s="45"/>
      <c r="E30" s="45"/>
    </row>
    <row r="31" spans="1:5" ht="18" thickTop="1" thickBot="1" x14ac:dyDescent="0.45">
      <c r="B31" s="13"/>
      <c r="C31" s="14" t="s">
        <v>14</v>
      </c>
      <c r="D31" s="15" t="s">
        <v>19</v>
      </c>
      <c r="E31" s="14" t="s">
        <v>21</v>
      </c>
    </row>
    <row r="32" spans="1:5" ht="18" thickTop="1" thickBot="1" x14ac:dyDescent="0.45">
      <c r="B32" s="13"/>
      <c r="C32" s="16"/>
      <c r="D32" s="16"/>
      <c r="E32" s="17" t="s">
        <v>9</v>
      </c>
    </row>
    <row r="33" spans="1:5" ht="19.5" thickTop="1" thickBot="1" x14ac:dyDescent="0.5">
      <c r="A33" s="39" t="s">
        <v>35</v>
      </c>
      <c r="B33" s="32" t="s">
        <v>22</v>
      </c>
      <c r="C33" s="16"/>
      <c r="D33" s="33"/>
      <c r="E33" s="16" t="s">
        <v>15</v>
      </c>
    </row>
    <row r="34" spans="1:5" ht="17.5" thickBot="1" x14ac:dyDescent="0.45">
      <c r="A34" s="35">
        <v>1</v>
      </c>
      <c r="B34" s="13" t="s">
        <v>27</v>
      </c>
      <c r="C34" s="18" t="s">
        <v>9</v>
      </c>
      <c r="D34" s="38">
        <v>1880</v>
      </c>
      <c r="E34" s="19" t="s">
        <v>9</v>
      </c>
    </row>
    <row r="35" spans="1:5" ht="18" thickTop="1" thickBot="1" x14ac:dyDescent="0.45">
      <c r="A35" s="35">
        <v>1</v>
      </c>
      <c r="B35" s="13" t="s">
        <v>28</v>
      </c>
      <c r="C35" s="18" t="s">
        <v>9</v>
      </c>
      <c r="D35" s="38">
        <f t="shared" ref="D35:D38" si="2">1880*A35</f>
        <v>1880</v>
      </c>
      <c r="E35" s="19" t="s">
        <v>9</v>
      </c>
    </row>
    <row r="36" spans="1:5" ht="18" thickTop="1" thickBot="1" x14ac:dyDescent="0.45">
      <c r="A36" s="35">
        <v>2</v>
      </c>
      <c r="B36" s="13" t="s">
        <v>29</v>
      </c>
      <c r="C36" s="20" t="s">
        <v>9</v>
      </c>
      <c r="D36" s="38">
        <f t="shared" si="2"/>
        <v>3760</v>
      </c>
      <c r="E36" s="19" t="s">
        <v>9</v>
      </c>
    </row>
    <row r="37" spans="1:5" ht="18" thickTop="1" thickBot="1" x14ac:dyDescent="0.45">
      <c r="A37" s="35">
        <v>2</v>
      </c>
      <c r="B37" s="13" t="s">
        <v>30</v>
      </c>
      <c r="C37" s="21"/>
      <c r="D37" s="38">
        <f t="shared" si="2"/>
        <v>3760</v>
      </c>
      <c r="E37" s="19"/>
    </row>
    <row r="38" spans="1:5" ht="18" thickTop="1" thickBot="1" x14ac:dyDescent="0.45">
      <c r="A38" s="35">
        <v>1</v>
      </c>
      <c r="B38" s="13" t="s">
        <v>25</v>
      </c>
      <c r="C38" s="21"/>
      <c r="D38" s="38">
        <f t="shared" si="2"/>
        <v>1880</v>
      </c>
      <c r="E38" s="19"/>
    </row>
    <row r="39" spans="1:5" ht="18" thickTop="1" thickBot="1" x14ac:dyDescent="0.45">
      <c r="A39" s="35">
        <v>7</v>
      </c>
      <c r="B39" s="13" t="s">
        <v>16</v>
      </c>
      <c r="C39" s="23"/>
      <c r="D39" s="16"/>
      <c r="E39" s="19" t="s">
        <v>20</v>
      </c>
    </row>
    <row r="40" spans="1:5" ht="18" thickTop="1" thickBot="1" x14ac:dyDescent="0.45">
      <c r="B40" s="13"/>
      <c r="C40" s="21"/>
      <c r="D40" s="22"/>
      <c r="E40" s="19"/>
    </row>
    <row r="41" spans="1:5" ht="15.75" customHeight="1" thickTop="1" x14ac:dyDescent="0.35">
      <c r="B41" s="44" t="s">
        <v>34</v>
      </c>
      <c r="C41" s="44"/>
      <c r="D41" s="44"/>
      <c r="E41" s="44"/>
    </row>
    <row r="42" spans="1:5" ht="16.5" customHeight="1" x14ac:dyDescent="0.35">
      <c r="B42" s="44"/>
      <c r="C42" s="44"/>
      <c r="D42" s="44"/>
      <c r="E42" s="44"/>
    </row>
    <row r="43" spans="1:5" ht="15" thickBot="1" x14ac:dyDescent="0.4">
      <c r="B43" s="45"/>
      <c r="C43" s="45"/>
      <c r="D43" s="45"/>
      <c r="E43" s="45"/>
    </row>
    <row r="44" spans="1:5" ht="18" thickTop="1" thickBot="1" x14ac:dyDescent="0.45">
      <c r="B44" s="13"/>
      <c r="C44" s="14" t="s">
        <v>14</v>
      </c>
      <c r="D44" s="15" t="s">
        <v>19</v>
      </c>
      <c r="E44" s="14" t="s">
        <v>21</v>
      </c>
    </row>
    <row r="45" spans="1:5" ht="18" thickTop="1" thickBot="1" x14ac:dyDescent="0.45">
      <c r="B45" s="13"/>
      <c r="C45" s="16"/>
      <c r="D45" s="16"/>
      <c r="E45" s="17" t="s">
        <v>9</v>
      </c>
    </row>
    <row r="46" spans="1:5" ht="19.5" thickTop="1" thickBot="1" x14ac:dyDescent="0.5">
      <c r="A46" s="39" t="s">
        <v>35</v>
      </c>
      <c r="B46" s="32" t="s">
        <v>22</v>
      </c>
      <c r="C46" s="16"/>
      <c r="D46" s="33"/>
      <c r="E46" s="16" t="s">
        <v>15</v>
      </c>
    </row>
    <row r="47" spans="1:5" ht="17.5" thickBot="1" x14ac:dyDescent="0.45">
      <c r="A47" s="35">
        <v>1</v>
      </c>
      <c r="B47" s="13" t="s">
        <v>27</v>
      </c>
      <c r="C47" s="18" t="s">
        <v>9</v>
      </c>
      <c r="D47" s="38">
        <v>1880</v>
      </c>
      <c r="E47" s="19" t="s">
        <v>9</v>
      </c>
    </row>
    <row r="48" spans="1:5" ht="18" thickTop="1" thickBot="1" x14ac:dyDescent="0.45">
      <c r="A48" s="35">
        <v>1</v>
      </c>
      <c r="B48" s="13" t="s">
        <v>28</v>
      </c>
      <c r="C48" s="18" t="s">
        <v>9</v>
      </c>
      <c r="D48" s="38">
        <f t="shared" ref="D48:D51" si="3">1880*A48</f>
        <v>1880</v>
      </c>
      <c r="E48" s="19" t="s">
        <v>9</v>
      </c>
    </row>
    <row r="49" spans="1:5" ht="18" thickTop="1" thickBot="1" x14ac:dyDescent="0.45">
      <c r="A49" s="35">
        <v>2</v>
      </c>
      <c r="B49" s="13" t="s">
        <v>29</v>
      </c>
      <c r="C49" s="20" t="s">
        <v>9</v>
      </c>
      <c r="D49" s="38">
        <f t="shared" si="3"/>
        <v>3760</v>
      </c>
      <c r="E49" s="19" t="s">
        <v>9</v>
      </c>
    </row>
    <row r="50" spans="1:5" ht="18" thickTop="1" thickBot="1" x14ac:dyDescent="0.45">
      <c r="A50" s="35">
        <v>2</v>
      </c>
      <c r="B50" s="13" t="s">
        <v>30</v>
      </c>
      <c r="C50" s="21"/>
      <c r="D50" s="38">
        <f t="shared" si="3"/>
        <v>3760</v>
      </c>
      <c r="E50" s="19"/>
    </row>
    <row r="51" spans="1:5" ht="18" thickTop="1" thickBot="1" x14ac:dyDescent="0.45">
      <c r="A51" s="35">
        <v>1</v>
      </c>
      <c r="B51" s="13" t="s">
        <v>25</v>
      </c>
      <c r="C51" s="21"/>
      <c r="D51" s="38">
        <f t="shared" si="3"/>
        <v>1880</v>
      </c>
      <c r="E51" s="19"/>
    </row>
    <row r="52" spans="1:5" ht="18" thickTop="1" thickBot="1" x14ac:dyDescent="0.45">
      <c r="A52" s="35">
        <v>7</v>
      </c>
      <c r="B52" s="13" t="s">
        <v>16</v>
      </c>
      <c r="C52" s="23"/>
      <c r="D52" s="16"/>
      <c r="E52" s="19" t="s">
        <v>20</v>
      </c>
    </row>
    <row r="53" spans="1:5" ht="18" thickTop="1" thickBot="1" x14ac:dyDescent="0.45">
      <c r="B53" s="13"/>
      <c r="C53" s="23"/>
      <c r="D53" s="16"/>
      <c r="E53" s="19"/>
    </row>
    <row r="54" spans="1:5" ht="15" thickTop="1" x14ac:dyDescent="0.35"/>
    <row r="55" spans="1:5" ht="17.5" thickBot="1" x14ac:dyDescent="0.45">
      <c r="B55" s="27" t="s">
        <v>17</v>
      </c>
      <c r="C55" s="24"/>
      <c r="D55" s="25"/>
      <c r="E55" s="26" t="s">
        <v>20</v>
      </c>
    </row>
    <row r="56" spans="1:5" ht="16" thickTop="1" x14ac:dyDescent="0.35">
      <c r="A56" s="36"/>
      <c r="B56" s="30"/>
      <c r="C56" s="28"/>
      <c r="D56" s="29"/>
      <c r="E56" s="30"/>
    </row>
    <row r="57" spans="1:5" ht="58" x14ac:dyDescent="0.35">
      <c r="A57" s="36"/>
      <c r="B57" s="8" t="s">
        <v>23</v>
      </c>
      <c r="C57" s="28"/>
      <c r="D57" s="29"/>
      <c r="E57" s="30"/>
    </row>
    <row r="58" spans="1:5" ht="15.5" x14ac:dyDescent="0.35">
      <c r="A58" s="36"/>
      <c r="B58" s="30"/>
      <c r="C58" s="28"/>
      <c r="D58" s="29"/>
      <c r="E58" s="30"/>
    </row>
    <row r="59" spans="1:5" ht="15.5" x14ac:dyDescent="0.35">
      <c r="A59" s="36"/>
      <c r="B59" s="30"/>
      <c r="C59" s="28"/>
      <c r="D59" s="29"/>
      <c r="E59" s="30"/>
    </row>
    <row r="60" spans="1:5" ht="18" customHeight="1" x14ac:dyDescent="0.35">
      <c r="B60" s="31"/>
      <c r="C60" s="28"/>
      <c r="D60" s="29"/>
      <c r="E60" s="30"/>
    </row>
    <row r="61" spans="1:5" ht="15.5" x14ac:dyDescent="0.35">
      <c r="B61" s="30"/>
      <c r="C61" s="28"/>
      <c r="D61" s="29"/>
      <c r="E61" s="30"/>
    </row>
    <row r="62" spans="1:5" ht="15.5" x14ac:dyDescent="0.35">
      <c r="B62" s="30"/>
      <c r="C62" s="28"/>
      <c r="D62" s="29"/>
      <c r="E62" s="30"/>
    </row>
    <row r="63" spans="1:5" ht="15.5" x14ac:dyDescent="0.35">
      <c r="B63" s="30"/>
    </row>
    <row r="64" spans="1:5" s="1" customFormat="1" ht="15.5" x14ac:dyDescent="0.35">
      <c r="A64" s="37"/>
      <c r="B64" s="30"/>
      <c r="C64"/>
      <c r="D64"/>
      <c r="E64"/>
    </row>
    <row r="65" spans="1:5" ht="15.5" x14ac:dyDescent="0.35">
      <c r="B65" s="30"/>
    </row>
    <row r="66" spans="1:5" ht="15.5" x14ac:dyDescent="0.35">
      <c r="B66" s="31"/>
    </row>
    <row r="67" spans="1:5" ht="15.5" x14ac:dyDescent="0.35">
      <c r="B67" s="30"/>
    </row>
    <row r="68" spans="1:5" ht="15.5" x14ac:dyDescent="0.35">
      <c r="B68" s="30"/>
    </row>
    <row r="69" spans="1:5" ht="15.5" x14ac:dyDescent="0.35">
      <c r="B69" s="30"/>
      <c r="C69" s="30"/>
      <c r="D69" s="30"/>
      <c r="E69" s="30"/>
    </row>
    <row r="70" spans="1:5" ht="15.5" x14ac:dyDescent="0.35">
      <c r="B70" s="30"/>
      <c r="C70" s="30"/>
      <c r="D70" s="30"/>
      <c r="E70" s="30"/>
    </row>
    <row r="79" spans="1:5" s="1" customFormat="1" x14ac:dyDescent="0.35">
      <c r="A79" s="37"/>
      <c r="B79"/>
      <c r="C79"/>
      <c r="D79"/>
      <c r="E79"/>
    </row>
    <row r="88" ht="16.5" customHeight="1" x14ac:dyDescent="0.35"/>
    <row r="94" ht="15.75" customHeight="1" x14ac:dyDescent="0.35"/>
  </sheetData>
  <mergeCells count="5">
    <mergeCell ref="B15:E17"/>
    <mergeCell ref="B28:E30"/>
    <mergeCell ref="B41:E43"/>
    <mergeCell ref="B2:E4"/>
    <mergeCell ref="A1:XFD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BAB1B-DDD4-4A79-9F68-7B4FAB25AE6B}">
  <dimension ref="A1"/>
  <sheetViews>
    <sheetView workbookViewId="0">
      <selection activeCell="A4" sqref="A4"/>
    </sheetView>
  </sheetViews>
  <sheetFormatPr defaultRowHeight="14.5" x14ac:dyDescent="0.35"/>
  <cols>
    <col min="1" max="1" width="26.1796875" customWidth="1"/>
  </cols>
  <sheetData>
    <row r="1" spans="1:1" s="1" customFormat="1" x14ac:dyDescent="0.35">
      <c r="A1" s="7" t="s">
        <v>6</v>
      </c>
    </row>
  </sheetData>
  <pageMargins left="0.7" right="0.7" top="0.75" bottom="0.75" header="0.3" footer="0.3"/>
  <pageSetup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Price Schedule Summary</vt:lpstr>
      <vt:lpstr>Detailed FFP Breakdown</vt:lpstr>
      <vt:lpstr>Assumptions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Miller, Mark (FMCSA)</dc:creator>
  <cp:lastModifiedBy>Miller, Mark (FMCSA)</cp:lastModifiedBy>
  <dcterms:created xsi:type="dcterms:W3CDTF">2022-06-02T16:15:36Z</dcterms:created>
  <dcterms:modified xsi:type="dcterms:W3CDTF">2025-12-10T16:42:44Z</dcterms:modified>
</cp:coreProperties>
</file>