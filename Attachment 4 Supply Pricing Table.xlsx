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https://usaf-my.dps.mil/personal/rodrigo_laguna_lagos_3_spaceforce_mil/Documents/Documents/LA Workload/24.7 NOC (LOE ) COA A  - Competitive/DRAFT FOPR/"/>
    </mc:Choice>
  </mc:AlternateContent>
  <xr:revisionPtr revIDLastSave="6" documentId="13_ncr:1_{AD3CCEC9-861D-40CB-87D0-66F79B01F73A}" xr6:coauthVersionLast="47" xr6:coauthVersionMax="47" xr10:uidLastSave="{A50D7E95-5CD7-430C-9B94-F11867D2718C}"/>
  <bookViews>
    <workbookView xWindow="-28920" yWindow="2565" windowWidth="29040" windowHeight="15510" firstSheet="2" activeTab="2" xr2:uid="{C2F5F972-ACA4-45CF-B852-5FD0C5D40B43}"/>
  </bookViews>
  <sheets>
    <sheet name="Instructions" sheetId="17" r:id="rId1"/>
    <sheet name="Environment Agnostic" sheetId="15" state="hidden" r:id="rId2"/>
    <sheet name="CLIN Breakdown" sheetId="4" r:id="rId3"/>
    <sheet name="NSS CLoud IL5 Prod" sheetId="5" state="hidden" r:id="rId4"/>
    <sheet name="GovSec Cloud IL6 Dev" sheetId="13" state="hidden" r:id="rId5"/>
    <sheet name="Secret On-Premise Prod" sheetId="6" state="hidden" r:id="rId6"/>
    <sheet name="GovSec Cloud IL6 Prod" sheetId="7" state="hidden" r:id="rId7"/>
    <sheet name="TS SCI On-Premise Prod" sheetId="9" state="hidden" r:id="rId8"/>
    <sheet name="TS SCI Cloud Prod" sheetId="8" state="hidden" r:id="rId9"/>
    <sheet name="SAP On-Premise Prod" sheetId="10" state="hidden" r:id="rId10"/>
    <sheet name="SAP Cloud Prod" sheetId="11" state="hidden" r:id="rId11"/>
    <sheet name="Labor proposal" sheetId="2" r:id="rId12"/>
    <sheet name="Labor &amp; FTE" sheetId="1" r:id="rId13"/>
    <sheet name="CLIN 000X Travel Estimate" sheetId="14" r:id="rId14"/>
    <sheet name="Supply Payment Plan" sheetId="3" state="hidden" r:id="rId15"/>
    <sheet name="CLIN 0006" sheetId="16" state="hidden" r:id="rId1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3" i="1" l="1"/>
  <c r="K13" i="1"/>
  <c r="L13" i="1"/>
  <c r="M13" i="1"/>
  <c r="N13" i="1"/>
  <c r="J26" i="1"/>
  <c r="K26" i="1"/>
  <c r="L26" i="1"/>
  <c r="M26" i="1"/>
  <c r="N26" i="1"/>
  <c r="G73" i="14"/>
  <c r="G59" i="14"/>
  <c r="G45" i="14"/>
  <c r="G17" i="14"/>
  <c r="G31" i="14"/>
  <c r="G63" i="14"/>
  <c r="G62" i="14"/>
  <c r="G61" i="14"/>
  <c r="G49" i="14"/>
  <c r="G48" i="14"/>
  <c r="G47" i="14"/>
  <c r="G35" i="14"/>
  <c r="G34" i="14"/>
  <c r="G33" i="14"/>
  <c r="G21" i="14"/>
  <c r="G20" i="14"/>
  <c r="G19" i="14"/>
  <c r="G6" i="14"/>
  <c r="G5" i="14"/>
  <c r="G42" i="4"/>
  <c r="H42" i="4"/>
  <c r="I42" i="4"/>
  <c r="J42" i="4"/>
  <c r="F42" i="4"/>
  <c r="H13" i="4"/>
  <c r="I13" i="4"/>
  <c r="J13" i="4"/>
  <c r="J15" i="4"/>
  <c r="I15" i="4"/>
  <c r="H15" i="4"/>
  <c r="G15" i="4"/>
  <c r="J17" i="4"/>
  <c r="J18" i="4" s="1"/>
  <c r="I17" i="4"/>
  <c r="I18" i="4" s="1"/>
  <c r="H17" i="4"/>
  <c r="H18" i="4" s="1"/>
  <c r="F15" i="4"/>
  <c r="F29" i="4"/>
  <c r="J22" i="4"/>
  <c r="J23" i="4" s="1"/>
  <c r="H22" i="4"/>
  <c r="H23" i="4" s="1"/>
  <c r="I22" i="4"/>
  <c r="I23" i="4" s="1"/>
  <c r="J9" i="4"/>
  <c r="I9" i="4"/>
  <c r="H9" i="4"/>
  <c r="G9" i="4"/>
  <c r="F9" i="4"/>
  <c r="J7" i="4"/>
  <c r="I7" i="4"/>
  <c r="H7" i="4"/>
  <c r="G7" i="4"/>
  <c r="F7" i="4"/>
  <c r="G17" i="4"/>
  <c r="F17" i="4"/>
  <c r="G13" i="4"/>
  <c r="F13" i="4"/>
  <c r="G4" i="14"/>
  <c r="AO58" i="11"/>
  <c r="AN58" i="11"/>
  <c r="AM58" i="11"/>
  <c r="AL58" i="11"/>
  <c r="AK58" i="11"/>
  <c r="AO57" i="11"/>
  <c r="AN57" i="11"/>
  <c r="AM57" i="11"/>
  <c r="AL57" i="11"/>
  <c r="D57" i="11"/>
  <c r="F57" i="11" s="1"/>
  <c r="AK57" i="11" s="1"/>
  <c r="AD56" i="11"/>
  <c r="AE56" i="11" s="1"/>
  <c r="AF56" i="11" s="1"/>
  <c r="AG56" i="11" s="1"/>
  <c r="AH56" i="11" s="1"/>
  <c r="R56" i="11"/>
  <c r="S56" i="11" s="1"/>
  <c r="T56" i="11" s="1"/>
  <c r="U56" i="11" s="1"/>
  <c r="F56" i="11"/>
  <c r="AH55" i="11"/>
  <c r="AH59" i="11" s="1"/>
  <c r="AH64" i="11" s="1"/>
  <c r="AG55" i="11"/>
  <c r="AF55" i="11"/>
  <c r="AE55" i="11"/>
  <c r="AD55" i="11"/>
  <c r="AA55" i="11"/>
  <c r="Z55" i="11"/>
  <c r="Y55" i="11"/>
  <c r="X55" i="11"/>
  <c r="W55" i="11"/>
  <c r="V55" i="11"/>
  <c r="U55" i="11"/>
  <c r="T55" i="11"/>
  <c r="S55" i="11"/>
  <c r="R55" i="11"/>
  <c r="O55" i="11"/>
  <c r="N55" i="11"/>
  <c r="M55" i="11"/>
  <c r="L55" i="11"/>
  <c r="K55" i="11"/>
  <c r="J55" i="11"/>
  <c r="AO55" i="11" s="1"/>
  <c r="I55" i="11"/>
  <c r="H55" i="11"/>
  <c r="AM55" i="11" s="1"/>
  <c r="G55" i="11"/>
  <c r="F55" i="11"/>
  <c r="AK55" i="11" s="1"/>
  <c r="AH54" i="11"/>
  <c r="AG54" i="11"/>
  <c r="AF54" i="11"/>
  <c r="AE54" i="11"/>
  <c r="AD54" i="11"/>
  <c r="AA54" i="11"/>
  <c r="Z54" i="11"/>
  <c r="Y54" i="11"/>
  <c r="X54" i="11"/>
  <c r="W54" i="11"/>
  <c r="V54" i="11"/>
  <c r="U54" i="11"/>
  <c r="T54" i="11"/>
  <c r="S54" i="11"/>
  <c r="R54" i="11"/>
  <c r="R59" i="11" s="1"/>
  <c r="O54" i="11"/>
  <c r="N54" i="11"/>
  <c r="M54" i="11"/>
  <c r="L54" i="11"/>
  <c r="AL54" i="11" s="1"/>
  <c r="K54" i="11"/>
  <c r="J54" i="11"/>
  <c r="AO54" i="11" s="1"/>
  <c r="I54" i="11"/>
  <c r="AN54" i="11" s="1"/>
  <c r="H54" i="11"/>
  <c r="AM54" i="11" s="1"/>
  <c r="G54" i="11"/>
  <c r="F54" i="11"/>
  <c r="AK54" i="11" s="1"/>
  <c r="AN53" i="11"/>
  <c r="AH53" i="11"/>
  <c r="AG53" i="11"/>
  <c r="AF53" i="11"/>
  <c r="AF59" i="11" s="1"/>
  <c r="AE53" i="11"/>
  <c r="AE59" i="11" s="1"/>
  <c r="AE64" i="11" s="1"/>
  <c r="AD53" i="11"/>
  <c r="AD59" i="11" s="1"/>
  <c r="AD64" i="11" s="1"/>
  <c r="AA53" i="11"/>
  <c r="Z53" i="11"/>
  <c r="Y53" i="11"/>
  <c r="X53" i="11"/>
  <c r="W53" i="11"/>
  <c r="V53" i="11"/>
  <c r="U53" i="11"/>
  <c r="T53" i="11"/>
  <c r="S53" i="11"/>
  <c r="S59" i="11" s="1"/>
  <c r="S64" i="11" s="1"/>
  <c r="R53" i="11"/>
  <c r="O53" i="11"/>
  <c r="N53" i="11"/>
  <c r="M53" i="11"/>
  <c r="L53" i="11"/>
  <c r="K53" i="11"/>
  <c r="J53" i="11"/>
  <c r="I53" i="11"/>
  <c r="H53" i="11"/>
  <c r="AM53" i="11" s="1"/>
  <c r="G53" i="11"/>
  <c r="AL53" i="11" s="1"/>
  <c r="F53" i="11"/>
  <c r="AK53" i="11" s="1"/>
  <c r="AD51" i="11"/>
  <c r="AA51" i="11"/>
  <c r="Z51" i="11"/>
  <c r="T51" i="11"/>
  <c r="S51" i="11"/>
  <c r="R51" i="11"/>
  <c r="J51" i="11"/>
  <c r="I51" i="11"/>
  <c r="H51" i="11"/>
  <c r="AO50" i="11"/>
  <c r="AN50" i="11"/>
  <c r="AM50" i="11"/>
  <c r="AL50" i="11"/>
  <c r="AK50" i="11"/>
  <c r="AO49" i="11"/>
  <c r="AN49" i="11"/>
  <c r="AM49" i="11"/>
  <c r="AL49" i="11"/>
  <c r="AK49" i="11"/>
  <c r="AO48" i="11"/>
  <c r="AN48" i="11"/>
  <c r="AM48" i="11"/>
  <c r="AL48" i="11"/>
  <c r="AK48" i="11"/>
  <c r="AH47" i="11"/>
  <c r="AG47" i="11"/>
  <c r="AF47" i="11"/>
  <c r="AE47" i="11"/>
  <c r="AD47" i="11"/>
  <c r="AA47" i="11"/>
  <c r="Z47" i="11"/>
  <c r="Y47" i="11"/>
  <c r="X47" i="11"/>
  <c r="W47" i="11"/>
  <c r="V47" i="11"/>
  <c r="U47" i="11"/>
  <c r="T47" i="11"/>
  <c r="S47" i="11"/>
  <c r="R47" i="11"/>
  <c r="O47" i="11"/>
  <c r="N47" i="11"/>
  <c r="M47" i="11"/>
  <c r="AM47" i="11" s="1"/>
  <c r="L47" i="11"/>
  <c r="K47" i="11"/>
  <c r="J47" i="11"/>
  <c r="AO47" i="11" s="1"/>
  <c r="I47" i="11"/>
  <c r="AN47" i="11" s="1"/>
  <c r="H47" i="11"/>
  <c r="G47" i="11"/>
  <c r="AL47" i="11" s="1"/>
  <c r="F47" i="11"/>
  <c r="AK47" i="11" s="1"/>
  <c r="AO46" i="11"/>
  <c r="AH46" i="11"/>
  <c r="AH51" i="11" s="1"/>
  <c r="AG46" i="11"/>
  <c r="AG51" i="11" s="1"/>
  <c r="AF46" i="11"/>
  <c r="AF51" i="11" s="1"/>
  <c r="AE46" i="11"/>
  <c r="AE51" i="11" s="1"/>
  <c r="AD46" i="11"/>
  <c r="AA46" i="11"/>
  <c r="Z46" i="11"/>
  <c r="Y46" i="11"/>
  <c r="Y51" i="11" s="1"/>
  <c r="X46" i="11"/>
  <c r="X51" i="11" s="1"/>
  <c r="W46" i="11"/>
  <c r="W51" i="11" s="1"/>
  <c r="V46" i="11"/>
  <c r="V51" i="11" s="1"/>
  <c r="U46" i="11"/>
  <c r="U51" i="11" s="1"/>
  <c r="T46" i="11"/>
  <c r="S46" i="11"/>
  <c r="R46" i="11"/>
  <c r="O46" i="11"/>
  <c r="O51" i="11" s="1"/>
  <c r="N46" i="11"/>
  <c r="N51" i="11" s="1"/>
  <c r="M46" i="11"/>
  <c r="M51" i="11" s="1"/>
  <c r="L46" i="11"/>
  <c r="L51" i="11" s="1"/>
  <c r="K46" i="11"/>
  <c r="AK46" i="11" s="1"/>
  <c r="AK51" i="11" s="1"/>
  <c r="J46" i="11"/>
  <c r="I46" i="11"/>
  <c r="AN46" i="11" s="1"/>
  <c r="H46" i="11"/>
  <c r="AM46" i="11" s="1"/>
  <c r="G46" i="11"/>
  <c r="G51" i="11" s="1"/>
  <c r="F46" i="11"/>
  <c r="F51" i="11" s="1"/>
  <c r="AH44" i="11"/>
  <c r="AG44" i="11"/>
  <c r="AE44" i="11"/>
  <c r="AD44" i="11"/>
  <c r="AA44" i="11"/>
  <c r="X44" i="11"/>
  <c r="W44" i="11"/>
  <c r="U44" i="11"/>
  <c r="T44" i="11"/>
  <c r="S44" i="11"/>
  <c r="N44" i="11"/>
  <c r="M44" i="11"/>
  <c r="K44" i="11"/>
  <c r="J44" i="11"/>
  <c r="I44" i="11"/>
  <c r="F44" i="11"/>
  <c r="AK43" i="11"/>
  <c r="AK44" i="11" s="1"/>
  <c r="AH43" i="11"/>
  <c r="AG43" i="11"/>
  <c r="AF43" i="11"/>
  <c r="AF44" i="11" s="1"/>
  <c r="AE43" i="11"/>
  <c r="AD43" i="11"/>
  <c r="AA43" i="11"/>
  <c r="Z43" i="11"/>
  <c r="Z44" i="11" s="1"/>
  <c r="Y43" i="11"/>
  <c r="Y44" i="11" s="1"/>
  <c r="X43" i="11"/>
  <c r="W43" i="11"/>
  <c r="V43" i="11"/>
  <c r="V44" i="11" s="1"/>
  <c r="U43" i="11"/>
  <c r="T43" i="11"/>
  <c r="S43" i="11"/>
  <c r="R43" i="11"/>
  <c r="R44" i="11" s="1"/>
  <c r="O43" i="11"/>
  <c r="O44" i="11" s="1"/>
  <c r="N43" i="11"/>
  <c r="M43" i="11"/>
  <c r="L43" i="11"/>
  <c r="L44" i="11" s="1"/>
  <c r="K43" i="11"/>
  <c r="J43" i="11"/>
  <c r="I43" i="11"/>
  <c r="AN43" i="11" s="1"/>
  <c r="AN44" i="11" s="1"/>
  <c r="H43" i="11"/>
  <c r="H44" i="11" s="1"/>
  <c r="G43" i="11"/>
  <c r="G44" i="11" s="1"/>
  <c r="F43" i="11"/>
  <c r="AO42" i="11"/>
  <c r="AN42" i="11"/>
  <c r="AM42" i="11"/>
  <c r="AL42" i="11"/>
  <c r="AK42" i="11"/>
  <c r="AO40" i="11"/>
  <c r="AN40" i="11"/>
  <c r="AH40" i="11"/>
  <c r="AG40" i="11"/>
  <c r="AF40" i="11"/>
  <c r="AE40" i="11"/>
  <c r="AD40" i="11"/>
  <c r="AA40" i="11"/>
  <c r="Z40" i="11"/>
  <c r="Y40" i="11"/>
  <c r="X40" i="11"/>
  <c r="W40" i="11"/>
  <c r="V40" i="11"/>
  <c r="U40" i="11"/>
  <c r="T40" i="11"/>
  <c r="S40" i="11"/>
  <c r="R40" i="11"/>
  <c r="O40" i="11"/>
  <c r="N40" i="11"/>
  <c r="M40" i="11"/>
  <c r="K40" i="11"/>
  <c r="J40" i="11"/>
  <c r="I40" i="11"/>
  <c r="H40" i="11"/>
  <c r="F40" i="11"/>
  <c r="AO39" i="11"/>
  <c r="AN39" i="11"/>
  <c r="AM39" i="11"/>
  <c r="AL39" i="11"/>
  <c r="L39" i="11"/>
  <c r="K39" i="11"/>
  <c r="G39" i="11"/>
  <c r="G40" i="11" s="1"/>
  <c r="F39" i="11"/>
  <c r="AK39" i="11" s="1"/>
  <c r="AO38" i="11"/>
  <c r="AN38" i="11"/>
  <c r="AM38" i="11"/>
  <c r="AL38" i="11"/>
  <c r="AK38" i="11"/>
  <c r="AO37" i="11"/>
  <c r="AN37" i="11"/>
  <c r="AM37" i="11"/>
  <c r="AM40" i="11" s="1"/>
  <c r="AK37" i="11"/>
  <c r="L37" i="11"/>
  <c r="L40" i="11" s="1"/>
  <c r="K37" i="11"/>
  <c r="G37" i="11"/>
  <c r="F37" i="11"/>
  <c r="AO36" i="11"/>
  <c r="AN36" i="11"/>
  <c r="AM36" i="11"/>
  <c r="AL36" i="11"/>
  <c r="AK36" i="11"/>
  <c r="AH34" i="11"/>
  <c r="AG34" i="11"/>
  <c r="AF34" i="11"/>
  <c r="AE34" i="11"/>
  <c r="AD34" i="11"/>
  <c r="AA34" i="11"/>
  <c r="Z34" i="11"/>
  <c r="Y34" i="11"/>
  <c r="X34" i="11"/>
  <c r="W34" i="11"/>
  <c r="V34" i="11"/>
  <c r="U34" i="11"/>
  <c r="T34" i="11"/>
  <c r="S34" i="11"/>
  <c r="R34" i="11"/>
  <c r="O34" i="11"/>
  <c r="N34" i="11"/>
  <c r="M34" i="11"/>
  <c r="L34" i="11"/>
  <c r="K34" i="11"/>
  <c r="J34" i="11"/>
  <c r="I34" i="11"/>
  <c r="H34" i="11"/>
  <c r="G34" i="11"/>
  <c r="F34" i="11"/>
  <c r="AO33" i="11"/>
  <c r="AO32" i="11"/>
  <c r="AO31" i="11"/>
  <c r="AO34" i="11" s="1"/>
  <c r="AN30" i="11"/>
  <c r="AN29" i="11"/>
  <c r="AN28" i="11"/>
  <c r="AN34" i="11" s="1"/>
  <c r="AM27" i="11"/>
  <c r="AM26" i="11"/>
  <c r="AM25" i="11"/>
  <c r="AM34" i="11" s="1"/>
  <c r="AL24" i="11"/>
  <c r="AL34" i="11" s="1"/>
  <c r="AL23" i="11"/>
  <c r="AL22" i="11"/>
  <c r="AK21" i="11"/>
  <c r="AK20" i="11"/>
  <c r="AK19" i="11"/>
  <c r="AK34" i="11" s="1"/>
  <c r="AM17" i="11"/>
  <c r="AH17" i="11"/>
  <c r="AG17" i="11"/>
  <c r="AF17" i="11"/>
  <c r="AE17" i="11"/>
  <c r="AD17" i="11"/>
  <c r="AA17" i="11"/>
  <c r="Z17" i="11"/>
  <c r="Y17" i="11"/>
  <c r="X17" i="11"/>
  <c r="V17" i="11"/>
  <c r="U17" i="11"/>
  <c r="T17" i="11"/>
  <c r="S17" i="11"/>
  <c r="J17" i="11"/>
  <c r="I17" i="11"/>
  <c r="H17" i="11"/>
  <c r="F17" i="11"/>
  <c r="AO16" i="11"/>
  <c r="AN16" i="11"/>
  <c r="AN17" i="11" s="1"/>
  <c r="AM16" i="11"/>
  <c r="AL16" i="11"/>
  <c r="AK16" i="11"/>
  <c r="AO15" i="11"/>
  <c r="AN15" i="11"/>
  <c r="AM15" i="11"/>
  <c r="AL15" i="11"/>
  <c r="AK15" i="11"/>
  <c r="AO14" i="11"/>
  <c r="AN14" i="11"/>
  <c r="AM14" i="11"/>
  <c r="AL14" i="11"/>
  <c r="AD14" i="11"/>
  <c r="W14" i="11"/>
  <c r="W17" i="11" s="1"/>
  <c r="R14" i="11"/>
  <c r="R17" i="11" s="1"/>
  <c r="G14" i="11"/>
  <c r="G17" i="11" s="1"/>
  <c r="F14" i="11"/>
  <c r="AK14" i="11" s="1"/>
  <c r="AO13" i="11"/>
  <c r="AN13" i="11"/>
  <c r="AM13" i="11"/>
  <c r="AL13" i="11"/>
  <c r="AK13" i="11"/>
  <c r="AO12" i="11"/>
  <c r="AO17" i="11" s="1"/>
  <c r="AN12" i="11"/>
  <c r="AM12" i="11"/>
  <c r="AL12" i="11"/>
  <c r="AK12" i="11"/>
  <c r="AO11" i="11"/>
  <c r="AN11" i="11"/>
  <c r="AM11" i="11"/>
  <c r="AL11" i="11"/>
  <c r="AL17" i="11" s="1"/>
  <c r="AK11" i="11"/>
  <c r="AK17" i="11" s="1"/>
  <c r="AO58" i="10"/>
  <c r="AN58" i="10"/>
  <c r="AM58" i="10"/>
  <c r="AL58" i="10"/>
  <c r="AK58" i="10"/>
  <c r="AO57" i="10"/>
  <c r="AN57" i="10"/>
  <c r="AM57" i="10"/>
  <c r="AL57" i="10"/>
  <c r="D57" i="10"/>
  <c r="F57" i="10" s="1"/>
  <c r="AK57" i="10" s="1"/>
  <c r="AD56" i="10"/>
  <c r="AE56" i="10" s="1"/>
  <c r="AF56" i="10" s="1"/>
  <c r="AG56" i="10" s="1"/>
  <c r="AH56" i="10" s="1"/>
  <c r="R56" i="10"/>
  <c r="S56" i="10" s="1"/>
  <c r="T56" i="10" s="1"/>
  <c r="U56" i="10" s="1"/>
  <c r="F56" i="10"/>
  <c r="AH55" i="10"/>
  <c r="AH59" i="10" s="1"/>
  <c r="AG55" i="10"/>
  <c r="AF55" i="10"/>
  <c r="AE55" i="10"/>
  <c r="AD55" i="10"/>
  <c r="AA55" i="10"/>
  <c r="Z55" i="10"/>
  <c r="Y55" i="10"/>
  <c r="X55" i="10"/>
  <c r="W55" i="10"/>
  <c r="V55" i="10"/>
  <c r="U55" i="10"/>
  <c r="T55" i="10"/>
  <c r="S55" i="10"/>
  <c r="R55" i="10"/>
  <c r="O55" i="10"/>
  <c r="N55" i="10"/>
  <c r="M55" i="10"/>
  <c r="L55" i="10"/>
  <c r="K55" i="10"/>
  <c r="J55" i="10"/>
  <c r="AO55" i="10" s="1"/>
  <c r="I55" i="10"/>
  <c r="AN55" i="10" s="1"/>
  <c r="H55" i="10"/>
  <c r="AM55" i="10" s="1"/>
  <c r="G55" i="10"/>
  <c r="F55" i="10"/>
  <c r="AK55" i="10" s="1"/>
  <c r="AH54" i="10"/>
  <c r="AG54" i="10"/>
  <c r="AF54" i="10"/>
  <c r="AE54" i="10"/>
  <c r="AD54" i="10"/>
  <c r="AA54" i="10"/>
  <c r="Z54" i="10"/>
  <c r="Y54" i="10"/>
  <c r="X54" i="10"/>
  <c r="W54" i="10"/>
  <c r="V54" i="10"/>
  <c r="U54" i="10"/>
  <c r="T54" i="10"/>
  <c r="S54" i="10"/>
  <c r="R54" i="10"/>
  <c r="O54" i="10"/>
  <c r="N54" i="10"/>
  <c r="M54" i="10"/>
  <c r="L54" i="10"/>
  <c r="K54" i="10"/>
  <c r="J54" i="10"/>
  <c r="AO54" i="10" s="1"/>
  <c r="I54" i="10"/>
  <c r="AN54" i="10" s="1"/>
  <c r="H54" i="10"/>
  <c r="AM54" i="10" s="1"/>
  <c r="G54" i="10"/>
  <c r="AL54" i="10" s="1"/>
  <c r="F54" i="10"/>
  <c r="AK54" i="10" s="1"/>
  <c r="AN53" i="10"/>
  <c r="AH53" i="10"/>
  <c r="AG53" i="10"/>
  <c r="AG59" i="10" s="1"/>
  <c r="AF53" i="10"/>
  <c r="AF59" i="10" s="1"/>
  <c r="AE53" i="10"/>
  <c r="AE59" i="10" s="1"/>
  <c r="AD53" i="10"/>
  <c r="AD59" i="10" s="1"/>
  <c r="AD64" i="10" s="1"/>
  <c r="AA53" i="10"/>
  <c r="Z53" i="10"/>
  <c r="Y53" i="10"/>
  <c r="X53" i="10"/>
  <c r="W53" i="10"/>
  <c r="V53" i="10"/>
  <c r="U53" i="10"/>
  <c r="U59" i="10" s="1"/>
  <c r="T53" i="10"/>
  <c r="S53" i="10"/>
  <c r="R53" i="10"/>
  <c r="R59" i="10" s="1"/>
  <c r="O53" i="10"/>
  <c r="N53" i="10"/>
  <c r="M53" i="10"/>
  <c r="L53" i="10"/>
  <c r="K53" i="10"/>
  <c r="J53" i="10"/>
  <c r="I53" i="10"/>
  <c r="H53" i="10"/>
  <c r="AM53" i="10" s="1"/>
  <c r="G53" i="10"/>
  <c r="AL53" i="10" s="1"/>
  <c r="F53" i="10"/>
  <c r="AK53" i="10" s="1"/>
  <c r="AA51" i="10"/>
  <c r="Z51" i="10"/>
  <c r="S51" i="10"/>
  <c r="R51" i="10"/>
  <c r="I51" i="10"/>
  <c r="H51" i="10"/>
  <c r="AO50" i="10"/>
  <c r="AN50" i="10"/>
  <c r="AM50" i="10"/>
  <c r="AL50" i="10"/>
  <c r="AK50" i="10"/>
  <c r="AO49" i="10"/>
  <c r="AN49" i="10"/>
  <c r="AM49" i="10"/>
  <c r="AL49" i="10"/>
  <c r="AK49" i="10"/>
  <c r="AO48" i="10"/>
  <c r="AN48" i="10"/>
  <c r="AM48" i="10"/>
  <c r="AL48" i="10"/>
  <c r="AK48" i="10"/>
  <c r="AH47" i="10"/>
  <c r="AG47" i="10"/>
  <c r="AF47" i="10"/>
  <c r="AE47" i="10"/>
  <c r="AD47" i="10"/>
  <c r="AA47" i="10"/>
  <c r="Z47" i="10"/>
  <c r="Y47" i="10"/>
  <c r="X47" i="10"/>
  <c r="W47" i="10"/>
  <c r="V47" i="10"/>
  <c r="U47" i="10"/>
  <c r="T47" i="10"/>
  <c r="S47" i="10"/>
  <c r="R47" i="10"/>
  <c r="O47" i="10"/>
  <c r="N47" i="10"/>
  <c r="M47" i="10"/>
  <c r="L47" i="10"/>
  <c r="K47" i="10"/>
  <c r="J47" i="10"/>
  <c r="AO47" i="10" s="1"/>
  <c r="I47" i="10"/>
  <c r="AN47" i="10" s="1"/>
  <c r="H47" i="10"/>
  <c r="AM47" i="10" s="1"/>
  <c r="G47" i="10"/>
  <c r="AL47" i="10" s="1"/>
  <c r="F47" i="10"/>
  <c r="AK47" i="10" s="1"/>
  <c r="AO46" i="10"/>
  <c r="AO51" i="10" s="1"/>
  <c r="AH46" i="10"/>
  <c r="AH51" i="10" s="1"/>
  <c r="AG46" i="10"/>
  <c r="AG51" i="10" s="1"/>
  <c r="AF46" i="10"/>
  <c r="AF51" i="10" s="1"/>
  <c r="AE46" i="10"/>
  <c r="AE51" i="10" s="1"/>
  <c r="AD46" i="10"/>
  <c r="AD51" i="10" s="1"/>
  <c r="AA46" i="10"/>
  <c r="Z46" i="10"/>
  <c r="Y46" i="10"/>
  <c r="Y51" i="10" s="1"/>
  <c r="X46" i="10"/>
  <c r="X51" i="10" s="1"/>
  <c r="W46" i="10"/>
  <c r="W51" i="10" s="1"/>
  <c r="V46" i="10"/>
  <c r="V51" i="10" s="1"/>
  <c r="U46" i="10"/>
  <c r="U51" i="10" s="1"/>
  <c r="T46" i="10"/>
  <c r="T51" i="10" s="1"/>
  <c r="S46" i="10"/>
  <c r="R46" i="10"/>
  <c r="O46" i="10"/>
  <c r="O51" i="10" s="1"/>
  <c r="N46" i="10"/>
  <c r="N51" i="10" s="1"/>
  <c r="M46" i="10"/>
  <c r="M51" i="10" s="1"/>
  <c r="L46" i="10"/>
  <c r="L51" i="10" s="1"/>
  <c r="K46" i="10"/>
  <c r="K51" i="10" s="1"/>
  <c r="J46" i="10"/>
  <c r="J51" i="10" s="1"/>
  <c r="I46" i="10"/>
  <c r="AN46" i="10" s="1"/>
  <c r="H46" i="10"/>
  <c r="AM46" i="10" s="1"/>
  <c r="AM51" i="10" s="1"/>
  <c r="G46" i="10"/>
  <c r="G51" i="10" s="1"/>
  <c r="F46" i="10"/>
  <c r="F51" i="10" s="1"/>
  <c r="AD44" i="10"/>
  <c r="AA44" i="10"/>
  <c r="T44" i="10"/>
  <c r="S44" i="10"/>
  <c r="J44" i="10"/>
  <c r="I44" i="10"/>
  <c r="AK43" i="10"/>
  <c r="AK44" i="10" s="1"/>
  <c r="AH43" i="10"/>
  <c r="AH44" i="10" s="1"/>
  <c r="AG43" i="10"/>
  <c r="AG44" i="10" s="1"/>
  <c r="AF43" i="10"/>
  <c r="AF44" i="10" s="1"/>
  <c r="AE43" i="10"/>
  <c r="AE44" i="10" s="1"/>
  <c r="AD43" i="10"/>
  <c r="AA43" i="10"/>
  <c r="Z43" i="10"/>
  <c r="Z44" i="10" s="1"/>
  <c r="Y43" i="10"/>
  <c r="Y44" i="10" s="1"/>
  <c r="X43" i="10"/>
  <c r="X44" i="10" s="1"/>
  <c r="W43" i="10"/>
  <c r="W44" i="10" s="1"/>
  <c r="V43" i="10"/>
  <c r="V44" i="10" s="1"/>
  <c r="U43" i="10"/>
  <c r="U44" i="10" s="1"/>
  <c r="T43" i="10"/>
  <c r="S43" i="10"/>
  <c r="R43" i="10"/>
  <c r="R44" i="10" s="1"/>
  <c r="O43" i="10"/>
  <c r="O44" i="10" s="1"/>
  <c r="N43" i="10"/>
  <c r="N44" i="10" s="1"/>
  <c r="M43" i="10"/>
  <c r="M44" i="10" s="1"/>
  <c r="L43" i="10"/>
  <c r="L44" i="10" s="1"/>
  <c r="K43" i="10"/>
  <c r="K44" i="10" s="1"/>
  <c r="J43" i="10"/>
  <c r="AO43" i="10" s="1"/>
  <c r="AO44" i="10" s="1"/>
  <c r="I43" i="10"/>
  <c r="AN43" i="10" s="1"/>
  <c r="AN44" i="10" s="1"/>
  <c r="H43" i="10"/>
  <c r="H44" i="10" s="1"/>
  <c r="G43" i="10"/>
  <c r="G44" i="10" s="1"/>
  <c r="F43" i="10"/>
  <c r="F44" i="10" s="1"/>
  <c r="AO42" i="10"/>
  <c r="AN42" i="10"/>
  <c r="AM42" i="10"/>
  <c r="AL42" i="10"/>
  <c r="AK42" i="10"/>
  <c r="AO40" i="10"/>
  <c r="AN40" i="10"/>
  <c r="AH40" i="10"/>
  <c r="AG40" i="10"/>
  <c r="AF40" i="10"/>
  <c r="AE40" i="10"/>
  <c r="AD40" i="10"/>
  <c r="AA40" i="10"/>
  <c r="Z40" i="10"/>
  <c r="Y40" i="10"/>
  <c r="X40" i="10"/>
  <c r="W40" i="10"/>
  <c r="V40" i="10"/>
  <c r="U40" i="10"/>
  <c r="T40" i="10"/>
  <c r="S40" i="10"/>
  <c r="R40" i="10"/>
  <c r="O40" i="10"/>
  <c r="N40" i="10"/>
  <c r="M40" i="10"/>
  <c r="K40" i="10"/>
  <c r="J40" i="10"/>
  <c r="I40" i="10"/>
  <c r="H40" i="10"/>
  <c r="AO39" i="10"/>
  <c r="AN39" i="10"/>
  <c r="AM39" i="10"/>
  <c r="AL39" i="10"/>
  <c r="L39" i="10"/>
  <c r="K39" i="10"/>
  <c r="G39" i="10"/>
  <c r="F39" i="10"/>
  <c r="AK39" i="10" s="1"/>
  <c r="AO38" i="10"/>
  <c r="AN38" i="10"/>
  <c r="AM38" i="10"/>
  <c r="AL38" i="10"/>
  <c r="AK38" i="10"/>
  <c r="AO37" i="10"/>
  <c r="AN37" i="10"/>
  <c r="AM37" i="10"/>
  <c r="AM40" i="10" s="1"/>
  <c r="AK37" i="10"/>
  <c r="AK40" i="10" s="1"/>
  <c r="L37" i="10"/>
  <c r="L40" i="10" s="1"/>
  <c r="K37" i="10"/>
  <c r="G37" i="10"/>
  <c r="G40" i="10" s="1"/>
  <c r="F37" i="10"/>
  <c r="F40" i="10" s="1"/>
  <c r="AO36" i="10"/>
  <c r="AN36" i="10"/>
  <c r="AM36" i="10"/>
  <c r="AL36" i="10"/>
  <c r="AK36" i="10"/>
  <c r="AH34" i="10"/>
  <c r="AG34" i="10"/>
  <c r="AF34" i="10"/>
  <c r="AE34" i="10"/>
  <c r="AD34" i="10"/>
  <c r="AA34" i="10"/>
  <c r="Z34" i="10"/>
  <c r="Y34" i="10"/>
  <c r="X34" i="10"/>
  <c r="W34" i="10"/>
  <c r="V34" i="10"/>
  <c r="U34" i="10"/>
  <c r="T34" i="10"/>
  <c r="S34" i="10"/>
  <c r="R34" i="10"/>
  <c r="O34" i="10"/>
  <c r="N34" i="10"/>
  <c r="M34" i="10"/>
  <c r="L34" i="10"/>
  <c r="K34" i="10"/>
  <c r="J34" i="10"/>
  <c r="I34" i="10"/>
  <c r="H34" i="10"/>
  <c r="G34" i="10"/>
  <c r="F34" i="10"/>
  <c r="AO33" i="10"/>
  <c r="AO32" i="10"/>
  <c r="AO31" i="10"/>
  <c r="AO34" i="10" s="1"/>
  <c r="AN30" i="10"/>
  <c r="AN29" i="10"/>
  <c r="AN28" i="10"/>
  <c r="AN34" i="10" s="1"/>
  <c r="AM27" i="10"/>
  <c r="AM26" i="10"/>
  <c r="AM25" i="10"/>
  <c r="AM34" i="10" s="1"/>
  <c r="AL24" i="10"/>
  <c r="AL23" i="10"/>
  <c r="AL22" i="10"/>
  <c r="AL34" i="10" s="1"/>
  <c r="AK21" i="10"/>
  <c r="AK20" i="10"/>
  <c r="AK19" i="10"/>
  <c r="AK34" i="10" s="1"/>
  <c r="AM17" i="10"/>
  <c r="AH17" i="10"/>
  <c r="AG17" i="10"/>
  <c r="AF17" i="10"/>
  <c r="AE17" i="10"/>
  <c r="AD17" i="10"/>
  <c r="AA17" i="10"/>
  <c r="Z17" i="10"/>
  <c r="Y17" i="10"/>
  <c r="X17" i="10"/>
  <c r="V17" i="10"/>
  <c r="U17" i="10"/>
  <c r="T17" i="10"/>
  <c r="S17" i="10"/>
  <c r="J17" i="10"/>
  <c r="I17" i="10"/>
  <c r="H17" i="10"/>
  <c r="AO16" i="10"/>
  <c r="AN16" i="10"/>
  <c r="AN17" i="10" s="1"/>
  <c r="AM16" i="10"/>
  <c r="AL16" i="10"/>
  <c r="AK16" i="10"/>
  <c r="AO15" i="10"/>
  <c r="AN15" i="10"/>
  <c r="AM15" i="10"/>
  <c r="AL15" i="10"/>
  <c r="AK15" i="10"/>
  <c r="AO14" i="10"/>
  <c r="AN14" i="10"/>
  <c r="AM14" i="10"/>
  <c r="AD14" i="10"/>
  <c r="W14" i="10"/>
  <c r="W17" i="10" s="1"/>
  <c r="R14" i="10"/>
  <c r="R17" i="10" s="1"/>
  <c r="G14" i="10"/>
  <c r="AL14" i="10" s="1"/>
  <c r="F14" i="10"/>
  <c r="AK14" i="10" s="1"/>
  <c r="AO13" i="10"/>
  <c r="AN13" i="10"/>
  <c r="AM13" i="10"/>
  <c r="AL13" i="10"/>
  <c r="AK13" i="10"/>
  <c r="AO12" i="10"/>
  <c r="AN12" i="10"/>
  <c r="AM12" i="10"/>
  <c r="AL12" i="10"/>
  <c r="AK12" i="10"/>
  <c r="AO11" i="10"/>
  <c r="AO17" i="10" s="1"/>
  <c r="AN11" i="10"/>
  <c r="AM11" i="10"/>
  <c r="AL11" i="10"/>
  <c r="AK11" i="10"/>
  <c r="AK17" i="10" s="1"/>
  <c r="AO58" i="9"/>
  <c r="AN58" i="9"/>
  <c r="AM58" i="9"/>
  <c r="AL58" i="9"/>
  <c r="AK58" i="9"/>
  <c r="AO57" i="9"/>
  <c r="AN57" i="9"/>
  <c r="AM57" i="9"/>
  <c r="AL57" i="9"/>
  <c r="D57" i="9"/>
  <c r="F57" i="9" s="1"/>
  <c r="AK57" i="9" s="1"/>
  <c r="AD56" i="9"/>
  <c r="AE56" i="9" s="1"/>
  <c r="AF56" i="9" s="1"/>
  <c r="AG56" i="9" s="1"/>
  <c r="AH56" i="9" s="1"/>
  <c r="R56" i="9"/>
  <c r="S56" i="9" s="1"/>
  <c r="T56" i="9" s="1"/>
  <c r="U56" i="9" s="1"/>
  <c r="F56" i="9"/>
  <c r="AH55" i="9"/>
  <c r="AH59" i="9" s="1"/>
  <c r="AH64" i="9" s="1"/>
  <c r="AG55" i="9"/>
  <c r="AF55" i="9"/>
  <c r="AE55" i="9"/>
  <c r="AD55" i="9"/>
  <c r="AA55" i="9"/>
  <c r="Z55" i="9"/>
  <c r="Y55" i="9"/>
  <c r="X55" i="9"/>
  <c r="W55" i="9"/>
  <c r="V55" i="9"/>
  <c r="U55" i="9"/>
  <c r="T55" i="9"/>
  <c r="S55" i="9"/>
  <c r="R55" i="9"/>
  <c r="O55" i="9"/>
  <c r="N55" i="9"/>
  <c r="M55" i="9"/>
  <c r="L55" i="9"/>
  <c r="K55" i="9"/>
  <c r="J55" i="9"/>
  <c r="AO55" i="9" s="1"/>
  <c r="I55" i="9"/>
  <c r="AN55" i="9" s="1"/>
  <c r="H55" i="9"/>
  <c r="AM55" i="9" s="1"/>
  <c r="G55" i="9"/>
  <c r="AL55" i="9" s="1"/>
  <c r="F55" i="9"/>
  <c r="F59" i="9" s="1"/>
  <c r="AH54" i="9"/>
  <c r="AG54" i="9"/>
  <c r="AF54" i="9"/>
  <c r="AE54" i="9"/>
  <c r="AD54" i="9"/>
  <c r="AA54" i="9"/>
  <c r="Z54" i="9"/>
  <c r="Y54" i="9"/>
  <c r="X54" i="9"/>
  <c r="W54" i="9"/>
  <c r="V54" i="9"/>
  <c r="U54" i="9"/>
  <c r="T54" i="9"/>
  <c r="S54" i="9"/>
  <c r="R54" i="9"/>
  <c r="O54" i="9"/>
  <c r="N54" i="9"/>
  <c r="M54" i="9"/>
  <c r="L54" i="9"/>
  <c r="K54" i="9"/>
  <c r="J54" i="9"/>
  <c r="AO54" i="9" s="1"/>
  <c r="I54" i="9"/>
  <c r="AN54" i="9" s="1"/>
  <c r="H54" i="9"/>
  <c r="AM54" i="9" s="1"/>
  <c r="G54" i="9"/>
  <c r="AL54" i="9" s="1"/>
  <c r="F54" i="9"/>
  <c r="AK54" i="9" s="1"/>
  <c r="AN53" i="9"/>
  <c r="AH53" i="9"/>
  <c r="AG53" i="9"/>
  <c r="AG59" i="9" s="1"/>
  <c r="AF53" i="9"/>
  <c r="AF59" i="9" s="1"/>
  <c r="AE53" i="9"/>
  <c r="AE59" i="9" s="1"/>
  <c r="AD53" i="9"/>
  <c r="AD59" i="9" s="1"/>
  <c r="AA53" i="9"/>
  <c r="Z53" i="9"/>
  <c r="Y53" i="9"/>
  <c r="X53" i="9"/>
  <c r="W53" i="9"/>
  <c r="V53" i="9"/>
  <c r="U53" i="9"/>
  <c r="U59" i="9" s="1"/>
  <c r="T53" i="9"/>
  <c r="T59" i="9" s="1"/>
  <c r="T64" i="9" s="1"/>
  <c r="S53" i="9"/>
  <c r="S59" i="9" s="1"/>
  <c r="S64" i="9" s="1"/>
  <c r="R53" i="9"/>
  <c r="R59" i="9" s="1"/>
  <c r="O53" i="9"/>
  <c r="N53" i="9"/>
  <c r="M53" i="9"/>
  <c r="L53" i="9"/>
  <c r="K53" i="9"/>
  <c r="J53" i="9"/>
  <c r="I53" i="9"/>
  <c r="H53" i="9"/>
  <c r="AM53" i="9" s="1"/>
  <c r="G53" i="9"/>
  <c r="AL53" i="9" s="1"/>
  <c r="F53" i="9"/>
  <c r="AK53" i="9" s="1"/>
  <c r="Z51" i="9"/>
  <c r="R51" i="9"/>
  <c r="H51" i="9"/>
  <c r="AO50" i="9"/>
  <c r="AN50" i="9"/>
  <c r="AM50" i="9"/>
  <c r="AL50" i="9"/>
  <c r="AK50" i="9"/>
  <c r="AO49" i="9"/>
  <c r="AN49" i="9"/>
  <c r="AM49" i="9"/>
  <c r="AL49" i="9"/>
  <c r="AK49" i="9"/>
  <c r="AO48" i="9"/>
  <c r="AN48" i="9"/>
  <c r="AM48" i="9"/>
  <c r="AL48" i="9"/>
  <c r="AK48" i="9"/>
  <c r="AH47" i="9"/>
  <c r="AG47" i="9"/>
  <c r="AF47" i="9"/>
  <c r="AE47" i="9"/>
  <c r="AD47" i="9"/>
  <c r="AA47" i="9"/>
  <c r="Z47" i="9"/>
  <c r="Y47" i="9"/>
  <c r="X47" i="9"/>
  <c r="W47" i="9"/>
  <c r="V47" i="9"/>
  <c r="U47" i="9"/>
  <c r="T47" i="9"/>
  <c r="S47" i="9"/>
  <c r="R47" i="9"/>
  <c r="O47" i="9"/>
  <c r="N47" i="9"/>
  <c r="M47" i="9"/>
  <c r="AM47" i="9" s="1"/>
  <c r="L47" i="9"/>
  <c r="K47" i="9"/>
  <c r="J47" i="9"/>
  <c r="AO47" i="9" s="1"/>
  <c r="I47" i="9"/>
  <c r="AN47" i="9" s="1"/>
  <c r="H47" i="9"/>
  <c r="G47" i="9"/>
  <c r="AL47" i="9" s="1"/>
  <c r="F47" i="9"/>
  <c r="AK47" i="9" s="1"/>
  <c r="AO46" i="9"/>
  <c r="AH46" i="9"/>
  <c r="AH51" i="9" s="1"/>
  <c r="AG46" i="9"/>
  <c r="AG51" i="9" s="1"/>
  <c r="AF46" i="9"/>
  <c r="AF51" i="9" s="1"/>
  <c r="AE46" i="9"/>
  <c r="AE51" i="9" s="1"/>
  <c r="AD46" i="9"/>
  <c r="AD51" i="9" s="1"/>
  <c r="AA46" i="9"/>
  <c r="AA51" i="9" s="1"/>
  <c r="Z46" i="9"/>
  <c r="Y46" i="9"/>
  <c r="Y51" i="9" s="1"/>
  <c r="X46" i="9"/>
  <c r="X51" i="9" s="1"/>
  <c r="W46" i="9"/>
  <c r="W51" i="9" s="1"/>
  <c r="V46" i="9"/>
  <c r="V51" i="9" s="1"/>
  <c r="U46" i="9"/>
  <c r="U51" i="9" s="1"/>
  <c r="T46" i="9"/>
  <c r="T51" i="9" s="1"/>
  <c r="S46" i="9"/>
  <c r="S51" i="9" s="1"/>
  <c r="R46" i="9"/>
  <c r="O46" i="9"/>
  <c r="O51" i="9" s="1"/>
  <c r="N46" i="9"/>
  <c r="N51" i="9" s="1"/>
  <c r="M46" i="9"/>
  <c r="M51" i="9" s="1"/>
  <c r="L46" i="9"/>
  <c r="L51" i="9" s="1"/>
  <c r="K46" i="9"/>
  <c r="AK46" i="9" s="1"/>
  <c r="J46" i="9"/>
  <c r="J51" i="9" s="1"/>
  <c r="I46" i="9"/>
  <c r="AN46" i="9" s="1"/>
  <c r="AN51" i="9" s="1"/>
  <c r="H46" i="9"/>
  <c r="AM46" i="9" s="1"/>
  <c r="AM51" i="9" s="1"/>
  <c r="G46" i="9"/>
  <c r="G51" i="9" s="1"/>
  <c r="F46" i="9"/>
  <c r="F51" i="9" s="1"/>
  <c r="AH44" i="9"/>
  <c r="AD44" i="9"/>
  <c r="AA44" i="9"/>
  <c r="X44" i="9"/>
  <c r="T44" i="9"/>
  <c r="S44" i="9"/>
  <c r="N44" i="9"/>
  <c r="J44" i="9"/>
  <c r="I44" i="9"/>
  <c r="F44" i="9"/>
  <c r="AK43" i="9"/>
  <c r="AK44" i="9" s="1"/>
  <c r="AH43" i="9"/>
  <c r="AG43" i="9"/>
  <c r="AG44" i="9" s="1"/>
  <c r="AF43" i="9"/>
  <c r="AF44" i="9" s="1"/>
  <c r="AE43" i="9"/>
  <c r="AE44" i="9" s="1"/>
  <c r="AD43" i="9"/>
  <c r="AA43" i="9"/>
  <c r="Z43" i="9"/>
  <c r="Z44" i="9" s="1"/>
  <c r="Y43" i="9"/>
  <c r="Y44" i="9" s="1"/>
  <c r="X43" i="9"/>
  <c r="W43" i="9"/>
  <c r="W44" i="9" s="1"/>
  <c r="V43" i="9"/>
  <c r="V44" i="9" s="1"/>
  <c r="U43" i="9"/>
  <c r="U44" i="9" s="1"/>
  <c r="T43" i="9"/>
  <c r="S43" i="9"/>
  <c r="R43" i="9"/>
  <c r="R44" i="9" s="1"/>
  <c r="O43" i="9"/>
  <c r="O44" i="9" s="1"/>
  <c r="N43" i="9"/>
  <c r="M43" i="9"/>
  <c r="M44" i="9" s="1"/>
  <c r="L43" i="9"/>
  <c r="L44" i="9" s="1"/>
  <c r="K43" i="9"/>
  <c r="K44" i="9" s="1"/>
  <c r="J43" i="9"/>
  <c r="I43" i="9"/>
  <c r="AN43" i="9" s="1"/>
  <c r="AN44" i="9" s="1"/>
  <c r="H43" i="9"/>
  <c r="H44" i="9" s="1"/>
  <c r="G43" i="9"/>
  <c r="G44" i="9" s="1"/>
  <c r="F43" i="9"/>
  <c r="AO42" i="9"/>
  <c r="AN42" i="9"/>
  <c r="AM42" i="9"/>
  <c r="AL42" i="9"/>
  <c r="AK42" i="9"/>
  <c r="AN40" i="9"/>
  <c r="AH40" i="9"/>
  <c r="AG40" i="9"/>
  <c r="AF40" i="9"/>
  <c r="AE40" i="9"/>
  <c r="AD40" i="9"/>
  <c r="AA40" i="9"/>
  <c r="Z40" i="9"/>
  <c r="Y40" i="9"/>
  <c r="X40" i="9"/>
  <c r="W40" i="9"/>
  <c r="V40" i="9"/>
  <c r="U40" i="9"/>
  <c r="T40" i="9"/>
  <c r="S40" i="9"/>
  <c r="R40" i="9"/>
  <c r="O40" i="9"/>
  <c r="N40" i="9"/>
  <c r="M40" i="9"/>
  <c r="J40" i="9"/>
  <c r="I40" i="9"/>
  <c r="H40" i="9"/>
  <c r="AO39" i="9"/>
  <c r="AN39" i="9"/>
  <c r="AM39" i="9"/>
  <c r="AL39" i="9"/>
  <c r="L39" i="9"/>
  <c r="K39" i="9"/>
  <c r="K40" i="9" s="1"/>
  <c r="G39" i="9"/>
  <c r="F39" i="9"/>
  <c r="AK39" i="9" s="1"/>
  <c r="AO38" i="9"/>
  <c r="AN38" i="9"/>
  <c r="AM38" i="9"/>
  <c r="AL38" i="9"/>
  <c r="AK38" i="9"/>
  <c r="AO37" i="9"/>
  <c r="AO40" i="9" s="1"/>
  <c r="AN37" i="9"/>
  <c r="AM37" i="9"/>
  <c r="AM40" i="9" s="1"/>
  <c r="L37" i="9"/>
  <c r="L40" i="9" s="1"/>
  <c r="K37" i="9"/>
  <c r="G37" i="9"/>
  <c r="G40" i="9" s="1"/>
  <c r="F37" i="9"/>
  <c r="F40" i="9" s="1"/>
  <c r="AO36" i="9"/>
  <c r="AN36" i="9"/>
  <c r="AM36" i="9"/>
  <c r="AL36" i="9"/>
  <c r="AK36" i="9"/>
  <c r="AH34" i="9"/>
  <c r="AG34" i="9"/>
  <c r="AF34" i="9"/>
  <c r="AE34" i="9"/>
  <c r="AD34" i="9"/>
  <c r="AA34" i="9"/>
  <c r="Z34" i="9"/>
  <c r="Y34" i="9"/>
  <c r="X34" i="9"/>
  <c r="W34" i="9"/>
  <c r="V34" i="9"/>
  <c r="U34" i="9"/>
  <c r="T34" i="9"/>
  <c r="S34" i="9"/>
  <c r="R34" i="9"/>
  <c r="O34" i="9"/>
  <c r="N34" i="9"/>
  <c r="M34" i="9"/>
  <c r="L34" i="9"/>
  <c r="K34" i="9"/>
  <c r="J34" i="9"/>
  <c r="I34" i="9"/>
  <c r="H34" i="9"/>
  <c r="G34" i="9"/>
  <c r="F34" i="9"/>
  <c r="AO33" i="9"/>
  <c r="AO32" i="9"/>
  <c r="AO31" i="9"/>
  <c r="AO34" i="9" s="1"/>
  <c r="AN30" i="9"/>
  <c r="AN29" i="9"/>
  <c r="AN28" i="9"/>
  <c r="AN34" i="9" s="1"/>
  <c r="AM27" i="9"/>
  <c r="AM26" i="9"/>
  <c r="AM25" i="9"/>
  <c r="AM34" i="9" s="1"/>
  <c r="AL24" i="9"/>
  <c r="AL23" i="9"/>
  <c r="AL22" i="9"/>
  <c r="AL34" i="9" s="1"/>
  <c r="AK21" i="9"/>
  <c r="AK20" i="9"/>
  <c r="AK19" i="9"/>
  <c r="AK34" i="9" s="1"/>
  <c r="AM17" i="9"/>
  <c r="AH17" i="9"/>
  <c r="AG17" i="9"/>
  <c r="AF17" i="9"/>
  <c r="AE17" i="9"/>
  <c r="AA17" i="9"/>
  <c r="Z17" i="9"/>
  <c r="Y17" i="9"/>
  <c r="X17" i="9"/>
  <c r="V17" i="9"/>
  <c r="U17" i="9"/>
  <c r="T17" i="9"/>
  <c r="S17" i="9"/>
  <c r="J17" i="9"/>
  <c r="I17" i="9"/>
  <c r="H17" i="9"/>
  <c r="AO16" i="9"/>
  <c r="AN16" i="9"/>
  <c r="AM16" i="9"/>
  <c r="AL16" i="9"/>
  <c r="AK16" i="9"/>
  <c r="AO15" i="9"/>
  <c r="AN15" i="9"/>
  <c r="AM15" i="9"/>
  <c r="AL15" i="9"/>
  <c r="AK15" i="9"/>
  <c r="AO14" i="9"/>
  <c r="AN14" i="9"/>
  <c r="AM14" i="9"/>
  <c r="AD14" i="9"/>
  <c r="AD17" i="9" s="1"/>
  <c r="W14" i="9"/>
  <c r="W17" i="9" s="1"/>
  <c r="R14" i="9"/>
  <c r="R17" i="9" s="1"/>
  <c r="G14" i="9"/>
  <c r="AL14" i="9" s="1"/>
  <c r="F14" i="9"/>
  <c r="AK14" i="9" s="1"/>
  <c r="AO13" i="9"/>
  <c r="AN13" i="9"/>
  <c r="AM13" i="9"/>
  <c r="AL13" i="9"/>
  <c r="AK13" i="9"/>
  <c r="AO12" i="9"/>
  <c r="AN12" i="9"/>
  <c r="AM12" i="9"/>
  <c r="AL12" i="9"/>
  <c r="AK12" i="9"/>
  <c r="AO11" i="9"/>
  <c r="AO17" i="9" s="1"/>
  <c r="AN11" i="9"/>
  <c r="AN17" i="9" s="1"/>
  <c r="AM11" i="9"/>
  <c r="AL11" i="9"/>
  <c r="AL17" i="9" s="1"/>
  <c r="AK11" i="9"/>
  <c r="AO57" i="7"/>
  <c r="AN57" i="7"/>
  <c r="AM57" i="7"/>
  <c r="AL57" i="7"/>
  <c r="AK57" i="7"/>
  <c r="AO56" i="7"/>
  <c r="AN56" i="7"/>
  <c r="AM56" i="7"/>
  <c r="AL56" i="7"/>
  <c r="D56" i="7"/>
  <c r="F56" i="7" s="1"/>
  <c r="AK56" i="7" s="1"/>
  <c r="AD55" i="7"/>
  <c r="AE55" i="7" s="1"/>
  <c r="AF55" i="7" s="1"/>
  <c r="AG55" i="7" s="1"/>
  <c r="AH55" i="7" s="1"/>
  <c r="AH58" i="7" s="1"/>
  <c r="AH63" i="7" s="1"/>
  <c r="R55" i="7"/>
  <c r="S55" i="7" s="1"/>
  <c r="T55" i="7" s="1"/>
  <c r="U55" i="7" s="1"/>
  <c r="F55" i="7"/>
  <c r="AH54" i="7"/>
  <c r="AG54" i="7"/>
  <c r="AF54" i="7"/>
  <c r="AE54" i="7"/>
  <c r="AD54" i="7"/>
  <c r="AA54" i="7"/>
  <c r="Z54" i="7"/>
  <c r="Y54" i="7"/>
  <c r="X54" i="7"/>
  <c r="W54" i="7"/>
  <c r="V54" i="7"/>
  <c r="U54" i="7"/>
  <c r="T54" i="7"/>
  <c r="S54" i="7"/>
  <c r="R54" i="7"/>
  <c r="O54" i="7"/>
  <c r="N54" i="7"/>
  <c r="M54" i="7"/>
  <c r="L54" i="7"/>
  <c r="K54" i="7"/>
  <c r="J54" i="7"/>
  <c r="I54" i="7"/>
  <c r="AN54" i="7" s="1"/>
  <c r="H54" i="7"/>
  <c r="AM54" i="7" s="1"/>
  <c r="G54" i="7"/>
  <c r="F54" i="7"/>
  <c r="AH53" i="7"/>
  <c r="AG53" i="7"/>
  <c r="AG58" i="7" s="1"/>
  <c r="AF53" i="7"/>
  <c r="AE53" i="7"/>
  <c r="AE58" i="7" s="1"/>
  <c r="AD53" i="7"/>
  <c r="AA53" i="7"/>
  <c r="Z53" i="7"/>
  <c r="Y53" i="7"/>
  <c r="X53" i="7"/>
  <c r="W53" i="7"/>
  <c r="V53" i="7"/>
  <c r="U53" i="7"/>
  <c r="U58" i="7" s="1"/>
  <c r="T53" i="7"/>
  <c r="S53" i="7"/>
  <c r="R53" i="7"/>
  <c r="O53" i="7"/>
  <c r="N53" i="7"/>
  <c r="M53" i="7"/>
  <c r="L53" i="7"/>
  <c r="K53" i="7"/>
  <c r="J53" i="7"/>
  <c r="I53" i="7"/>
  <c r="AN53" i="7" s="1"/>
  <c r="H53" i="7"/>
  <c r="G53" i="7"/>
  <c r="F53" i="7"/>
  <c r="AO50" i="7"/>
  <c r="AN50" i="7"/>
  <c r="AM50" i="7"/>
  <c r="AL50" i="7"/>
  <c r="AK50" i="7"/>
  <c r="AO49" i="7"/>
  <c r="AN49" i="7"/>
  <c r="AM49" i="7"/>
  <c r="AL49" i="7"/>
  <c r="AK49" i="7"/>
  <c r="AO48" i="7"/>
  <c r="AN48" i="7"/>
  <c r="AM48" i="7"/>
  <c r="AL48" i="7"/>
  <c r="AK48" i="7"/>
  <c r="AH47" i="7"/>
  <c r="AG47" i="7"/>
  <c r="AF47" i="7"/>
  <c r="AE47" i="7"/>
  <c r="AD47" i="7"/>
  <c r="AA47" i="7"/>
  <c r="AA51" i="7" s="1"/>
  <c r="Z47" i="7"/>
  <c r="Y47" i="7"/>
  <c r="X47" i="7"/>
  <c r="W47" i="7"/>
  <c r="V47" i="7"/>
  <c r="U47" i="7"/>
  <c r="T47" i="7"/>
  <c r="S47" i="7"/>
  <c r="S51" i="7" s="1"/>
  <c r="R47" i="7"/>
  <c r="R51" i="7" s="1"/>
  <c r="O47" i="7"/>
  <c r="N47" i="7"/>
  <c r="M47" i="7"/>
  <c r="L47" i="7"/>
  <c r="K47" i="7"/>
  <c r="J47" i="7"/>
  <c r="I47" i="7"/>
  <c r="AN47" i="7" s="1"/>
  <c r="H47" i="7"/>
  <c r="G47" i="7"/>
  <c r="F47" i="7"/>
  <c r="AH46" i="7"/>
  <c r="AH51" i="7" s="1"/>
  <c r="AG46" i="7"/>
  <c r="AG51" i="7" s="1"/>
  <c r="AF46" i="7"/>
  <c r="AF51" i="7" s="1"/>
  <c r="AE46" i="7"/>
  <c r="AE51" i="7" s="1"/>
  <c r="AD46" i="7"/>
  <c r="AD51" i="7" s="1"/>
  <c r="AA46" i="7"/>
  <c r="Z46" i="7"/>
  <c r="Z51" i="7" s="1"/>
  <c r="Y46" i="7"/>
  <c r="Y51" i="7" s="1"/>
  <c r="X46" i="7"/>
  <c r="X51" i="7" s="1"/>
  <c r="W46" i="7"/>
  <c r="W51" i="7" s="1"/>
  <c r="V46" i="7"/>
  <c r="V51" i="7" s="1"/>
  <c r="U46" i="7"/>
  <c r="U51" i="7" s="1"/>
  <c r="T46" i="7"/>
  <c r="T51" i="7" s="1"/>
  <c r="S46" i="7"/>
  <c r="R46" i="7"/>
  <c r="O46" i="7"/>
  <c r="O51" i="7" s="1"/>
  <c r="N46" i="7"/>
  <c r="N51" i="7" s="1"/>
  <c r="M46" i="7"/>
  <c r="M51" i="7" s="1"/>
  <c r="L46" i="7"/>
  <c r="L51" i="7" s="1"/>
  <c r="K46" i="7"/>
  <c r="AK46" i="7" s="1"/>
  <c r="J46" i="7"/>
  <c r="J51" i="7" s="1"/>
  <c r="I46" i="7"/>
  <c r="H46" i="7"/>
  <c r="G46" i="7"/>
  <c r="G51" i="7" s="1"/>
  <c r="F46" i="7"/>
  <c r="F51" i="7" s="1"/>
  <c r="AG44" i="7"/>
  <c r="AA44" i="7"/>
  <c r="J44" i="7"/>
  <c r="I44" i="7"/>
  <c r="AH43" i="7"/>
  <c r="AH44" i="7" s="1"/>
  <c r="AG43" i="7"/>
  <c r="AF43" i="7"/>
  <c r="AF44" i="7" s="1"/>
  <c r="AE43" i="7"/>
  <c r="AE44" i="7" s="1"/>
  <c r="AD43" i="7"/>
  <c r="AD44" i="7" s="1"/>
  <c r="AA43" i="7"/>
  <c r="Z43" i="7"/>
  <c r="Z44" i="7" s="1"/>
  <c r="Y43" i="7"/>
  <c r="Y44" i="7" s="1"/>
  <c r="X43" i="7"/>
  <c r="X44" i="7" s="1"/>
  <c r="W43" i="7"/>
  <c r="W44" i="7" s="1"/>
  <c r="V43" i="7"/>
  <c r="V44" i="7" s="1"/>
  <c r="U43" i="7"/>
  <c r="U44" i="7" s="1"/>
  <c r="T43" i="7"/>
  <c r="T44" i="7" s="1"/>
  <c r="S43" i="7"/>
  <c r="S44" i="7" s="1"/>
  <c r="R43" i="7"/>
  <c r="R44" i="7" s="1"/>
  <c r="O43" i="7"/>
  <c r="O44" i="7" s="1"/>
  <c r="N43" i="7"/>
  <c r="N44" i="7" s="1"/>
  <c r="M43" i="7"/>
  <c r="M44" i="7" s="1"/>
  <c r="L43" i="7"/>
  <c r="L44" i="7" s="1"/>
  <c r="K43" i="7"/>
  <c r="K44" i="7" s="1"/>
  <c r="J43" i="7"/>
  <c r="I43" i="7"/>
  <c r="H43" i="7"/>
  <c r="H44" i="7" s="1"/>
  <c r="G43" i="7"/>
  <c r="G44" i="7" s="1"/>
  <c r="F43" i="7"/>
  <c r="F44" i="7" s="1"/>
  <c r="AO42" i="7"/>
  <c r="AN42" i="7"/>
  <c r="AM42" i="7"/>
  <c r="AL42" i="7"/>
  <c r="AK42" i="7"/>
  <c r="AO40" i="7"/>
  <c r="AH40" i="7"/>
  <c r="AG40" i="7"/>
  <c r="AF40" i="7"/>
  <c r="AE40" i="7"/>
  <c r="AD40" i="7"/>
  <c r="AA40" i="7"/>
  <c r="Z40" i="7"/>
  <c r="Y40" i="7"/>
  <c r="X40" i="7"/>
  <c r="W40" i="7"/>
  <c r="V40" i="7"/>
  <c r="U40" i="7"/>
  <c r="T40" i="7"/>
  <c r="S40" i="7"/>
  <c r="R40" i="7"/>
  <c r="O40" i="7"/>
  <c r="N40" i="7"/>
  <c r="M40" i="7"/>
  <c r="J40" i="7"/>
  <c r="I40" i="7"/>
  <c r="H40" i="7"/>
  <c r="AO39" i="7"/>
  <c r="AN39" i="7"/>
  <c r="AM39" i="7"/>
  <c r="L39" i="7"/>
  <c r="K39" i="7"/>
  <c r="G39" i="7"/>
  <c r="AL39" i="7" s="1"/>
  <c r="F39" i="7"/>
  <c r="AK39" i="7" s="1"/>
  <c r="AO38" i="7"/>
  <c r="AN38" i="7"/>
  <c r="AM38" i="7"/>
  <c r="AL38" i="7"/>
  <c r="AK38" i="7"/>
  <c r="AO37" i="7"/>
  <c r="AN37" i="7"/>
  <c r="AN40" i="7" s="1"/>
  <c r="AM37" i="7"/>
  <c r="AM40" i="7" s="1"/>
  <c r="L37" i="7"/>
  <c r="L40" i="7" s="1"/>
  <c r="K37" i="7"/>
  <c r="K40" i="7" s="1"/>
  <c r="G37" i="7"/>
  <c r="F37" i="7"/>
  <c r="AK37" i="7" s="1"/>
  <c r="AO36" i="7"/>
  <c r="AN36" i="7"/>
  <c r="AM36" i="7"/>
  <c r="AL36" i="7"/>
  <c r="AK36" i="7"/>
  <c r="AH34" i="7"/>
  <c r="AG34" i="7"/>
  <c r="AF34" i="7"/>
  <c r="AE34" i="7"/>
  <c r="AD34" i="7"/>
  <c r="AA34" i="7"/>
  <c r="Z34" i="7"/>
  <c r="Y34" i="7"/>
  <c r="X34" i="7"/>
  <c r="W34" i="7"/>
  <c r="V34" i="7"/>
  <c r="U34" i="7"/>
  <c r="T34" i="7"/>
  <c r="S34" i="7"/>
  <c r="R34" i="7"/>
  <c r="O34" i="7"/>
  <c r="N34" i="7"/>
  <c r="M34" i="7"/>
  <c r="L34" i="7"/>
  <c r="K34" i="7"/>
  <c r="J34" i="7"/>
  <c r="I34" i="7"/>
  <c r="H34" i="7"/>
  <c r="G34" i="7"/>
  <c r="F34" i="7"/>
  <c r="AO33" i="7"/>
  <c r="AO32" i="7"/>
  <c r="AO31" i="7"/>
  <c r="AO34" i="7" s="1"/>
  <c r="AN30" i="7"/>
  <c r="AN29" i="7"/>
  <c r="AN28" i="7"/>
  <c r="AM27" i="7"/>
  <c r="AM26" i="7"/>
  <c r="AM25" i="7"/>
  <c r="AL24" i="7"/>
  <c r="AL23" i="7"/>
  <c r="AL22" i="7"/>
  <c r="AK21" i="7"/>
  <c r="AK20" i="7"/>
  <c r="AK19" i="7"/>
  <c r="AK34" i="7" s="1"/>
  <c r="AH17" i="7"/>
  <c r="AG17" i="7"/>
  <c r="AF17" i="7"/>
  <c r="AE17" i="7"/>
  <c r="AA17" i="7"/>
  <c r="Z17" i="7"/>
  <c r="Y17" i="7"/>
  <c r="X17" i="7"/>
  <c r="V17" i="7"/>
  <c r="U17" i="7"/>
  <c r="T17" i="7"/>
  <c r="S17" i="7"/>
  <c r="J17" i="7"/>
  <c r="I17" i="7"/>
  <c r="H17" i="7"/>
  <c r="AO16" i="7"/>
  <c r="AN16" i="7"/>
  <c r="AM16" i="7"/>
  <c r="AL16" i="7"/>
  <c r="AK16" i="7"/>
  <c r="AO15" i="7"/>
  <c r="AN15" i="7"/>
  <c r="AM15" i="7"/>
  <c r="AL15" i="7"/>
  <c r="AK15" i="7"/>
  <c r="AO14" i="7"/>
  <c r="AN14" i="7"/>
  <c r="AM14" i="7"/>
  <c r="AD14" i="7"/>
  <c r="AD17" i="7" s="1"/>
  <c r="W14" i="7"/>
  <c r="W17" i="7" s="1"/>
  <c r="R14" i="7"/>
  <c r="R17" i="7" s="1"/>
  <c r="G14" i="7"/>
  <c r="G17" i="7" s="1"/>
  <c r="F14" i="7"/>
  <c r="F17" i="7" s="1"/>
  <c r="AO13" i="7"/>
  <c r="AN13" i="7"/>
  <c r="AM13" i="7"/>
  <c r="AL13" i="7"/>
  <c r="AK13" i="7"/>
  <c r="AO12" i="7"/>
  <c r="AN12" i="7"/>
  <c r="AM12" i="7"/>
  <c r="AL12" i="7"/>
  <c r="AK12" i="7"/>
  <c r="AO11" i="7"/>
  <c r="AN11" i="7"/>
  <c r="AM11" i="7"/>
  <c r="AM17" i="7" s="1"/>
  <c r="AL11" i="7"/>
  <c r="AK11" i="7"/>
  <c r="AO57" i="6"/>
  <c r="AN57" i="6"/>
  <c r="AM57" i="6"/>
  <c r="AL57" i="6"/>
  <c r="AK57" i="6"/>
  <c r="AO56" i="6"/>
  <c r="AN56" i="6"/>
  <c r="AM56" i="6"/>
  <c r="AL56" i="6"/>
  <c r="D56" i="6"/>
  <c r="F56" i="6" s="1"/>
  <c r="AK56" i="6" s="1"/>
  <c r="AD55" i="6"/>
  <c r="AE55" i="6" s="1"/>
  <c r="AF55" i="6" s="1"/>
  <c r="AG55" i="6" s="1"/>
  <c r="AH55" i="6" s="1"/>
  <c r="R55" i="6"/>
  <c r="S55" i="6" s="1"/>
  <c r="T55" i="6" s="1"/>
  <c r="U55" i="6" s="1"/>
  <c r="F55" i="6"/>
  <c r="AH54" i="6"/>
  <c r="AG54" i="6"/>
  <c r="AF54" i="6"/>
  <c r="AE54" i="6"/>
  <c r="AD54" i="6"/>
  <c r="AA54" i="6"/>
  <c r="Z54" i="6"/>
  <c r="Y54" i="6"/>
  <c r="X54" i="6"/>
  <c r="W54" i="6"/>
  <c r="V54" i="6"/>
  <c r="U54" i="6"/>
  <c r="T54" i="6"/>
  <c r="S54" i="6"/>
  <c r="R54" i="6"/>
  <c r="O54" i="6"/>
  <c r="N54" i="6"/>
  <c r="M54" i="6"/>
  <c r="L54" i="6"/>
  <c r="K54" i="6"/>
  <c r="J54" i="6"/>
  <c r="I54" i="6"/>
  <c r="H54" i="6"/>
  <c r="G54" i="6"/>
  <c r="F54" i="6"/>
  <c r="AH53" i="6"/>
  <c r="AG53" i="6"/>
  <c r="AF53" i="6"/>
  <c r="AE53" i="6"/>
  <c r="AD53" i="6"/>
  <c r="AA53" i="6"/>
  <c r="Z53" i="6"/>
  <c r="Y53" i="6"/>
  <c r="X53" i="6"/>
  <c r="W53" i="6"/>
  <c r="V53" i="6"/>
  <c r="U53" i="6"/>
  <c r="T53" i="6"/>
  <c r="S53" i="6"/>
  <c r="R53" i="6"/>
  <c r="R58" i="6" s="1"/>
  <c r="O53" i="6"/>
  <c r="N53" i="6"/>
  <c r="M53" i="6"/>
  <c r="L53" i="6"/>
  <c r="K53" i="6"/>
  <c r="J53" i="6"/>
  <c r="I53" i="6"/>
  <c r="AN53" i="6" s="1"/>
  <c r="H53" i="6"/>
  <c r="G53" i="6"/>
  <c r="F53" i="6"/>
  <c r="AO50" i="6"/>
  <c r="AN50" i="6"/>
  <c r="AM50" i="6"/>
  <c r="AL50" i="6"/>
  <c r="AK50" i="6"/>
  <c r="AO49" i="6"/>
  <c r="AN49" i="6"/>
  <c r="AM49" i="6"/>
  <c r="AL49" i="6"/>
  <c r="AK49" i="6"/>
  <c r="AO48" i="6"/>
  <c r="AN48" i="6"/>
  <c r="AM48" i="6"/>
  <c r="AL48" i="6"/>
  <c r="AK48" i="6"/>
  <c r="AH47" i="6"/>
  <c r="AG47" i="6"/>
  <c r="AF47" i="6"/>
  <c r="AE47" i="6"/>
  <c r="AD47" i="6"/>
  <c r="AA47" i="6"/>
  <c r="Z47" i="6"/>
  <c r="Z51" i="6" s="1"/>
  <c r="Y47" i="6"/>
  <c r="X47" i="6"/>
  <c r="W47" i="6"/>
  <c r="V47" i="6"/>
  <c r="U47" i="6"/>
  <c r="T47" i="6"/>
  <c r="S47" i="6"/>
  <c r="R47" i="6"/>
  <c r="O47" i="6"/>
  <c r="N47" i="6"/>
  <c r="M47" i="6"/>
  <c r="L47" i="6"/>
  <c r="K47" i="6"/>
  <c r="J47" i="6"/>
  <c r="I47" i="6"/>
  <c r="H47" i="6"/>
  <c r="AM47" i="6" s="1"/>
  <c r="G47" i="6"/>
  <c r="F47" i="6"/>
  <c r="AH46" i="6"/>
  <c r="AG46" i="6"/>
  <c r="AG51" i="6" s="1"/>
  <c r="AF46" i="6"/>
  <c r="AF51" i="6" s="1"/>
  <c r="AE46" i="6"/>
  <c r="AE51" i="6" s="1"/>
  <c r="AD46" i="6"/>
  <c r="AD51" i="6" s="1"/>
  <c r="AA46" i="6"/>
  <c r="Z46" i="6"/>
  <c r="Y46" i="6"/>
  <c r="Y51" i="6" s="1"/>
  <c r="X46" i="6"/>
  <c r="W46" i="6"/>
  <c r="W51" i="6" s="1"/>
  <c r="V46" i="6"/>
  <c r="V51" i="6" s="1"/>
  <c r="U46" i="6"/>
  <c r="U51" i="6" s="1"/>
  <c r="T46" i="6"/>
  <c r="T51" i="6" s="1"/>
  <c r="S46" i="6"/>
  <c r="R46" i="6"/>
  <c r="R51" i="6" s="1"/>
  <c r="O46" i="6"/>
  <c r="O51" i="6" s="1"/>
  <c r="N46" i="6"/>
  <c r="M46" i="6"/>
  <c r="M51" i="6" s="1"/>
  <c r="L46" i="6"/>
  <c r="L51" i="6" s="1"/>
  <c r="K46" i="6"/>
  <c r="K51" i="6" s="1"/>
  <c r="J46" i="6"/>
  <c r="J51" i="6" s="1"/>
  <c r="I46" i="6"/>
  <c r="H46" i="6"/>
  <c r="G46" i="6"/>
  <c r="G51" i="6" s="1"/>
  <c r="F46" i="6"/>
  <c r="I44" i="6"/>
  <c r="AK43" i="6"/>
  <c r="AK44" i="6" s="1"/>
  <c r="AH43" i="6"/>
  <c r="AH44" i="6" s="1"/>
  <c r="AG43" i="6"/>
  <c r="AG44" i="6" s="1"/>
  <c r="AF43" i="6"/>
  <c r="AF44" i="6" s="1"/>
  <c r="AE43" i="6"/>
  <c r="AE44" i="6" s="1"/>
  <c r="AD43" i="6"/>
  <c r="AD44" i="6" s="1"/>
  <c r="AA43" i="6"/>
  <c r="AA44" i="6" s="1"/>
  <c r="Z43" i="6"/>
  <c r="Z44" i="6" s="1"/>
  <c r="Y43" i="6"/>
  <c r="Y44" i="6" s="1"/>
  <c r="X43" i="6"/>
  <c r="X44" i="6" s="1"/>
  <c r="W43" i="6"/>
  <c r="W44" i="6" s="1"/>
  <c r="V43" i="6"/>
  <c r="V44" i="6" s="1"/>
  <c r="U43" i="6"/>
  <c r="U44" i="6" s="1"/>
  <c r="T43" i="6"/>
  <c r="T44" i="6" s="1"/>
  <c r="S43" i="6"/>
  <c r="S44" i="6" s="1"/>
  <c r="R43" i="6"/>
  <c r="R44" i="6" s="1"/>
  <c r="O43" i="6"/>
  <c r="O44" i="6" s="1"/>
  <c r="N43" i="6"/>
  <c r="N44" i="6" s="1"/>
  <c r="M43" i="6"/>
  <c r="M44" i="6" s="1"/>
  <c r="L43" i="6"/>
  <c r="L44" i="6" s="1"/>
  <c r="K43" i="6"/>
  <c r="K44" i="6" s="1"/>
  <c r="J43" i="6"/>
  <c r="I43" i="6"/>
  <c r="H43" i="6"/>
  <c r="H44" i="6" s="1"/>
  <c r="G43" i="6"/>
  <c r="G44" i="6" s="1"/>
  <c r="F43" i="6"/>
  <c r="F44" i="6" s="1"/>
  <c r="AO42" i="6"/>
  <c r="AN42" i="6"/>
  <c r="AM42" i="6"/>
  <c r="AL42" i="6"/>
  <c r="AK42" i="6"/>
  <c r="AN40" i="6"/>
  <c r="AH40" i="6"/>
  <c r="AG40" i="6"/>
  <c r="AF40" i="6"/>
  <c r="AE40" i="6"/>
  <c r="AD40" i="6"/>
  <c r="AA40" i="6"/>
  <c r="Z40" i="6"/>
  <c r="Y40" i="6"/>
  <c r="X40" i="6"/>
  <c r="W40" i="6"/>
  <c r="V40" i="6"/>
  <c r="U40" i="6"/>
  <c r="T40" i="6"/>
  <c r="S40" i="6"/>
  <c r="R40" i="6"/>
  <c r="O40" i="6"/>
  <c r="N40" i="6"/>
  <c r="M40" i="6"/>
  <c r="J40" i="6"/>
  <c r="I40" i="6"/>
  <c r="H40" i="6"/>
  <c r="AO39" i="6"/>
  <c r="AN39" i="6"/>
  <c r="AM39" i="6"/>
  <c r="AL39" i="6"/>
  <c r="L39" i="6"/>
  <c r="K39" i="6"/>
  <c r="G39" i="6"/>
  <c r="F39" i="6"/>
  <c r="AO38" i="6"/>
  <c r="AN38" i="6"/>
  <c r="AM38" i="6"/>
  <c r="AL38" i="6"/>
  <c r="AK38" i="6"/>
  <c r="AO37" i="6"/>
  <c r="AO40" i="6" s="1"/>
  <c r="AN37" i="6"/>
  <c r="AM37" i="6"/>
  <c r="L37" i="6"/>
  <c r="L40" i="6" s="1"/>
  <c r="K37" i="6"/>
  <c r="G37" i="6"/>
  <c r="G40" i="6" s="1"/>
  <c r="F37" i="6"/>
  <c r="F40" i="6" s="1"/>
  <c r="AO36" i="6"/>
  <c r="AN36" i="6"/>
  <c r="AM36" i="6"/>
  <c r="AL36" i="6"/>
  <c r="AK36" i="6"/>
  <c r="AH34" i="6"/>
  <c r="AG34" i="6"/>
  <c r="AF34" i="6"/>
  <c r="AE34" i="6"/>
  <c r="AD34" i="6"/>
  <c r="AA34" i="6"/>
  <c r="Z34" i="6"/>
  <c r="Y34" i="6"/>
  <c r="X34" i="6"/>
  <c r="W34" i="6"/>
  <c r="V34" i="6"/>
  <c r="U34" i="6"/>
  <c r="T34" i="6"/>
  <c r="S34" i="6"/>
  <c r="R34" i="6"/>
  <c r="O34" i="6"/>
  <c r="N34" i="6"/>
  <c r="M34" i="6"/>
  <c r="L34" i="6"/>
  <c r="K34" i="6"/>
  <c r="J34" i="6"/>
  <c r="I34" i="6"/>
  <c r="H34" i="6"/>
  <c r="G34" i="6"/>
  <c r="F34" i="6"/>
  <c r="AO33" i="6"/>
  <c r="AO32" i="6"/>
  <c r="AO31" i="6"/>
  <c r="AN30" i="6"/>
  <c r="AN29" i="6"/>
  <c r="AN28" i="6"/>
  <c r="AM27" i="6"/>
  <c r="AM26" i="6"/>
  <c r="AM25" i="6"/>
  <c r="AM34" i="6" s="1"/>
  <c r="AL24" i="6"/>
  <c r="AL23" i="6"/>
  <c r="AL22" i="6"/>
  <c r="AK21" i="6"/>
  <c r="AK20" i="6"/>
  <c r="AK19" i="6"/>
  <c r="AH17" i="6"/>
  <c r="AG17" i="6"/>
  <c r="AF17" i="6"/>
  <c r="AE17" i="6"/>
  <c r="AA17" i="6"/>
  <c r="Z17" i="6"/>
  <c r="Y17" i="6"/>
  <c r="X17" i="6"/>
  <c r="V17" i="6"/>
  <c r="U17" i="6"/>
  <c r="T17" i="6"/>
  <c r="S17" i="6"/>
  <c r="J17" i="6"/>
  <c r="I17" i="6"/>
  <c r="H17" i="6"/>
  <c r="AO16" i="6"/>
  <c r="AN16" i="6"/>
  <c r="AM16" i="6"/>
  <c r="AL16" i="6"/>
  <c r="AK16" i="6"/>
  <c r="AO15" i="6"/>
  <c r="AN15" i="6"/>
  <c r="AM15" i="6"/>
  <c r="AL15" i="6"/>
  <c r="AK15" i="6"/>
  <c r="AO14" i="6"/>
  <c r="AN14" i="6"/>
  <c r="AM14" i="6"/>
  <c r="AD14" i="6"/>
  <c r="AD17" i="6" s="1"/>
  <c r="W14" i="6"/>
  <c r="W17" i="6" s="1"/>
  <c r="R14" i="6"/>
  <c r="R17" i="6" s="1"/>
  <c r="G14" i="6"/>
  <c r="AL14" i="6" s="1"/>
  <c r="F14" i="6"/>
  <c r="AK14" i="6" s="1"/>
  <c r="AO13" i="6"/>
  <c r="AN13" i="6"/>
  <c r="AM13" i="6"/>
  <c r="AL13" i="6"/>
  <c r="AK13" i="6"/>
  <c r="AO12" i="6"/>
  <c r="AN12" i="6"/>
  <c r="AM12" i="6"/>
  <c r="AL12" i="6"/>
  <c r="AK12" i="6"/>
  <c r="AO11" i="6"/>
  <c r="AN11" i="6"/>
  <c r="AM11" i="6"/>
  <c r="AM17" i="6" s="1"/>
  <c r="AL11" i="6"/>
  <c r="AK11" i="6"/>
  <c r="AO57" i="5"/>
  <c r="AN57" i="5"/>
  <c r="AM57" i="5"/>
  <c r="AL57" i="5"/>
  <c r="AK57" i="5"/>
  <c r="AO56" i="5"/>
  <c r="AN56" i="5"/>
  <c r="AM56" i="5"/>
  <c r="AL56" i="5"/>
  <c r="D56" i="5"/>
  <c r="F56" i="5" s="1"/>
  <c r="AK56" i="5" s="1"/>
  <c r="AD55" i="5"/>
  <c r="AE55" i="5" s="1"/>
  <c r="AF55" i="5" s="1"/>
  <c r="AG55" i="5" s="1"/>
  <c r="AH55" i="5" s="1"/>
  <c r="R55" i="5"/>
  <c r="S55" i="5" s="1"/>
  <c r="T55" i="5" s="1"/>
  <c r="U55" i="5" s="1"/>
  <c r="F55" i="5"/>
  <c r="AH54" i="5"/>
  <c r="AG54" i="5"/>
  <c r="AF54" i="5"/>
  <c r="AE54" i="5"/>
  <c r="AD54" i="5"/>
  <c r="AA54" i="5"/>
  <c r="Z54" i="5"/>
  <c r="Y54" i="5"/>
  <c r="X54" i="5"/>
  <c r="W54" i="5"/>
  <c r="V54" i="5"/>
  <c r="U54" i="5"/>
  <c r="T54" i="5"/>
  <c r="S54" i="5"/>
  <c r="R54" i="5"/>
  <c r="O54" i="5"/>
  <c r="N54" i="5"/>
  <c r="M54" i="5"/>
  <c r="L54" i="5"/>
  <c r="K54" i="5"/>
  <c r="J54" i="5"/>
  <c r="AO54" i="5" s="1"/>
  <c r="I54" i="5"/>
  <c r="H54" i="5"/>
  <c r="AM54" i="5" s="1"/>
  <c r="G54" i="5"/>
  <c r="AL54" i="5" s="1"/>
  <c r="F54" i="5"/>
  <c r="AH53" i="5"/>
  <c r="AG53" i="5"/>
  <c r="AF53" i="5"/>
  <c r="AF58" i="5" s="1"/>
  <c r="AE53" i="5"/>
  <c r="AD53" i="5"/>
  <c r="AD58" i="5" s="1"/>
  <c r="AA53" i="5"/>
  <c r="Z53" i="5"/>
  <c r="Y53" i="5"/>
  <c r="X53" i="5"/>
  <c r="W53" i="5"/>
  <c r="V53" i="5"/>
  <c r="U53" i="5"/>
  <c r="U58" i="5" s="1"/>
  <c r="T53" i="5"/>
  <c r="T58" i="5" s="1"/>
  <c r="S53" i="5"/>
  <c r="S58" i="5" s="1"/>
  <c r="R53" i="5"/>
  <c r="O53" i="5"/>
  <c r="N53" i="5"/>
  <c r="M53" i="5"/>
  <c r="L53" i="5"/>
  <c r="K53" i="5"/>
  <c r="J53" i="5"/>
  <c r="I53" i="5"/>
  <c r="AN53" i="5" s="1"/>
  <c r="H53" i="5"/>
  <c r="G53" i="5"/>
  <c r="F53" i="5"/>
  <c r="R51" i="5"/>
  <c r="AO50" i="5"/>
  <c r="AN50" i="5"/>
  <c r="AM50" i="5"/>
  <c r="AL50" i="5"/>
  <c r="AK50" i="5"/>
  <c r="AO49" i="5"/>
  <c r="AN49" i="5"/>
  <c r="AM49" i="5"/>
  <c r="AL49" i="5"/>
  <c r="AK49" i="5"/>
  <c r="AO48" i="5"/>
  <c r="AN48" i="5"/>
  <c r="AM48" i="5"/>
  <c r="AL48" i="5"/>
  <c r="AK48" i="5"/>
  <c r="AH47" i="5"/>
  <c r="AG47" i="5"/>
  <c r="AF47" i="5"/>
  <c r="AE47" i="5"/>
  <c r="AD47" i="5"/>
  <c r="AA47" i="5"/>
  <c r="Z47" i="5"/>
  <c r="Y47" i="5"/>
  <c r="X47" i="5"/>
  <c r="W47" i="5"/>
  <c r="V47" i="5"/>
  <c r="U47" i="5"/>
  <c r="T47" i="5"/>
  <c r="S47" i="5"/>
  <c r="R47" i="5"/>
  <c r="O47" i="5"/>
  <c r="N47" i="5"/>
  <c r="M47" i="5"/>
  <c r="L47" i="5"/>
  <c r="K47" i="5"/>
  <c r="J47" i="5"/>
  <c r="I47" i="5"/>
  <c r="H47" i="5"/>
  <c r="G47" i="5"/>
  <c r="AL47" i="5" s="1"/>
  <c r="F47" i="5"/>
  <c r="AH46" i="5"/>
  <c r="AH51" i="5" s="1"/>
  <c r="AG46" i="5"/>
  <c r="AF46" i="5"/>
  <c r="AF51" i="5" s="1"/>
  <c r="AE46" i="5"/>
  <c r="AE51" i="5" s="1"/>
  <c r="AD46" i="5"/>
  <c r="AD51" i="5" s="1"/>
  <c r="AA46" i="5"/>
  <c r="AA51" i="5" s="1"/>
  <c r="Z46" i="5"/>
  <c r="Z51" i="5" s="1"/>
  <c r="Y46" i="5"/>
  <c r="Y51" i="5" s="1"/>
  <c r="X46" i="5"/>
  <c r="X51" i="5" s="1"/>
  <c r="W46" i="5"/>
  <c r="V46" i="5"/>
  <c r="V51" i="5" s="1"/>
  <c r="U46" i="5"/>
  <c r="U51" i="5" s="1"/>
  <c r="T46" i="5"/>
  <c r="T51" i="5" s="1"/>
  <c r="S46" i="5"/>
  <c r="S51" i="5" s="1"/>
  <c r="R46" i="5"/>
  <c r="O46" i="5"/>
  <c r="O51" i="5" s="1"/>
  <c r="N46" i="5"/>
  <c r="N51" i="5" s="1"/>
  <c r="M46" i="5"/>
  <c r="L46" i="5"/>
  <c r="L51" i="5" s="1"/>
  <c r="K46" i="5"/>
  <c r="K51" i="5" s="1"/>
  <c r="J46" i="5"/>
  <c r="J51" i="5" s="1"/>
  <c r="I46" i="5"/>
  <c r="AN46" i="5" s="1"/>
  <c r="H46" i="5"/>
  <c r="G46" i="5"/>
  <c r="G51" i="5" s="1"/>
  <c r="F46" i="5"/>
  <c r="F51" i="5" s="1"/>
  <c r="AH43" i="5"/>
  <c r="AH44" i="5" s="1"/>
  <c r="AG43" i="5"/>
  <c r="AG44" i="5" s="1"/>
  <c r="AF43" i="5"/>
  <c r="AF44" i="5" s="1"/>
  <c r="AE43" i="5"/>
  <c r="AE44" i="5" s="1"/>
  <c r="AD43" i="5"/>
  <c r="AD44" i="5" s="1"/>
  <c r="AA43" i="5"/>
  <c r="AA44" i="5" s="1"/>
  <c r="Z43" i="5"/>
  <c r="Z44" i="5" s="1"/>
  <c r="Y43" i="5"/>
  <c r="Y44" i="5" s="1"/>
  <c r="X43" i="5"/>
  <c r="X44" i="5" s="1"/>
  <c r="W43" i="5"/>
  <c r="W44" i="5" s="1"/>
  <c r="V43" i="5"/>
  <c r="V44" i="5" s="1"/>
  <c r="U43" i="5"/>
  <c r="U44" i="5" s="1"/>
  <c r="T43" i="5"/>
  <c r="T44" i="5" s="1"/>
  <c r="S43" i="5"/>
  <c r="S44" i="5" s="1"/>
  <c r="R43" i="5"/>
  <c r="R44" i="5" s="1"/>
  <c r="O43" i="5"/>
  <c r="O44" i="5" s="1"/>
  <c r="N43" i="5"/>
  <c r="N44" i="5" s="1"/>
  <c r="M43" i="5"/>
  <c r="M44" i="5" s="1"/>
  <c r="L43" i="5"/>
  <c r="L44" i="5" s="1"/>
  <c r="K43" i="5"/>
  <c r="K44" i="5" s="1"/>
  <c r="J43" i="5"/>
  <c r="I43" i="5"/>
  <c r="I44" i="5" s="1"/>
  <c r="H43" i="5"/>
  <c r="H44" i="5" s="1"/>
  <c r="G43" i="5"/>
  <c r="G44" i="5" s="1"/>
  <c r="F43" i="5"/>
  <c r="F44" i="5" s="1"/>
  <c r="AO42" i="5"/>
  <c r="AN42" i="5"/>
  <c r="AM42" i="5"/>
  <c r="AL42" i="5"/>
  <c r="AK42" i="5"/>
  <c r="AH40" i="5"/>
  <c r="AG40" i="5"/>
  <c r="AF40" i="5"/>
  <c r="AE40" i="5"/>
  <c r="AD40" i="5"/>
  <c r="AA40" i="5"/>
  <c r="Z40" i="5"/>
  <c r="Y40" i="5"/>
  <c r="X40" i="5"/>
  <c r="W40" i="5"/>
  <c r="V40" i="5"/>
  <c r="U40" i="5"/>
  <c r="T40" i="5"/>
  <c r="S40" i="5"/>
  <c r="R40" i="5"/>
  <c r="O40" i="5"/>
  <c r="N40" i="5"/>
  <c r="M40" i="5"/>
  <c r="J40" i="5"/>
  <c r="I40" i="5"/>
  <c r="H40" i="5"/>
  <c r="AO39" i="5"/>
  <c r="AN39" i="5"/>
  <c r="AM39" i="5"/>
  <c r="L39" i="5"/>
  <c r="K39" i="5"/>
  <c r="G39" i="5"/>
  <c r="AL39" i="5" s="1"/>
  <c r="F39" i="5"/>
  <c r="AK39" i="5" s="1"/>
  <c r="AO38" i="5"/>
  <c r="AN38" i="5"/>
  <c r="AM38" i="5"/>
  <c r="AL38" i="5"/>
  <c r="AK38" i="5"/>
  <c r="AO37" i="5"/>
  <c r="AO40" i="5" s="1"/>
  <c r="AN37" i="5"/>
  <c r="AN40" i="5" s="1"/>
  <c r="AM37" i="5"/>
  <c r="AM40" i="5" s="1"/>
  <c r="L37" i="5"/>
  <c r="K37" i="5"/>
  <c r="K40" i="5" s="1"/>
  <c r="G37" i="5"/>
  <c r="F37" i="5"/>
  <c r="F40" i="5" s="1"/>
  <c r="AO36" i="5"/>
  <c r="AN36" i="5"/>
  <c r="AM36" i="5"/>
  <c r="AL36" i="5"/>
  <c r="AK36" i="5"/>
  <c r="AH34" i="5"/>
  <c r="AG34" i="5"/>
  <c r="AF34" i="5"/>
  <c r="AE34" i="5"/>
  <c r="AD34" i="5"/>
  <c r="AA34" i="5"/>
  <c r="Z34" i="5"/>
  <c r="Y34" i="5"/>
  <c r="X34" i="5"/>
  <c r="W34" i="5"/>
  <c r="V34" i="5"/>
  <c r="U34" i="5"/>
  <c r="T34" i="5"/>
  <c r="S34" i="5"/>
  <c r="R34" i="5"/>
  <c r="O34" i="5"/>
  <c r="N34" i="5"/>
  <c r="M34" i="5"/>
  <c r="L34" i="5"/>
  <c r="K34" i="5"/>
  <c r="J34" i="5"/>
  <c r="I34" i="5"/>
  <c r="H34" i="5"/>
  <c r="G34" i="5"/>
  <c r="F34" i="5"/>
  <c r="AO33" i="5"/>
  <c r="AO32" i="5"/>
  <c r="AO31" i="5"/>
  <c r="AO34" i="5" s="1"/>
  <c r="AN30" i="5"/>
  <c r="AN29" i="5"/>
  <c r="AN28" i="5"/>
  <c r="AM27" i="5"/>
  <c r="AM26" i="5"/>
  <c r="AM25" i="5"/>
  <c r="AM34" i="5" s="1"/>
  <c r="AL24" i="5"/>
  <c r="AL23" i="5"/>
  <c r="AL22" i="5"/>
  <c r="AK21" i="5"/>
  <c r="AK20" i="5"/>
  <c r="AK19" i="5"/>
  <c r="AH17" i="5"/>
  <c r="AG17" i="5"/>
  <c r="AF17" i="5"/>
  <c r="AE17" i="5"/>
  <c r="AD17" i="5"/>
  <c r="AA17" i="5"/>
  <c r="Z17" i="5"/>
  <c r="Y17" i="5"/>
  <c r="X17" i="5"/>
  <c r="V17" i="5"/>
  <c r="U17" i="5"/>
  <c r="T17" i="5"/>
  <c r="S17" i="5"/>
  <c r="J17" i="5"/>
  <c r="I17" i="5"/>
  <c r="H17" i="5"/>
  <c r="AO16" i="5"/>
  <c r="AN16" i="5"/>
  <c r="AM16" i="5"/>
  <c r="AL16" i="5"/>
  <c r="AK16" i="5"/>
  <c r="AO15" i="5"/>
  <c r="AN15" i="5"/>
  <c r="AM15" i="5"/>
  <c r="AL15" i="5"/>
  <c r="AK15" i="5"/>
  <c r="AO14" i="5"/>
  <c r="AN14" i="5"/>
  <c r="AM14" i="5"/>
  <c r="AD14" i="5"/>
  <c r="W14" i="5"/>
  <c r="W17" i="5" s="1"/>
  <c r="R14" i="5"/>
  <c r="R17" i="5" s="1"/>
  <c r="G14" i="5"/>
  <c r="AL14" i="5" s="1"/>
  <c r="F14" i="5"/>
  <c r="AK14" i="5" s="1"/>
  <c r="AO13" i="5"/>
  <c r="AN13" i="5"/>
  <c r="AM13" i="5"/>
  <c r="AL13" i="5"/>
  <c r="AK13" i="5"/>
  <c r="AO12" i="5"/>
  <c r="AN12" i="5"/>
  <c r="AM12" i="5"/>
  <c r="AL12" i="5"/>
  <c r="AK12" i="5"/>
  <c r="AO11" i="5"/>
  <c r="AO17" i="5" s="1"/>
  <c r="AN11" i="5"/>
  <c r="AM11" i="5"/>
  <c r="AM17" i="5" s="1"/>
  <c r="AL11" i="5"/>
  <c r="AK11" i="5"/>
  <c r="J30" i="4"/>
  <c r="I30" i="4"/>
  <c r="H30" i="4"/>
  <c r="G30" i="4"/>
  <c r="F30" i="4"/>
  <c r="J29" i="4"/>
  <c r="I29" i="4"/>
  <c r="H29" i="4"/>
  <c r="G29" i="4"/>
  <c r="J26" i="4"/>
  <c r="I26" i="4"/>
  <c r="I27" i="4" s="1"/>
  <c r="H26" i="4"/>
  <c r="H27" i="4" s="1"/>
  <c r="G26" i="4"/>
  <c r="F26" i="4"/>
  <c r="F27" i="4" s="1"/>
  <c r="G22" i="4"/>
  <c r="G23" i="4" s="1"/>
  <c r="F22" i="4"/>
  <c r="F23" i="4" s="1"/>
  <c r="G61" i="8"/>
  <c r="H61" i="8" s="1"/>
  <c r="I61" i="8" s="1"/>
  <c r="J61" i="8" s="1"/>
  <c r="F61" i="8"/>
  <c r="F60" i="8"/>
  <c r="G60" i="8" s="1"/>
  <c r="H60" i="8" s="1"/>
  <c r="I60" i="8" s="1"/>
  <c r="J60" i="8" s="1"/>
  <c r="F59" i="8"/>
  <c r="G59" i="8" s="1"/>
  <c r="H59" i="8" s="1"/>
  <c r="I59" i="8" s="1"/>
  <c r="J59" i="8" s="1"/>
  <c r="J64" i="8" s="1"/>
  <c r="J69" i="8" s="1"/>
  <c r="J58" i="8"/>
  <c r="I58" i="8"/>
  <c r="H58" i="8"/>
  <c r="G58" i="8"/>
  <c r="F58" i="8"/>
  <c r="J57" i="8"/>
  <c r="I57" i="8"/>
  <c r="I64" i="8" s="1"/>
  <c r="I69" i="8" s="1"/>
  <c r="H57" i="8"/>
  <c r="H64" i="8" s="1"/>
  <c r="H69" i="8" s="1"/>
  <c r="G57" i="8"/>
  <c r="G64" i="8" s="1"/>
  <c r="F57" i="8"/>
  <c r="F64" i="8" s="1"/>
  <c r="F69" i="8" s="1"/>
  <c r="N54" i="8"/>
  <c r="M54" i="8"/>
  <c r="F54" i="8"/>
  <c r="O51" i="8"/>
  <c r="O54" i="8" s="1"/>
  <c r="N51" i="8"/>
  <c r="M51" i="8"/>
  <c r="L51" i="8"/>
  <c r="K51" i="8"/>
  <c r="J51" i="8"/>
  <c r="I51" i="8"/>
  <c r="H51" i="8"/>
  <c r="H54" i="8" s="1"/>
  <c r="G51" i="8"/>
  <c r="G54" i="8" s="1"/>
  <c r="F51" i="8"/>
  <c r="O50" i="8"/>
  <c r="N50" i="8"/>
  <c r="M50" i="8"/>
  <c r="L50" i="8"/>
  <c r="L54" i="8" s="1"/>
  <c r="K50" i="8"/>
  <c r="K54" i="8" s="1"/>
  <c r="J50" i="8"/>
  <c r="J54" i="8" s="1"/>
  <c r="I50" i="8"/>
  <c r="I54" i="8" s="1"/>
  <c r="H50" i="8"/>
  <c r="G50" i="8"/>
  <c r="F50" i="8"/>
  <c r="F47" i="8"/>
  <c r="G45" i="8"/>
  <c r="G47" i="8" s="1"/>
  <c r="F45" i="8"/>
  <c r="G39" i="8"/>
  <c r="F39" i="8"/>
  <c r="F41" i="8" s="1"/>
  <c r="G37" i="8"/>
  <c r="G41" i="8" s="1"/>
  <c r="F37" i="8"/>
  <c r="W33" i="8"/>
  <c r="W41" i="8" s="1"/>
  <c r="W47" i="8" s="1"/>
  <c r="R33" i="8"/>
  <c r="R41" i="8" s="1"/>
  <c r="R47" i="8" s="1"/>
  <c r="R14" i="8"/>
  <c r="G14" i="8"/>
  <c r="G16" i="8" s="1"/>
  <c r="F14" i="8"/>
  <c r="F16" i="8" s="1"/>
  <c r="W12" i="8"/>
  <c r="G12" i="8"/>
  <c r="F12" i="8"/>
  <c r="F61" i="13"/>
  <c r="G61" i="13" s="1"/>
  <c r="H61" i="13" s="1"/>
  <c r="I61" i="13" s="1"/>
  <c r="J61" i="13" s="1"/>
  <c r="F60" i="13"/>
  <c r="G60" i="13" s="1"/>
  <c r="H60" i="13" s="1"/>
  <c r="I60" i="13" s="1"/>
  <c r="J60" i="13" s="1"/>
  <c r="F59" i="13"/>
  <c r="G59" i="13" s="1"/>
  <c r="J58" i="13"/>
  <c r="I58" i="13"/>
  <c r="H58" i="13"/>
  <c r="G58" i="13"/>
  <c r="F58" i="13"/>
  <c r="J57" i="13"/>
  <c r="I57" i="13"/>
  <c r="H57" i="13"/>
  <c r="G57" i="13"/>
  <c r="F57" i="13"/>
  <c r="F64" i="13" s="1"/>
  <c r="M54" i="13"/>
  <c r="L54" i="13"/>
  <c r="K54" i="13"/>
  <c r="J54" i="13"/>
  <c r="O51" i="13"/>
  <c r="N51" i="13"/>
  <c r="M51" i="13"/>
  <c r="L51" i="13"/>
  <c r="K51" i="13"/>
  <c r="J51" i="13"/>
  <c r="I51" i="13"/>
  <c r="H51" i="13"/>
  <c r="G51" i="13"/>
  <c r="F51" i="13"/>
  <c r="O50" i="13"/>
  <c r="O54" i="13" s="1"/>
  <c r="N50" i="13"/>
  <c r="N54" i="13" s="1"/>
  <c r="M50" i="13"/>
  <c r="L50" i="13"/>
  <c r="K50" i="13"/>
  <c r="J50" i="13"/>
  <c r="I50" i="13"/>
  <c r="I54" i="13" s="1"/>
  <c r="H50" i="13"/>
  <c r="H54" i="13" s="1"/>
  <c r="G50" i="13"/>
  <c r="G54" i="13" s="1"/>
  <c r="F50" i="13"/>
  <c r="F54" i="13" s="1"/>
  <c r="G45" i="13"/>
  <c r="G47" i="13" s="1"/>
  <c r="F45" i="13"/>
  <c r="F47" i="13" s="1"/>
  <c r="G39" i="13"/>
  <c r="F39" i="13"/>
  <c r="G37" i="13"/>
  <c r="G41" i="13" s="1"/>
  <c r="F37" i="13"/>
  <c r="F41" i="13" s="1"/>
  <c r="W33" i="13"/>
  <c r="W41" i="13" s="1"/>
  <c r="W47" i="13" s="1"/>
  <c r="R33" i="13"/>
  <c r="R41" i="13" s="1"/>
  <c r="R47" i="13" s="1"/>
  <c r="R14" i="13"/>
  <c r="G14" i="13"/>
  <c r="G16" i="13" s="1"/>
  <c r="F14" i="13"/>
  <c r="F16" i="13" s="1"/>
  <c r="W12" i="13"/>
  <c r="G12" i="13"/>
  <c r="F12" i="13"/>
  <c r="FH10" i="2"/>
  <c r="FF10" i="2"/>
  <c r="FD10" i="2"/>
  <c r="FB10" i="2"/>
  <c r="EZ10" i="2"/>
  <c r="EX10" i="2"/>
  <c r="EV10" i="2"/>
  <c r="ET10" i="2"/>
  <c r="ER10" i="2"/>
  <c r="EP10" i="2"/>
  <c r="EN10" i="2"/>
  <c r="EL10" i="2"/>
  <c r="EL12" i="2" s="1"/>
  <c r="FI8" i="2"/>
  <c r="FG8" i="2"/>
  <c r="FE8" i="2"/>
  <c r="FC8" i="2"/>
  <c r="FA8" i="2"/>
  <c r="EY8" i="2"/>
  <c r="EW8" i="2"/>
  <c r="EU8" i="2"/>
  <c r="ES8" i="2"/>
  <c r="EQ8" i="2"/>
  <c r="EO8" i="2"/>
  <c r="EM8" i="2"/>
  <c r="FI7" i="2"/>
  <c r="FG7" i="2"/>
  <c r="FE7" i="2"/>
  <c r="FC7" i="2"/>
  <c r="FA7" i="2"/>
  <c r="EY7" i="2"/>
  <c r="EW7" i="2"/>
  <c r="EU7" i="2"/>
  <c r="ES7" i="2"/>
  <c r="EQ7" i="2"/>
  <c r="EO7" i="2"/>
  <c r="EM7" i="2"/>
  <c r="FI6" i="2"/>
  <c r="FI10" i="2" s="1"/>
  <c r="FG6" i="2"/>
  <c r="FG10" i="2" s="1"/>
  <c r="FE6" i="2"/>
  <c r="FE10" i="2" s="1"/>
  <c r="FC6" i="2"/>
  <c r="FC10" i="2" s="1"/>
  <c r="FA6" i="2"/>
  <c r="EY6" i="2"/>
  <c r="EW6" i="2"/>
  <c r="EW10" i="2" s="1"/>
  <c r="EU6" i="2"/>
  <c r="ES6" i="2"/>
  <c r="ES10" i="2" s="1"/>
  <c r="EQ6" i="2"/>
  <c r="EQ10" i="2" s="1"/>
  <c r="EO6" i="2"/>
  <c r="EO10" i="2" s="1"/>
  <c r="EM6" i="2"/>
  <c r="EM10" i="2" s="1"/>
  <c r="EL11" i="2" s="1"/>
  <c r="EN11" i="2" s="1"/>
  <c r="EN4" i="2"/>
  <c r="EP4" i="2" s="1"/>
  <c r="ER4" i="2" s="1"/>
  <c r="ET4" i="2" s="1"/>
  <c r="EV4" i="2" s="1"/>
  <c r="EX4" i="2" s="1"/>
  <c r="EZ4" i="2" s="1"/>
  <c r="FB4" i="2" s="1"/>
  <c r="FD4" i="2" s="1"/>
  <c r="FF4" i="2" s="1"/>
  <c r="FH4" i="2" s="1"/>
  <c r="EA10" i="2"/>
  <c r="DY10" i="2"/>
  <c r="DW10" i="2"/>
  <c r="DU10" i="2"/>
  <c r="DS10" i="2"/>
  <c r="DQ10" i="2"/>
  <c r="DO10" i="2"/>
  <c r="DM10" i="2"/>
  <c r="DK10" i="2"/>
  <c r="DI10" i="2"/>
  <c r="DG10" i="2"/>
  <c r="DE10" i="2"/>
  <c r="DE12" i="2" s="1"/>
  <c r="EB8" i="2"/>
  <c r="DZ8" i="2"/>
  <c r="DX8" i="2"/>
  <c r="DV8" i="2"/>
  <c r="DT8" i="2"/>
  <c r="DR8" i="2"/>
  <c r="DP8" i="2"/>
  <c r="DN8" i="2"/>
  <c r="DL8" i="2"/>
  <c r="DJ8" i="2"/>
  <c r="DH8" i="2"/>
  <c r="DF8" i="2"/>
  <c r="EB7" i="2"/>
  <c r="DZ7" i="2"/>
  <c r="DX7" i="2"/>
  <c r="DV7" i="2"/>
  <c r="DT7" i="2"/>
  <c r="DR7" i="2"/>
  <c r="DP7" i="2"/>
  <c r="DN7" i="2"/>
  <c r="DL7" i="2"/>
  <c r="DJ7" i="2"/>
  <c r="DH7" i="2"/>
  <c r="DF7" i="2"/>
  <c r="EB6" i="2"/>
  <c r="EB10" i="2" s="1"/>
  <c r="DZ6" i="2"/>
  <c r="DZ10" i="2" s="1"/>
  <c r="DX6" i="2"/>
  <c r="DV6" i="2"/>
  <c r="DT6" i="2"/>
  <c r="DR6" i="2"/>
  <c r="DP6" i="2"/>
  <c r="DP10" i="2" s="1"/>
  <c r="DN6" i="2"/>
  <c r="DN10" i="2" s="1"/>
  <c r="DL6" i="2"/>
  <c r="DL10" i="2" s="1"/>
  <c r="DJ6" i="2"/>
  <c r="DJ10" i="2" s="1"/>
  <c r="DH6" i="2"/>
  <c r="DF6" i="2"/>
  <c r="DI4" i="2"/>
  <c r="DK4" i="2" s="1"/>
  <c r="DM4" i="2" s="1"/>
  <c r="DO4" i="2" s="1"/>
  <c r="DQ4" i="2" s="1"/>
  <c r="DS4" i="2" s="1"/>
  <c r="DU4" i="2" s="1"/>
  <c r="DW4" i="2" s="1"/>
  <c r="DY4" i="2" s="1"/>
  <c r="EA4" i="2" s="1"/>
  <c r="DG4" i="2"/>
  <c r="CT10" i="2"/>
  <c r="CR10" i="2"/>
  <c r="CP10" i="2"/>
  <c r="CN10" i="2"/>
  <c r="CL10" i="2"/>
  <c r="CJ10" i="2"/>
  <c r="CH10" i="2"/>
  <c r="CF10" i="2"/>
  <c r="CD10" i="2"/>
  <c r="CB10" i="2"/>
  <c r="BZ10" i="2"/>
  <c r="BX10" i="2"/>
  <c r="BX12" i="2" s="1"/>
  <c r="CU8" i="2"/>
  <c r="CS8" i="2"/>
  <c r="CQ8" i="2"/>
  <c r="CO8" i="2"/>
  <c r="CM8" i="2"/>
  <c r="CK8" i="2"/>
  <c r="CI8" i="2"/>
  <c r="CG8" i="2"/>
  <c r="CE8" i="2"/>
  <c r="CC8" i="2"/>
  <c r="CA8" i="2"/>
  <c r="BY8" i="2"/>
  <c r="CU7" i="2"/>
  <c r="CS7" i="2"/>
  <c r="CQ7" i="2"/>
  <c r="CO7" i="2"/>
  <c r="CM7" i="2"/>
  <c r="CK7" i="2"/>
  <c r="CI7" i="2"/>
  <c r="CG7" i="2"/>
  <c r="CE7" i="2"/>
  <c r="CC7" i="2"/>
  <c r="CA7" i="2"/>
  <c r="BY7" i="2"/>
  <c r="CU6" i="2"/>
  <c r="CS6" i="2"/>
  <c r="CQ6" i="2"/>
  <c r="CQ10" i="2" s="1"/>
  <c r="CO6" i="2"/>
  <c r="CO10" i="2" s="1"/>
  <c r="CM6" i="2"/>
  <c r="CM10" i="2" s="1"/>
  <c r="CK6" i="2"/>
  <c r="CI6" i="2"/>
  <c r="CI10" i="2" s="1"/>
  <c r="CG6" i="2"/>
  <c r="CG10" i="2" s="1"/>
  <c r="CE6" i="2"/>
  <c r="CC6" i="2"/>
  <c r="CA6" i="2"/>
  <c r="CA10" i="2" s="1"/>
  <c r="BY6" i="2"/>
  <c r="BY10" i="2" s="1"/>
  <c r="BX11" i="2" s="1"/>
  <c r="CB4" i="2"/>
  <c r="CD4" i="2" s="1"/>
  <c r="CF4" i="2" s="1"/>
  <c r="CH4" i="2" s="1"/>
  <c r="CJ4" i="2" s="1"/>
  <c r="CL4" i="2" s="1"/>
  <c r="CN4" i="2" s="1"/>
  <c r="CP4" i="2" s="1"/>
  <c r="CR4" i="2" s="1"/>
  <c r="CT4" i="2" s="1"/>
  <c r="BZ4" i="2"/>
  <c r="F61" i="15"/>
  <c r="D61" i="15"/>
  <c r="J59" i="15"/>
  <c r="I59" i="15"/>
  <c r="H59" i="15"/>
  <c r="G59" i="15"/>
  <c r="J58" i="15"/>
  <c r="I58" i="15"/>
  <c r="H58" i="15"/>
  <c r="G58" i="15"/>
  <c r="F58" i="15"/>
  <c r="F59" i="15"/>
  <c r="F60" i="15"/>
  <c r="G60" i="15" s="1"/>
  <c r="H60" i="15" s="1"/>
  <c r="I60" i="15" s="1"/>
  <c r="J60" i="15" s="1"/>
  <c r="L55" i="15"/>
  <c r="M55" i="15"/>
  <c r="K55" i="15"/>
  <c r="J55" i="15"/>
  <c r="H55" i="15"/>
  <c r="F55" i="15"/>
  <c r="G46" i="15"/>
  <c r="G48" i="15" s="1"/>
  <c r="F46" i="15"/>
  <c r="F48" i="15" s="1"/>
  <c r="G42" i="15"/>
  <c r="F42" i="15"/>
  <c r="W34" i="15"/>
  <c r="W42" i="15" s="1"/>
  <c r="W48" i="15" s="1"/>
  <c r="R34" i="15"/>
  <c r="R42" i="15" s="1"/>
  <c r="R48" i="15" s="1"/>
  <c r="W17" i="15"/>
  <c r="R17" i="15"/>
  <c r="G15" i="15"/>
  <c r="G17" i="15" s="1"/>
  <c r="F15" i="15"/>
  <c r="F17" i="15" s="1"/>
  <c r="BK39" i="3"/>
  <c r="BJ39" i="3"/>
  <c r="BI39" i="3"/>
  <c r="BK41" i="3" s="1"/>
  <c r="BH39" i="3"/>
  <c r="BG39" i="3"/>
  <c r="BF39" i="3"/>
  <c r="BE39" i="3"/>
  <c r="BD39" i="3"/>
  <c r="BC39" i="3"/>
  <c r="BB39" i="3"/>
  <c r="BA39" i="3"/>
  <c r="AZ39" i="3"/>
  <c r="AY39" i="3"/>
  <c r="AX39" i="3"/>
  <c r="AW39" i="3"/>
  <c r="AV39" i="3"/>
  <c r="AU39" i="3"/>
  <c r="AT39" i="3"/>
  <c r="AS39" i="3"/>
  <c r="AR39" i="3"/>
  <c r="AQ39" i="3"/>
  <c r="AP39" i="3"/>
  <c r="AO39" i="3"/>
  <c r="AN39" i="3"/>
  <c r="AM39" i="3"/>
  <c r="AL39" i="3"/>
  <c r="AK39" i="3"/>
  <c r="AJ39" i="3"/>
  <c r="AI39" i="3"/>
  <c r="AH39" i="3"/>
  <c r="AG39" i="3"/>
  <c r="AF39" i="3"/>
  <c r="AE39" i="3"/>
  <c r="AD39" i="3"/>
  <c r="AC39" i="3"/>
  <c r="AB39" i="3"/>
  <c r="AA39" i="3"/>
  <c r="Z39" i="3"/>
  <c r="Y39" i="3"/>
  <c r="X39" i="3"/>
  <c r="W39" i="3"/>
  <c r="V39" i="3"/>
  <c r="U39" i="3"/>
  <c r="T39" i="3"/>
  <c r="S39" i="3"/>
  <c r="R39" i="3"/>
  <c r="Q39" i="3"/>
  <c r="P39" i="3"/>
  <c r="O39" i="3"/>
  <c r="N39" i="3"/>
  <c r="M39" i="3"/>
  <c r="L39" i="3"/>
  <c r="K39" i="3"/>
  <c r="J39" i="3"/>
  <c r="I39" i="3"/>
  <c r="H39" i="3"/>
  <c r="G39" i="3"/>
  <c r="F39" i="3"/>
  <c r="E39" i="3"/>
  <c r="D39" i="3"/>
  <c r="AO23" i="3"/>
  <c r="AP23" i="3" s="1"/>
  <c r="AQ23" i="3" s="1"/>
  <c r="AR23" i="3" s="1"/>
  <c r="AS23" i="3" s="1"/>
  <c r="AT23" i="3" s="1"/>
  <c r="AU23" i="3" s="1"/>
  <c r="AV23" i="3" s="1"/>
  <c r="AW23" i="3" s="1"/>
  <c r="AX23" i="3" s="1"/>
  <c r="AY23" i="3" s="1"/>
  <c r="AZ23" i="3" s="1"/>
  <c r="BA23" i="3" s="1"/>
  <c r="BB23" i="3" s="1"/>
  <c r="BC23" i="3" s="1"/>
  <c r="BD23" i="3" s="1"/>
  <c r="BE23" i="3" s="1"/>
  <c r="BF23" i="3" s="1"/>
  <c r="BG23" i="3" s="1"/>
  <c r="BH23" i="3" s="1"/>
  <c r="BI23" i="3" s="1"/>
  <c r="BJ23" i="3" s="1"/>
  <c r="BK23" i="3" s="1"/>
  <c r="AC23" i="3"/>
  <c r="AD23" i="3" s="1"/>
  <c r="AE23" i="3" s="1"/>
  <c r="AF23" i="3" s="1"/>
  <c r="AG23" i="3" s="1"/>
  <c r="AH23" i="3" s="1"/>
  <c r="AI23" i="3" s="1"/>
  <c r="AJ23" i="3" s="1"/>
  <c r="AK23" i="3" s="1"/>
  <c r="AL23" i="3" s="1"/>
  <c r="AM23" i="3" s="1"/>
  <c r="Q23" i="3"/>
  <c r="R23" i="3" s="1"/>
  <c r="S23" i="3" s="1"/>
  <c r="T23" i="3" s="1"/>
  <c r="U23" i="3" s="1"/>
  <c r="V23" i="3" s="1"/>
  <c r="W23" i="3" s="1"/>
  <c r="X23" i="3" s="1"/>
  <c r="Y23" i="3" s="1"/>
  <c r="Z23" i="3" s="1"/>
  <c r="AA23" i="3" s="1"/>
  <c r="E23" i="3"/>
  <c r="F23" i="3" s="1"/>
  <c r="G23" i="3" s="1"/>
  <c r="H23" i="3" s="1"/>
  <c r="I23" i="3" s="1"/>
  <c r="J23" i="3" s="1"/>
  <c r="K23" i="3" s="1"/>
  <c r="L23" i="3" s="1"/>
  <c r="M23" i="3" s="1"/>
  <c r="N23" i="3" s="1"/>
  <c r="O23" i="3" s="1"/>
  <c r="BK17" i="3"/>
  <c r="BJ17" i="3"/>
  <c r="BI17" i="3"/>
  <c r="BK19" i="3" s="1"/>
  <c r="BH17" i="3"/>
  <c r="BG17" i="3"/>
  <c r="BF17" i="3"/>
  <c r="BE17" i="3"/>
  <c r="BD17" i="3"/>
  <c r="BC17" i="3"/>
  <c r="BB17" i="3"/>
  <c r="BA17" i="3"/>
  <c r="AZ17" i="3"/>
  <c r="AY17" i="3"/>
  <c r="AX17" i="3"/>
  <c r="AW17" i="3"/>
  <c r="AV17" i="3"/>
  <c r="AU17" i="3"/>
  <c r="AT17" i="3"/>
  <c r="AS17" i="3"/>
  <c r="AR17" i="3"/>
  <c r="AQ17" i="3"/>
  <c r="AP17" i="3"/>
  <c r="AO17" i="3"/>
  <c r="AN17" i="3"/>
  <c r="AM17" i="3"/>
  <c r="AL17" i="3"/>
  <c r="AK17" i="3"/>
  <c r="AJ17" i="3"/>
  <c r="AI17" i="3"/>
  <c r="AH17" i="3"/>
  <c r="AG17" i="3"/>
  <c r="AF17" i="3"/>
  <c r="AE17" i="3"/>
  <c r="AD17" i="3"/>
  <c r="AC17" i="3"/>
  <c r="AB17" i="3"/>
  <c r="AA17" i="3"/>
  <c r="Z17" i="3"/>
  <c r="Y17" i="3"/>
  <c r="X17" i="3"/>
  <c r="W17" i="3"/>
  <c r="V17" i="3"/>
  <c r="U17" i="3"/>
  <c r="T17" i="3"/>
  <c r="S17" i="3"/>
  <c r="R17" i="3"/>
  <c r="Q17" i="3"/>
  <c r="P17" i="3"/>
  <c r="O17" i="3"/>
  <c r="N17" i="3"/>
  <c r="M17" i="3"/>
  <c r="L17" i="3"/>
  <c r="K17" i="3"/>
  <c r="J17" i="3"/>
  <c r="I17" i="3"/>
  <c r="H17" i="3"/>
  <c r="G17" i="3"/>
  <c r="F17" i="3"/>
  <c r="E17" i="3"/>
  <c r="D17" i="3"/>
  <c r="Q5" i="3"/>
  <c r="R5" i="3" s="1"/>
  <c r="S5" i="3" s="1"/>
  <c r="T5" i="3" s="1"/>
  <c r="U5" i="3" s="1"/>
  <c r="V5" i="3" s="1"/>
  <c r="W5" i="3" s="1"/>
  <c r="X5" i="3" s="1"/>
  <c r="Y5" i="3" s="1"/>
  <c r="Z5" i="3" s="1"/>
  <c r="AA5" i="3" s="1"/>
  <c r="AC5" i="3" s="1"/>
  <c r="AD5" i="3" s="1"/>
  <c r="AE5" i="3" s="1"/>
  <c r="AF5" i="3" s="1"/>
  <c r="AG5" i="3" s="1"/>
  <c r="AH5" i="3" s="1"/>
  <c r="AI5" i="3" s="1"/>
  <c r="AJ5" i="3" s="1"/>
  <c r="AK5" i="3" s="1"/>
  <c r="AL5" i="3" s="1"/>
  <c r="AM5" i="3" s="1"/>
  <c r="AO5" i="3" s="1"/>
  <c r="AP5" i="3" s="1"/>
  <c r="AQ5" i="3" s="1"/>
  <c r="AR5" i="3" s="1"/>
  <c r="AS5" i="3" s="1"/>
  <c r="AT5" i="3" s="1"/>
  <c r="AU5" i="3" s="1"/>
  <c r="AV5" i="3" s="1"/>
  <c r="AW5" i="3" s="1"/>
  <c r="AX5" i="3" s="1"/>
  <c r="AY5" i="3" s="1"/>
  <c r="AZ5" i="3" s="1"/>
  <c r="BA5" i="3" s="1"/>
  <c r="BB5" i="3" s="1"/>
  <c r="BC5" i="3" s="1"/>
  <c r="BD5" i="3" s="1"/>
  <c r="BE5" i="3" s="1"/>
  <c r="BF5" i="3" s="1"/>
  <c r="BG5" i="3" s="1"/>
  <c r="BH5" i="3" s="1"/>
  <c r="BI5" i="3" s="1"/>
  <c r="BJ5" i="3" s="1"/>
  <c r="BK5" i="3" s="1"/>
  <c r="E5" i="3"/>
  <c r="F5" i="3" s="1"/>
  <c r="G5" i="3" s="1"/>
  <c r="H5" i="3" s="1"/>
  <c r="I5" i="3" s="1"/>
  <c r="J5" i="3" s="1"/>
  <c r="K5" i="3" s="1"/>
  <c r="L5" i="3" s="1"/>
  <c r="M5" i="3" s="1"/>
  <c r="N5" i="3" s="1"/>
  <c r="O5" i="3" s="1"/>
  <c r="AF36" i="2"/>
  <c r="AD36" i="2"/>
  <c r="AB36" i="2"/>
  <c r="Z36" i="2"/>
  <c r="X36" i="2"/>
  <c r="V36" i="2"/>
  <c r="T36" i="2"/>
  <c r="R36" i="2"/>
  <c r="P36" i="2"/>
  <c r="N36" i="2"/>
  <c r="L36" i="2"/>
  <c r="J36" i="2"/>
  <c r="J38" i="2" s="1"/>
  <c r="AG34" i="2"/>
  <c r="AE34" i="2"/>
  <c r="AC34" i="2"/>
  <c r="AA34" i="2"/>
  <c r="Y34" i="2"/>
  <c r="W34" i="2"/>
  <c r="U34" i="2"/>
  <c r="S34" i="2"/>
  <c r="Q34" i="2"/>
  <c r="O34" i="2"/>
  <c r="M34" i="2"/>
  <c r="K34" i="2"/>
  <c r="AG33" i="2"/>
  <c r="AE33" i="2"/>
  <c r="AC33" i="2"/>
  <c r="AA33" i="2"/>
  <c r="Y33" i="2"/>
  <c r="W33" i="2"/>
  <c r="U33" i="2"/>
  <c r="S33" i="2"/>
  <c r="Q33" i="2"/>
  <c r="O33" i="2"/>
  <c r="M33" i="2"/>
  <c r="K33" i="2"/>
  <c r="AG32" i="2"/>
  <c r="AE32" i="2"/>
  <c r="AC32" i="2"/>
  <c r="AA32" i="2"/>
  <c r="Y32" i="2"/>
  <c r="W32" i="2"/>
  <c r="U32" i="2"/>
  <c r="S32" i="2"/>
  <c r="Q32" i="2"/>
  <c r="O32" i="2"/>
  <c r="O36" i="2" s="1"/>
  <c r="M32" i="2"/>
  <c r="K32" i="2"/>
  <c r="L30" i="2"/>
  <c r="N30" i="2" s="1"/>
  <c r="P30" i="2" s="1"/>
  <c r="R30" i="2" s="1"/>
  <c r="T30" i="2" s="1"/>
  <c r="V30" i="2" s="1"/>
  <c r="X30" i="2" s="1"/>
  <c r="Z30" i="2" s="1"/>
  <c r="AB30" i="2" s="1"/>
  <c r="AD30" i="2" s="1"/>
  <c r="AF30" i="2" s="1"/>
  <c r="AF62" i="2"/>
  <c r="AD62" i="2"/>
  <c r="AB62" i="2"/>
  <c r="Z62" i="2"/>
  <c r="X62" i="2"/>
  <c r="V62" i="2"/>
  <c r="T62" i="2"/>
  <c r="R62" i="2"/>
  <c r="P62" i="2"/>
  <c r="N62" i="2"/>
  <c r="L62" i="2"/>
  <c r="J62" i="2"/>
  <c r="J64" i="2" s="1"/>
  <c r="AG60" i="2"/>
  <c r="AE60" i="2"/>
  <c r="AC60" i="2"/>
  <c r="AA60" i="2"/>
  <c r="Y60" i="2"/>
  <c r="W60" i="2"/>
  <c r="U60" i="2"/>
  <c r="S60" i="2"/>
  <c r="Q60" i="2"/>
  <c r="O60" i="2"/>
  <c r="M60" i="2"/>
  <c r="K60" i="2"/>
  <c r="AG59" i="2"/>
  <c r="AE59" i="2"/>
  <c r="AC59" i="2"/>
  <c r="AA59" i="2"/>
  <c r="Y59" i="2"/>
  <c r="W59" i="2"/>
  <c r="U59" i="2"/>
  <c r="S59" i="2"/>
  <c r="Q59" i="2"/>
  <c r="O59" i="2"/>
  <c r="M59" i="2"/>
  <c r="K59" i="2"/>
  <c r="AG58" i="2"/>
  <c r="AE58" i="2"/>
  <c r="AC58" i="2"/>
  <c r="AA58" i="2"/>
  <c r="Y58" i="2"/>
  <c r="W58" i="2"/>
  <c r="U58" i="2"/>
  <c r="S58" i="2"/>
  <c r="Q58" i="2"/>
  <c r="O58" i="2"/>
  <c r="M58" i="2"/>
  <c r="K58" i="2"/>
  <c r="L56" i="2"/>
  <c r="N56" i="2" s="1"/>
  <c r="P56" i="2" s="1"/>
  <c r="R56" i="2" s="1"/>
  <c r="T56" i="2" s="1"/>
  <c r="V56" i="2" s="1"/>
  <c r="X56" i="2" s="1"/>
  <c r="Z56" i="2" s="1"/>
  <c r="AB56" i="2" s="1"/>
  <c r="AD56" i="2" s="1"/>
  <c r="AF56" i="2" s="1"/>
  <c r="F26" i="1"/>
  <c r="E26" i="1"/>
  <c r="D26" i="1"/>
  <c r="C26" i="1"/>
  <c r="AF49" i="2"/>
  <c r="AD49" i="2"/>
  <c r="AB49" i="2"/>
  <c r="Z49" i="2"/>
  <c r="X49" i="2"/>
  <c r="V49" i="2"/>
  <c r="T49" i="2"/>
  <c r="R49" i="2"/>
  <c r="P49" i="2"/>
  <c r="N49" i="2"/>
  <c r="L49" i="2"/>
  <c r="J49" i="2"/>
  <c r="J51" i="2" s="1"/>
  <c r="AG47" i="2"/>
  <c r="AE47" i="2"/>
  <c r="AC47" i="2"/>
  <c r="AA47" i="2"/>
  <c r="Y47" i="2"/>
  <c r="W47" i="2"/>
  <c r="U47" i="2"/>
  <c r="S47" i="2"/>
  <c r="Q47" i="2"/>
  <c r="O47" i="2"/>
  <c r="M47" i="2"/>
  <c r="K47" i="2"/>
  <c r="AG46" i="2"/>
  <c r="AE46" i="2"/>
  <c r="AC46" i="2"/>
  <c r="AA46" i="2"/>
  <c r="Y46" i="2"/>
  <c r="W46" i="2"/>
  <c r="U46" i="2"/>
  <c r="S46" i="2"/>
  <c r="Q46" i="2"/>
  <c r="O46" i="2"/>
  <c r="M46" i="2"/>
  <c r="K46" i="2"/>
  <c r="AG45" i="2"/>
  <c r="AE45" i="2"/>
  <c r="AC45" i="2"/>
  <c r="AA45" i="2"/>
  <c r="Y45" i="2"/>
  <c r="W45" i="2"/>
  <c r="U45" i="2"/>
  <c r="S45" i="2"/>
  <c r="Q45" i="2"/>
  <c r="O45" i="2"/>
  <c r="M45" i="2"/>
  <c r="K45" i="2"/>
  <c r="L43" i="2"/>
  <c r="N43" i="2" s="1"/>
  <c r="P43" i="2" s="1"/>
  <c r="R43" i="2" s="1"/>
  <c r="T43" i="2" s="1"/>
  <c r="V43" i="2" s="1"/>
  <c r="X43" i="2" s="1"/>
  <c r="Z43" i="2" s="1"/>
  <c r="AB43" i="2" s="1"/>
  <c r="AD43" i="2" s="1"/>
  <c r="AF43" i="2" s="1"/>
  <c r="AF23" i="2"/>
  <c r="AD23" i="2"/>
  <c r="AB23" i="2"/>
  <c r="Z23" i="2"/>
  <c r="X23" i="2"/>
  <c r="V23" i="2"/>
  <c r="T23" i="2"/>
  <c r="R23" i="2"/>
  <c r="P23" i="2"/>
  <c r="N23" i="2"/>
  <c r="L23" i="2"/>
  <c r="J23" i="2"/>
  <c r="J25" i="2" s="1"/>
  <c r="AG21" i="2"/>
  <c r="AE21" i="2"/>
  <c r="AC21" i="2"/>
  <c r="AA21" i="2"/>
  <c r="Y21" i="2"/>
  <c r="W21" i="2"/>
  <c r="U21" i="2"/>
  <c r="S21" i="2"/>
  <c r="Q21" i="2"/>
  <c r="O21" i="2"/>
  <c r="M21" i="2"/>
  <c r="K21" i="2"/>
  <c r="AG20" i="2"/>
  <c r="AE20" i="2"/>
  <c r="AC20" i="2"/>
  <c r="AA20" i="2"/>
  <c r="Y20" i="2"/>
  <c r="W20" i="2"/>
  <c r="U20" i="2"/>
  <c r="S20" i="2"/>
  <c r="Q20" i="2"/>
  <c r="O20" i="2"/>
  <c r="M20" i="2"/>
  <c r="K20" i="2"/>
  <c r="AG19" i="2"/>
  <c r="AE19" i="2"/>
  <c r="AC19" i="2"/>
  <c r="AA19" i="2"/>
  <c r="Y19" i="2"/>
  <c r="W19" i="2"/>
  <c r="U19" i="2"/>
  <c r="S19" i="2"/>
  <c r="Q19" i="2"/>
  <c r="O19" i="2"/>
  <c r="M19" i="2"/>
  <c r="K19" i="2"/>
  <c r="L17" i="2"/>
  <c r="N17" i="2" s="1"/>
  <c r="P17" i="2" s="1"/>
  <c r="R17" i="2" s="1"/>
  <c r="T17" i="2" s="1"/>
  <c r="V17" i="2" s="1"/>
  <c r="X17" i="2" s="1"/>
  <c r="Z17" i="2" s="1"/>
  <c r="AB17" i="2" s="1"/>
  <c r="AD17" i="2" s="1"/>
  <c r="AF17" i="2" s="1"/>
  <c r="BM10" i="2"/>
  <c r="BK10" i="2"/>
  <c r="BI10" i="2"/>
  <c r="BG10" i="2"/>
  <c r="BE10" i="2"/>
  <c r="BC10" i="2"/>
  <c r="BA10" i="2"/>
  <c r="AY10" i="2"/>
  <c r="AW10" i="2"/>
  <c r="AU10" i="2"/>
  <c r="AS10" i="2"/>
  <c r="AQ10" i="2"/>
  <c r="AQ12" i="2" s="1"/>
  <c r="BN8" i="2"/>
  <c r="BL8" i="2"/>
  <c r="BJ8" i="2"/>
  <c r="BH8" i="2"/>
  <c r="BF8" i="2"/>
  <c r="BD8" i="2"/>
  <c r="BB8" i="2"/>
  <c r="AZ8" i="2"/>
  <c r="AX8" i="2"/>
  <c r="AV8" i="2"/>
  <c r="AT8" i="2"/>
  <c r="AR8" i="2"/>
  <c r="BN7" i="2"/>
  <c r="BL7" i="2"/>
  <c r="BJ7" i="2"/>
  <c r="BH7" i="2"/>
  <c r="BF7" i="2"/>
  <c r="BD7" i="2"/>
  <c r="BB7" i="2"/>
  <c r="AZ7" i="2"/>
  <c r="AX7" i="2"/>
  <c r="AV7" i="2"/>
  <c r="AT7" i="2"/>
  <c r="AR7" i="2"/>
  <c r="BN6" i="2"/>
  <c r="BL6" i="2"/>
  <c r="BJ6" i="2"/>
  <c r="BH6" i="2"/>
  <c r="BF6" i="2"/>
  <c r="BD6" i="2"/>
  <c r="BB6" i="2"/>
  <c r="AZ6" i="2"/>
  <c r="AX6" i="2"/>
  <c r="AV6" i="2"/>
  <c r="AT6" i="2"/>
  <c r="AR6" i="2"/>
  <c r="AS4" i="2"/>
  <c r="AU4" i="2" s="1"/>
  <c r="AW4" i="2" s="1"/>
  <c r="AY4" i="2" s="1"/>
  <c r="BA4" i="2" s="1"/>
  <c r="BC4" i="2" s="1"/>
  <c r="BE4" i="2" s="1"/>
  <c r="BG4" i="2" s="1"/>
  <c r="BI4" i="2" s="1"/>
  <c r="BK4" i="2" s="1"/>
  <c r="BM4" i="2" s="1"/>
  <c r="L4" i="2"/>
  <c r="N4" i="2" s="1"/>
  <c r="P4" i="2" s="1"/>
  <c r="R4" i="2" s="1"/>
  <c r="T4" i="2" s="1"/>
  <c r="V4" i="2" s="1"/>
  <c r="X4" i="2" s="1"/>
  <c r="Z4" i="2" s="1"/>
  <c r="AB4" i="2" s="1"/>
  <c r="AD4" i="2" s="1"/>
  <c r="AF4" i="2" s="1"/>
  <c r="K6" i="2"/>
  <c r="M6" i="2"/>
  <c r="O6" i="2"/>
  <c r="Q6" i="2"/>
  <c r="S6" i="2"/>
  <c r="U6" i="2"/>
  <c r="W6" i="2"/>
  <c r="Y6" i="2"/>
  <c r="AA6" i="2"/>
  <c r="AC6" i="2"/>
  <c r="AE6" i="2"/>
  <c r="AG6" i="2"/>
  <c r="K7" i="2"/>
  <c r="M7" i="2"/>
  <c r="O7" i="2"/>
  <c r="Q7" i="2"/>
  <c r="S7" i="2"/>
  <c r="U7" i="2"/>
  <c r="W7" i="2"/>
  <c r="Y7" i="2"/>
  <c r="AA7" i="2"/>
  <c r="AC7" i="2"/>
  <c r="AE7" i="2"/>
  <c r="AG7" i="2"/>
  <c r="K8" i="2"/>
  <c r="M8" i="2"/>
  <c r="O8" i="2"/>
  <c r="Q8" i="2"/>
  <c r="S8" i="2"/>
  <c r="U8" i="2"/>
  <c r="W8" i="2"/>
  <c r="Y8" i="2"/>
  <c r="AA8" i="2"/>
  <c r="AC8" i="2"/>
  <c r="AE8" i="2"/>
  <c r="AG8" i="2"/>
  <c r="J10" i="2"/>
  <c r="J12" i="2" s="1"/>
  <c r="L10" i="2"/>
  <c r="N10" i="2"/>
  <c r="P10" i="2"/>
  <c r="R10" i="2"/>
  <c r="T10" i="2"/>
  <c r="V10" i="2"/>
  <c r="X10" i="2"/>
  <c r="Z10" i="2"/>
  <c r="AB10" i="2"/>
  <c r="AD10" i="2"/>
  <c r="C13" i="1" s="1"/>
  <c r="AF10" i="2"/>
  <c r="F13" i="1"/>
  <c r="E13" i="1"/>
  <c r="D13" i="1"/>
  <c r="AY42" i="3" l="1"/>
  <c r="F10" i="4"/>
  <c r="J10" i="4"/>
  <c r="I10" i="4"/>
  <c r="H10" i="4"/>
  <c r="G10" i="4"/>
  <c r="G18" i="4"/>
  <c r="F18" i="4"/>
  <c r="J34" i="4"/>
  <c r="G34" i="4"/>
  <c r="H34" i="4"/>
  <c r="AO17" i="7"/>
  <c r="AL14" i="7"/>
  <c r="AN34" i="7"/>
  <c r="AK43" i="7"/>
  <c r="AK44" i="7" s="1"/>
  <c r="AO47" i="7"/>
  <c r="AF58" i="7"/>
  <c r="AF63" i="7" s="1"/>
  <c r="AO54" i="7"/>
  <c r="AN43" i="7"/>
  <c r="AN44" i="7" s="1"/>
  <c r="AK53" i="7"/>
  <c r="AL54" i="7"/>
  <c r="AG63" i="7"/>
  <c r="AO46" i="7"/>
  <c r="AM47" i="7"/>
  <c r="AM51" i="7" s="1"/>
  <c r="AL53" i="7"/>
  <c r="F40" i="7"/>
  <c r="AN17" i="7"/>
  <c r="AL34" i="7"/>
  <c r="AM46" i="7"/>
  <c r="AK47" i="7"/>
  <c r="AK51" i="7" s="1"/>
  <c r="H51" i="7"/>
  <c r="AM53" i="7"/>
  <c r="R58" i="7"/>
  <c r="R63" i="7" s="1"/>
  <c r="AK54" i="7"/>
  <c r="AL17" i="7"/>
  <c r="AM34" i="7"/>
  <c r="G40" i="7"/>
  <c r="AN46" i="7"/>
  <c r="AN51" i="7" s="1"/>
  <c r="AL47" i="7"/>
  <c r="I51" i="7"/>
  <c r="S58" i="7"/>
  <c r="S63" i="7" s="1"/>
  <c r="F58" i="7"/>
  <c r="AD58" i="7"/>
  <c r="AD63" i="7" s="1"/>
  <c r="AH58" i="6"/>
  <c r="AH63" i="6" s="1"/>
  <c r="AO17" i="6"/>
  <c r="AL34" i="6"/>
  <c r="AM46" i="6"/>
  <c r="AM51" i="6" s="1"/>
  <c r="H51" i="6"/>
  <c r="AE58" i="6"/>
  <c r="AE63" i="6" s="1"/>
  <c r="AG58" i="6"/>
  <c r="AK47" i="6"/>
  <c r="U58" i="6"/>
  <c r="AN54" i="6"/>
  <c r="AO34" i="6"/>
  <c r="AN46" i="6"/>
  <c r="AN51" i="6" s="1"/>
  <c r="S51" i="6"/>
  <c r="AA51" i="6"/>
  <c r="AL47" i="6"/>
  <c r="AF58" i="6"/>
  <c r="AF63" i="6" s="1"/>
  <c r="AO54" i="6"/>
  <c r="AN47" i="6"/>
  <c r="AK17" i="6"/>
  <c r="K40" i="6"/>
  <c r="AN43" i="6"/>
  <c r="AN44" i="6" s="1"/>
  <c r="AO47" i="6"/>
  <c r="AL53" i="6"/>
  <c r="AK53" i="6"/>
  <c r="AL17" i="6"/>
  <c r="AK34" i="6"/>
  <c r="AO43" i="6"/>
  <c r="AO44" i="6" s="1"/>
  <c r="AM53" i="6"/>
  <c r="AK54" i="6"/>
  <c r="AN34" i="6"/>
  <c r="AM40" i="6"/>
  <c r="AK39" i="6"/>
  <c r="F51" i="6"/>
  <c r="N51" i="6"/>
  <c r="X51" i="6"/>
  <c r="AH51" i="6"/>
  <c r="S58" i="6"/>
  <c r="S63" i="6" s="1"/>
  <c r="S65" i="6" s="1"/>
  <c r="AL54" i="6"/>
  <c r="F58" i="6"/>
  <c r="AN17" i="6"/>
  <c r="AO46" i="6"/>
  <c r="AD58" i="6"/>
  <c r="AM54" i="6"/>
  <c r="AO46" i="5"/>
  <c r="AL34" i="5"/>
  <c r="AM46" i="5"/>
  <c r="AM51" i="5" s="1"/>
  <c r="AK47" i="5"/>
  <c r="H51" i="5"/>
  <c r="AN54" i="5"/>
  <c r="AN17" i="5"/>
  <c r="AK43" i="5"/>
  <c r="AK44" i="5" s="1"/>
  <c r="AM47" i="5"/>
  <c r="AK17" i="5"/>
  <c r="G40" i="5"/>
  <c r="AN47" i="5"/>
  <c r="AN51" i="5" s="1"/>
  <c r="AK53" i="5"/>
  <c r="AL17" i="5"/>
  <c r="AN43" i="5"/>
  <c r="AN44" i="5" s="1"/>
  <c r="AO47" i="5"/>
  <c r="AL53" i="5"/>
  <c r="AF63" i="5"/>
  <c r="AK34" i="5"/>
  <c r="L40" i="5"/>
  <c r="AO43" i="5"/>
  <c r="AO44" i="5" s="1"/>
  <c r="M51" i="5"/>
  <c r="W51" i="5"/>
  <c r="AG51" i="5"/>
  <c r="AM53" i="5"/>
  <c r="R58" i="5"/>
  <c r="AK54" i="5"/>
  <c r="AN34" i="5"/>
  <c r="S63" i="5"/>
  <c r="S64" i="5" s="1"/>
  <c r="S65" i="5" s="1"/>
  <c r="F58" i="5"/>
  <c r="F34" i="4"/>
  <c r="I34" i="4"/>
  <c r="G27" i="4"/>
  <c r="S65" i="11"/>
  <c r="S66" i="11"/>
  <c r="AK40" i="11"/>
  <c r="T59" i="11"/>
  <c r="T64" i="11" s="1"/>
  <c r="AD65" i="11"/>
  <c r="AD66" i="11"/>
  <c r="R64" i="11"/>
  <c r="G59" i="11"/>
  <c r="G64" i="11" s="1"/>
  <c r="AO51" i="11"/>
  <c r="AF64" i="11"/>
  <c r="V56" i="11"/>
  <c r="V59" i="11" s="1"/>
  <c r="V64" i="11" s="1"/>
  <c r="W56" i="11"/>
  <c r="X56" i="11" s="1"/>
  <c r="Y56" i="11" s="1"/>
  <c r="Z56" i="11" s="1"/>
  <c r="AA56" i="11" s="1"/>
  <c r="AA59" i="11" s="1"/>
  <c r="AA64" i="11" s="1"/>
  <c r="AM51" i="11"/>
  <c r="AG59" i="11"/>
  <c r="AG64" i="11" s="1"/>
  <c r="AH65" i="11"/>
  <c r="AH66" i="11"/>
  <c r="U59" i="11"/>
  <c r="U64" i="11" s="1"/>
  <c r="AE65" i="11"/>
  <c r="AE66" i="11" s="1"/>
  <c r="AN51" i="11"/>
  <c r="F59" i="11"/>
  <c r="F64" i="11" s="1"/>
  <c r="AL43" i="11"/>
  <c r="AL44" i="11" s="1"/>
  <c r="AL37" i="11"/>
  <c r="AL40" i="11" s="1"/>
  <c r="AM43" i="11"/>
  <c r="AM44" i="11" s="1"/>
  <c r="AL55" i="11"/>
  <c r="K51" i="11"/>
  <c r="AO53" i="11"/>
  <c r="AO43" i="11"/>
  <c r="AO44" i="11" s="1"/>
  <c r="AL46" i="11"/>
  <c r="AL51" i="11" s="1"/>
  <c r="AN55" i="11"/>
  <c r="G56" i="11"/>
  <c r="R64" i="10"/>
  <c r="AN51" i="10"/>
  <c r="S59" i="10"/>
  <c r="S64" i="10" s="1"/>
  <c r="AA59" i="10"/>
  <c r="AA64" i="10" s="1"/>
  <c r="X59" i="10"/>
  <c r="X64" i="10" s="1"/>
  <c r="AH64" i="10"/>
  <c r="T59" i="10"/>
  <c r="T64" i="10" s="1"/>
  <c r="AD65" i="10"/>
  <c r="AD66" i="10"/>
  <c r="G59" i="10"/>
  <c r="AE64" i="10"/>
  <c r="V59" i="10"/>
  <c r="V64" i="10" s="1"/>
  <c r="AF64" i="10"/>
  <c r="U64" i="10"/>
  <c r="W56" i="10"/>
  <c r="X56" i="10" s="1"/>
  <c r="Y56" i="10" s="1"/>
  <c r="Z56" i="10" s="1"/>
  <c r="AA56" i="10" s="1"/>
  <c r="V56" i="10"/>
  <c r="W59" i="10"/>
  <c r="W64" i="10" s="1"/>
  <c r="AG64" i="10"/>
  <c r="AL17" i="10"/>
  <c r="F17" i="10"/>
  <c r="AL37" i="10"/>
  <c r="AL40" i="10" s="1"/>
  <c r="AM43" i="10"/>
  <c r="AM44" i="10" s="1"/>
  <c r="AL55" i="10"/>
  <c r="G17" i="10"/>
  <c r="AL43" i="10"/>
  <c r="AL44" i="10" s="1"/>
  <c r="AO53" i="10"/>
  <c r="AK46" i="10"/>
  <c r="AK51" i="10" s="1"/>
  <c r="F59" i="10"/>
  <c r="AL46" i="10"/>
  <c r="AL51" i="10" s="1"/>
  <c r="G56" i="10"/>
  <c r="AK17" i="9"/>
  <c r="R64" i="9"/>
  <c r="Z59" i="9"/>
  <c r="Z64" i="9" s="1"/>
  <c r="S65" i="9"/>
  <c r="S66" i="9"/>
  <c r="AA59" i="9"/>
  <c r="AA64" i="9" s="1"/>
  <c r="X59" i="9"/>
  <c r="X64" i="9" s="1"/>
  <c r="AH65" i="9"/>
  <c r="AH66" i="9" s="1"/>
  <c r="AO51" i="9"/>
  <c r="T65" i="9"/>
  <c r="T66" i="9" s="1"/>
  <c r="AD64" i="9"/>
  <c r="U64" i="9"/>
  <c r="AE64" i="9"/>
  <c r="W56" i="9"/>
  <c r="X56" i="9" s="1"/>
  <c r="Y56" i="9" s="1"/>
  <c r="Z56" i="9" s="1"/>
  <c r="AA56" i="9" s="1"/>
  <c r="V56" i="9"/>
  <c r="V59" i="9"/>
  <c r="V64" i="9" s="1"/>
  <c r="AF64" i="9"/>
  <c r="AG64" i="9"/>
  <c r="AK51" i="9"/>
  <c r="AK37" i="9"/>
  <c r="AK40" i="9" s="1"/>
  <c r="AL43" i="9"/>
  <c r="AL44" i="9" s="1"/>
  <c r="I51" i="9"/>
  <c r="AO53" i="9"/>
  <c r="AK55" i="9"/>
  <c r="F17" i="9"/>
  <c r="F64" i="9" s="1"/>
  <c r="AL37" i="9"/>
  <c r="AL40" i="9" s="1"/>
  <c r="AM43" i="9"/>
  <c r="AM44" i="9" s="1"/>
  <c r="G17" i="9"/>
  <c r="K51" i="9"/>
  <c r="AO43" i="9"/>
  <c r="AO44" i="9" s="1"/>
  <c r="AL46" i="9"/>
  <c r="AL51" i="9" s="1"/>
  <c r="G56" i="9"/>
  <c r="T58" i="7"/>
  <c r="T63" i="7" s="1"/>
  <c r="AD64" i="7"/>
  <c r="AD65" i="7" s="1"/>
  <c r="U63" i="7"/>
  <c r="AE63" i="7"/>
  <c r="V55" i="7"/>
  <c r="W55" i="7"/>
  <c r="X55" i="7" s="1"/>
  <c r="Y55" i="7" s="1"/>
  <c r="Z55" i="7" s="1"/>
  <c r="AA55" i="7" s="1"/>
  <c r="AA58" i="7" s="1"/>
  <c r="AA63" i="7" s="1"/>
  <c r="AH64" i="7"/>
  <c r="AH65" i="7" s="1"/>
  <c r="AK40" i="7"/>
  <c r="V58" i="7"/>
  <c r="V63" i="7" s="1"/>
  <c r="AG64" i="7"/>
  <c r="AG65" i="7"/>
  <c r="F63" i="7"/>
  <c r="G58" i="7"/>
  <c r="G63" i="7" s="1"/>
  <c r="AL37" i="7"/>
  <c r="AL40" i="7" s="1"/>
  <c r="AM43" i="7"/>
  <c r="AM44" i="7" s="1"/>
  <c r="AL43" i="7"/>
  <c r="AL44" i="7" s="1"/>
  <c r="AO53" i="7"/>
  <c r="AK14" i="7"/>
  <c r="AK17" i="7" s="1"/>
  <c r="K51" i="7"/>
  <c r="AL46" i="7"/>
  <c r="AL51" i="7" s="1"/>
  <c r="AO43" i="7"/>
  <c r="AO44" i="7" s="1"/>
  <c r="G55" i="7"/>
  <c r="S64" i="6"/>
  <c r="AH64" i="6"/>
  <c r="AH65" i="6" s="1"/>
  <c r="T58" i="6"/>
  <c r="T63" i="6" s="1"/>
  <c r="AD63" i="6"/>
  <c r="AA58" i="6"/>
  <c r="AA63" i="6" s="1"/>
  <c r="U63" i="6"/>
  <c r="W55" i="6"/>
  <c r="X55" i="6" s="1"/>
  <c r="Y55" i="6" s="1"/>
  <c r="Z55" i="6" s="1"/>
  <c r="AA55" i="6" s="1"/>
  <c r="V55" i="6"/>
  <c r="V58" i="6"/>
  <c r="V63" i="6" s="1"/>
  <c r="AF64" i="6"/>
  <c r="AF65" i="6"/>
  <c r="AG63" i="6"/>
  <c r="R63" i="6"/>
  <c r="Y58" i="6"/>
  <c r="Y63" i="6" s="1"/>
  <c r="AK37" i="6"/>
  <c r="AK40" i="6" s="1"/>
  <c r="AL43" i="6"/>
  <c r="AL44" i="6" s="1"/>
  <c r="J44" i="6"/>
  <c r="I51" i="6"/>
  <c r="AO53" i="6"/>
  <c r="F17" i="6"/>
  <c r="F63" i="6" s="1"/>
  <c r="AL37" i="6"/>
  <c r="AL40" i="6" s="1"/>
  <c r="AM43" i="6"/>
  <c r="AM44" i="6" s="1"/>
  <c r="G17" i="6"/>
  <c r="AK46" i="6"/>
  <c r="AK51" i="6" s="1"/>
  <c r="AL46" i="6"/>
  <c r="AL51" i="6" s="1"/>
  <c r="G55" i="6"/>
  <c r="G58" i="6" s="1"/>
  <c r="R63" i="5"/>
  <c r="AH58" i="5"/>
  <c r="AH63" i="5" s="1"/>
  <c r="AO51" i="5"/>
  <c r="T63" i="5"/>
  <c r="AD63" i="5"/>
  <c r="U63" i="5"/>
  <c r="AE58" i="5"/>
  <c r="AE63" i="5" s="1"/>
  <c r="W55" i="5"/>
  <c r="X55" i="5" s="1"/>
  <c r="Y55" i="5" s="1"/>
  <c r="Z55" i="5" s="1"/>
  <c r="AA55" i="5" s="1"/>
  <c r="AA58" i="5" s="1"/>
  <c r="AA63" i="5" s="1"/>
  <c r="V55" i="5"/>
  <c r="V58" i="5"/>
  <c r="V63" i="5" s="1"/>
  <c r="AF65" i="5"/>
  <c r="AF64" i="5"/>
  <c r="AG58" i="5"/>
  <c r="AG63" i="5" s="1"/>
  <c r="AK37" i="5"/>
  <c r="AK40" i="5" s="1"/>
  <c r="AL43" i="5"/>
  <c r="AL44" i="5" s="1"/>
  <c r="J44" i="5"/>
  <c r="I51" i="5"/>
  <c r="AO53" i="5"/>
  <c r="F17" i="5"/>
  <c r="AL37" i="5"/>
  <c r="AL40" i="5" s="1"/>
  <c r="AM43" i="5"/>
  <c r="AM44" i="5" s="1"/>
  <c r="G17" i="5"/>
  <c r="AK46" i="5"/>
  <c r="AK51" i="5" s="1"/>
  <c r="AL46" i="5"/>
  <c r="AL51" i="5" s="1"/>
  <c r="G55" i="5"/>
  <c r="G58" i="5" s="1"/>
  <c r="G63" i="5" s="1"/>
  <c r="J27" i="4"/>
  <c r="F70" i="8"/>
  <c r="F71" i="8" s="1"/>
  <c r="G69" i="8"/>
  <c r="H70" i="8"/>
  <c r="H71" i="8" s="1"/>
  <c r="J71" i="8"/>
  <c r="J70" i="8"/>
  <c r="I71" i="8"/>
  <c r="I70" i="8"/>
  <c r="F69" i="13"/>
  <c r="H59" i="13"/>
  <c r="I59" i="13" s="1"/>
  <c r="G64" i="13"/>
  <c r="G69" i="13" s="1"/>
  <c r="EP11" i="2"/>
  <c r="ER11" i="2" s="1"/>
  <c r="BZ11" i="2"/>
  <c r="CE10" i="2"/>
  <c r="CU10" i="2"/>
  <c r="DR10" i="2"/>
  <c r="EU10" i="2"/>
  <c r="P51" i="2"/>
  <c r="R51" i="2" s="1"/>
  <c r="T51" i="2" s="1"/>
  <c r="V51" i="2" s="1"/>
  <c r="X51" i="2" s="1"/>
  <c r="Z51" i="2" s="1"/>
  <c r="DT10" i="2"/>
  <c r="W36" i="2"/>
  <c r="BZ12" i="2"/>
  <c r="DF10" i="2"/>
  <c r="DE11" i="2" s="1"/>
  <c r="DV10" i="2"/>
  <c r="EY10" i="2"/>
  <c r="AG10" i="2"/>
  <c r="Q10" i="2"/>
  <c r="BD10" i="2"/>
  <c r="L51" i="2"/>
  <c r="N51" i="2" s="1"/>
  <c r="CK10" i="2"/>
  <c r="CC10" i="2"/>
  <c r="CS10" i="2"/>
  <c r="DH10" i="2"/>
  <c r="DX10" i="2"/>
  <c r="FA10" i="2"/>
  <c r="EN12" i="2"/>
  <c r="EP12" i="2" s="1"/>
  <c r="ER12" i="2" s="1"/>
  <c r="ET12" i="2" s="1"/>
  <c r="EV12" i="2" s="1"/>
  <c r="EX12" i="2" s="1"/>
  <c r="EZ12" i="2" s="1"/>
  <c r="FB12" i="2" s="1"/>
  <c r="FD12" i="2" s="1"/>
  <c r="FF12" i="2" s="1"/>
  <c r="FH12" i="2" s="1"/>
  <c r="DG12" i="2"/>
  <c r="DI12" i="2" s="1"/>
  <c r="DK12" i="2" s="1"/>
  <c r="DM12" i="2" s="1"/>
  <c r="DO12" i="2" s="1"/>
  <c r="DQ12" i="2" s="1"/>
  <c r="DS12" i="2" s="1"/>
  <c r="DU12" i="2" s="1"/>
  <c r="DW12" i="2" s="1"/>
  <c r="DY12" i="2" s="1"/>
  <c r="EA12" i="2" s="1"/>
  <c r="CB12" i="2"/>
  <c r="CD12" i="2" s="1"/>
  <c r="CB11" i="2"/>
  <c r="CD11" i="2" s="1"/>
  <c r="CF11" i="2" s="1"/>
  <c r="CH11" i="2" s="1"/>
  <c r="CJ11" i="2" s="1"/>
  <c r="CL11" i="2" s="1"/>
  <c r="CN11" i="2" s="1"/>
  <c r="CP11" i="2" s="1"/>
  <c r="CF12" i="2"/>
  <c r="CH12" i="2" s="1"/>
  <c r="CJ12" i="2" s="1"/>
  <c r="CL12" i="2" s="1"/>
  <c r="CN12" i="2" s="1"/>
  <c r="CP12" i="2" s="1"/>
  <c r="CR12" i="2" s="1"/>
  <c r="CT12" i="2" s="1"/>
  <c r="AG42" i="3"/>
  <c r="AO42" i="3"/>
  <c r="BE42" i="3"/>
  <c r="J42" i="3"/>
  <c r="R42" i="3"/>
  <c r="Z42" i="3"/>
  <c r="AH42" i="3"/>
  <c r="AP42" i="3"/>
  <c r="AX42" i="3"/>
  <c r="BF42" i="3"/>
  <c r="S42" i="3"/>
  <c r="L41" i="3"/>
  <c r="L42" i="3"/>
  <c r="T42" i="3"/>
  <c r="AB42" i="3"/>
  <c r="AJ42" i="3"/>
  <c r="AR42" i="3"/>
  <c r="AZ42" i="3"/>
  <c r="BH42" i="3"/>
  <c r="Q42" i="3"/>
  <c r="BG42" i="3"/>
  <c r="X19" i="3"/>
  <c r="AV19" i="3"/>
  <c r="U42" i="3"/>
  <c r="AC42" i="3"/>
  <c r="AS42" i="3"/>
  <c r="BA42" i="3"/>
  <c r="K42" i="3"/>
  <c r="AQ42" i="3"/>
  <c r="N42" i="3"/>
  <c r="V42" i="3"/>
  <c r="AD42" i="3"/>
  <c r="AL42" i="3"/>
  <c r="AT42" i="3"/>
  <c r="BB42" i="3"/>
  <c r="BJ42" i="3"/>
  <c r="AA42" i="3"/>
  <c r="G42" i="3"/>
  <c r="O42" i="3"/>
  <c r="W42" i="3"/>
  <c r="AE42" i="3"/>
  <c r="AM42" i="3"/>
  <c r="AU42" i="3"/>
  <c r="BC42" i="3"/>
  <c r="BK42" i="3"/>
  <c r="AI42" i="3"/>
  <c r="P42" i="3"/>
  <c r="X42" i="3"/>
  <c r="AF42" i="3"/>
  <c r="AN42" i="3"/>
  <c r="AV42" i="3"/>
  <c r="BD42" i="3"/>
  <c r="D42" i="3"/>
  <c r="D43" i="3" s="1"/>
  <c r="X41" i="3"/>
  <c r="AV41" i="3"/>
  <c r="E42" i="3"/>
  <c r="M42" i="3"/>
  <c r="AK42" i="3"/>
  <c r="BI42" i="3"/>
  <c r="AJ19" i="3"/>
  <c r="BH19" i="3"/>
  <c r="D40" i="3"/>
  <c r="E40" i="3" s="1"/>
  <c r="F40" i="3" s="1"/>
  <c r="G40" i="3" s="1"/>
  <c r="H40" i="3" s="1"/>
  <c r="I40" i="3" s="1"/>
  <c r="J40" i="3" s="1"/>
  <c r="K40" i="3" s="1"/>
  <c r="L40" i="3" s="1"/>
  <c r="M40" i="3" s="1"/>
  <c r="N40" i="3" s="1"/>
  <c r="O40" i="3" s="1"/>
  <c r="P40" i="3" s="1"/>
  <c r="Q40" i="3" s="1"/>
  <c r="R40" i="3" s="1"/>
  <c r="S40" i="3" s="1"/>
  <c r="T40" i="3" s="1"/>
  <c r="U40" i="3" s="1"/>
  <c r="V40" i="3" s="1"/>
  <c r="W40" i="3" s="1"/>
  <c r="X40" i="3" s="1"/>
  <c r="Y40" i="3" s="1"/>
  <c r="Z40" i="3" s="1"/>
  <c r="AA40" i="3" s="1"/>
  <c r="AB40" i="3" s="1"/>
  <c r="AC40" i="3" s="1"/>
  <c r="AD40" i="3" s="1"/>
  <c r="AE40" i="3" s="1"/>
  <c r="AF40" i="3" s="1"/>
  <c r="AG40" i="3" s="1"/>
  <c r="AH40" i="3" s="1"/>
  <c r="AI40" i="3" s="1"/>
  <c r="AJ40" i="3" s="1"/>
  <c r="AK40" i="3" s="1"/>
  <c r="AL40" i="3" s="1"/>
  <c r="AM40" i="3" s="1"/>
  <c r="AN40" i="3" s="1"/>
  <c r="AO40" i="3" s="1"/>
  <c r="AP40" i="3" s="1"/>
  <c r="AQ40" i="3" s="1"/>
  <c r="AR40" i="3" s="1"/>
  <c r="AS40" i="3" s="1"/>
  <c r="AT40" i="3" s="1"/>
  <c r="AU40" i="3" s="1"/>
  <c r="AV40" i="3" s="1"/>
  <c r="AW40" i="3" s="1"/>
  <c r="AX40" i="3" s="1"/>
  <c r="AY40" i="3" s="1"/>
  <c r="AZ40" i="3" s="1"/>
  <c r="BA40" i="3" s="1"/>
  <c r="BB40" i="3" s="1"/>
  <c r="BC40" i="3" s="1"/>
  <c r="BD40" i="3" s="1"/>
  <c r="BE40" i="3" s="1"/>
  <c r="BF40" i="3" s="1"/>
  <c r="BG40" i="3" s="1"/>
  <c r="BH40" i="3" s="1"/>
  <c r="BI40" i="3" s="1"/>
  <c r="BJ40" i="3" s="1"/>
  <c r="BK40" i="3" s="1"/>
  <c r="H42" i="3"/>
  <c r="F42" i="3"/>
  <c r="AJ41" i="3"/>
  <c r="BH41" i="3"/>
  <c r="I42" i="3"/>
  <c r="Y42" i="3"/>
  <c r="AW42" i="3"/>
  <c r="F64" i="15"/>
  <c r="F69" i="15" s="1"/>
  <c r="F70" i="15" s="1"/>
  <c r="F71" i="15" s="1"/>
  <c r="N55" i="15"/>
  <c r="I55" i="15"/>
  <c r="G55" i="15"/>
  <c r="O55" i="15"/>
  <c r="G64" i="15"/>
  <c r="G69" i="15" s="1"/>
  <c r="L64" i="2"/>
  <c r="N64" i="2" s="1"/>
  <c r="P64" i="2" s="1"/>
  <c r="R64" i="2" s="1"/>
  <c r="T64" i="2" s="1"/>
  <c r="V64" i="2" s="1"/>
  <c r="X64" i="2" s="1"/>
  <c r="Z64" i="2" s="1"/>
  <c r="U36" i="2"/>
  <c r="K62" i="2"/>
  <c r="J63" i="2" s="1"/>
  <c r="L63" i="2" s="1"/>
  <c r="N63" i="2" s="1"/>
  <c r="AA62" i="2"/>
  <c r="AC10" i="2"/>
  <c r="M10" i="2"/>
  <c r="BH10" i="2"/>
  <c r="Y23" i="2"/>
  <c r="W49" i="2"/>
  <c r="M62" i="2"/>
  <c r="AC62" i="2"/>
  <c r="K36" i="2"/>
  <c r="J37" i="2" s="1"/>
  <c r="AA36" i="2"/>
  <c r="AE36" i="2"/>
  <c r="L19" i="3"/>
  <c r="D18" i="3"/>
  <c r="E18" i="3" s="1"/>
  <c r="F18" i="3" s="1"/>
  <c r="G18" i="3" s="1"/>
  <c r="H18" i="3" s="1"/>
  <c r="I18" i="3" s="1"/>
  <c r="J18" i="3" s="1"/>
  <c r="K18" i="3" s="1"/>
  <c r="L18" i="3" s="1"/>
  <c r="M18" i="3" s="1"/>
  <c r="N18" i="3" s="1"/>
  <c r="O18" i="3" s="1"/>
  <c r="P18" i="3" s="1"/>
  <c r="Q18" i="3" s="1"/>
  <c r="R18" i="3" s="1"/>
  <c r="S18" i="3" s="1"/>
  <c r="T18" i="3" s="1"/>
  <c r="U18" i="3" s="1"/>
  <c r="V18" i="3" s="1"/>
  <c r="W18" i="3" s="1"/>
  <c r="X18" i="3" s="1"/>
  <c r="Y18" i="3" s="1"/>
  <c r="Z18" i="3" s="1"/>
  <c r="AA18" i="3" s="1"/>
  <c r="AB18" i="3" s="1"/>
  <c r="AC18" i="3" s="1"/>
  <c r="AD18" i="3" s="1"/>
  <c r="AE18" i="3" s="1"/>
  <c r="AF18" i="3" s="1"/>
  <c r="AG18" i="3" s="1"/>
  <c r="AH18" i="3" s="1"/>
  <c r="AI18" i="3" s="1"/>
  <c r="AJ18" i="3" s="1"/>
  <c r="AK18" i="3" s="1"/>
  <c r="AL18" i="3" s="1"/>
  <c r="AM18" i="3" s="1"/>
  <c r="AN18" i="3" s="1"/>
  <c r="AO18" i="3" s="1"/>
  <c r="AP18" i="3" s="1"/>
  <c r="AQ18" i="3" s="1"/>
  <c r="AR18" i="3" s="1"/>
  <c r="AS18" i="3" s="1"/>
  <c r="AT18" i="3" s="1"/>
  <c r="AU18" i="3" s="1"/>
  <c r="AV18" i="3" s="1"/>
  <c r="AW18" i="3" s="1"/>
  <c r="AX18" i="3" s="1"/>
  <c r="AY18" i="3" s="1"/>
  <c r="AZ18" i="3" s="1"/>
  <c r="BA18" i="3" s="1"/>
  <c r="BB18" i="3" s="1"/>
  <c r="BC18" i="3" s="1"/>
  <c r="BD18" i="3" s="1"/>
  <c r="BE18" i="3" s="1"/>
  <c r="BF18" i="3" s="1"/>
  <c r="BG18" i="3" s="1"/>
  <c r="BH18" i="3" s="1"/>
  <c r="BI18" i="3" s="1"/>
  <c r="BJ18" i="3" s="1"/>
  <c r="BK18" i="3" s="1"/>
  <c r="L38" i="2"/>
  <c r="N38" i="2" s="1"/>
  <c r="P38" i="2" s="1"/>
  <c r="R38" i="2" s="1"/>
  <c r="T38" i="2" s="1"/>
  <c r="V38" i="2" s="1"/>
  <c r="X38" i="2" s="1"/>
  <c r="Z38" i="2" s="1"/>
  <c r="O62" i="2"/>
  <c r="AE62" i="2"/>
  <c r="M36" i="2"/>
  <c r="AC36" i="2"/>
  <c r="Q36" i="2"/>
  <c r="AG36" i="2"/>
  <c r="Y36" i="2"/>
  <c r="AE49" i="2"/>
  <c r="S36" i="2"/>
  <c r="Y10" i="2"/>
  <c r="L12" i="2"/>
  <c r="U10" i="2"/>
  <c r="AV10" i="2"/>
  <c r="AC23" i="2"/>
  <c r="L25" i="2"/>
  <c r="N25" i="2" s="1"/>
  <c r="P25" i="2" s="1"/>
  <c r="R25" i="2" s="1"/>
  <c r="T25" i="2" s="1"/>
  <c r="V25" i="2" s="1"/>
  <c r="X25" i="2" s="1"/>
  <c r="Z25" i="2" s="1"/>
  <c r="AB25" i="2" s="1"/>
  <c r="Q49" i="2"/>
  <c r="AG49" i="2"/>
  <c r="BL10" i="2"/>
  <c r="U23" i="2"/>
  <c r="AA10" i="2"/>
  <c r="AT10" i="2"/>
  <c r="K10" i="2"/>
  <c r="J11" i="2" s="1"/>
  <c r="L11" i="2" s="1"/>
  <c r="BJ10" i="2"/>
  <c r="K23" i="2"/>
  <c r="J24" i="2" s="1"/>
  <c r="AA23" i="2"/>
  <c r="W10" i="2"/>
  <c r="BN10" i="2"/>
  <c r="BF10" i="2"/>
  <c r="O23" i="2"/>
  <c r="AE23" i="2"/>
  <c r="K49" i="2"/>
  <c r="J50" i="2" s="1"/>
  <c r="AA49" i="2"/>
  <c r="AG62" i="2"/>
  <c r="S10" i="2"/>
  <c r="S23" i="2"/>
  <c r="AZ10" i="2"/>
  <c r="Q23" i="2"/>
  <c r="AG23" i="2"/>
  <c r="M49" i="2"/>
  <c r="AC49" i="2"/>
  <c r="S62" i="2"/>
  <c r="O49" i="2"/>
  <c r="N12" i="2"/>
  <c r="P12" i="2" s="1"/>
  <c r="R12" i="2" s="1"/>
  <c r="T12" i="2" s="1"/>
  <c r="V12" i="2" s="1"/>
  <c r="X12" i="2" s="1"/>
  <c r="Z12" i="2" s="1"/>
  <c r="AB12" i="2" s="1"/>
  <c r="AD12" i="2" s="1"/>
  <c r="AF12" i="2" s="1"/>
  <c r="M23" i="2"/>
  <c r="S49" i="2"/>
  <c r="BB10" i="2"/>
  <c r="U49" i="2"/>
  <c r="U62" i="2"/>
  <c r="AE10" i="2"/>
  <c r="Q62" i="2"/>
  <c r="W62" i="2"/>
  <c r="O10" i="2"/>
  <c r="W23" i="2"/>
  <c r="Y49" i="2"/>
  <c r="Y62" i="2"/>
  <c r="AX10" i="2"/>
  <c r="AS12" i="2"/>
  <c r="AU12" i="2" s="1"/>
  <c r="AW12" i="2" s="1"/>
  <c r="AY12" i="2" s="1"/>
  <c r="BA12" i="2" s="1"/>
  <c r="BC12" i="2" s="1"/>
  <c r="BE12" i="2" s="1"/>
  <c r="BG12" i="2" s="1"/>
  <c r="BI12" i="2" s="1"/>
  <c r="BK12" i="2" s="1"/>
  <c r="BM12" i="2" s="1"/>
  <c r="AR10" i="2"/>
  <c r="AQ11" i="2" s="1"/>
  <c r="AS11" i="2" s="1"/>
  <c r="AU11" i="2" s="1"/>
  <c r="F43" i="3" l="1"/>
  <c r="G43" i="3" s="1"/>
  <c r="H43" i="3" s="1"/>
  <c r="I43" i="3" s="1"/>
  <c r="J43" i="3" s="1"/>
  <c r="K43" i="3" s="1"/>
  <c r="L43" i="3" s="1"/>
  <c r="M43" i="3" s="1"/>
  <c r="N43" i="3" s="1"/>
  <c r="O43" i="3" s="1"/>
  <c r="P43" i="3" s="1"/>
  <c r="Q43" i="3" s="1"/>
  <c r="R43" i="3" s="1"/>
  <c r="S43" i="3" s="1"/>
  <c r="T43" i="3" s="1"/>
  <c r="U43" i="3" s="1"/>
  <c r="V43" i="3" s="1"/>
  <c r="W43" i="3" s="1"/>
  <c r="X43" i="3" s="1"/>
  <c r="Y43" i="3" s="1"/>
  <c r="Z43" i="3" s="1"/>
  <c r="AA43" i="3" s="1"/>
  <c r="AB43" i="3" s="1"/>
  <c r="AC43" i="3" s="1"/>
  <c r="AD43" i="3" s="1"/>
  <c r="AE43" i="3" s="1"/>
  <c r="AF43" i="3" s="1"/>
  <c r="AG43" i="3" s="1"/>
  <c r="AH43" i="3" s="1"/>
  <c r="AI43" i="3" s="1"/>
  <c r="AJ43" i="3" s="1"/>
  <c r="AK43" i="3" s="1"/>
  <c r="AL43" i="3" s="1"/>
  <c r="AM43" i="3" s="1"/>
  <c r="AN43" i="3" s="1"/>
  <c r="AO43" i="3" s="1"/>
  <c r="AP43" i="3" s="1"/>
  <c r="AQ43" i="3" s="1"/>
  <c r="AR43" i="3" s="1"/>
  <c r="AS43" i="3" s="1"/>
  <c r="AT43" i="3" s="1"/>
  <c r="AU43" i="3" s="1"/>
  <c r="AV43" i="3" s="1"/>
  <c r="AW43" i="3" s="1"/>
  <c r="AX43" i="3" s="1"/>
  <c r="AY43" i="3" s="1"/>
  <c r="AZ43" i="3" s="1"/>
  <c r="BA43" i="3" s="1"/>
  <c r="BB43" i="3" s="1"/>
  <c r="BC43" i="3" s="1"/>
  <c r="BD43" i="3" s="1"/>
  <c r="BE43" i="3" s="1"/>
  <c r="BF43" i="3" s="1"/>
  <c r="BG43" i="3" s="1"/>
  <c r="BH43" i="3" s="1"/>
  <c r="BI43" i="3" s="1"/>
  <c r="BJ43" i="3" s="1"/>
  <c r="BK43" i="3" s="1"/>
  <c r="E43" i="3"/>
  <c r="F40" i="4"/>
  <c r="F41" i="4" s="1"/>
  <c r="S64" i="7"/>
  <c r="S65" i="7" s="1"/>
  <c r="AO51" i="7"/>
  <c r="X58" i="6"/>
  <c r="X63" i="6" s="1"/>
  <c r="G63" i="6"/>
  <c r="Z58" i="6"/>
  <c r="Z63" i="6" s="1"/>
  <c r="AO51" i="6"/>
  <c r="F63" i="5"/>
  <c r="F64" i="5" s="1"/>
  <c r="V65" i="11"/>
  <c r="V66" i="11"/>
  <c r="AA65" i="11"/>
  <c r="AA66" i="11"/>
  <c r="AF65" i="11"/>
  <c r="AF66" i="11" s="1"/>
  <c r="W59" i="11"/>
  <c r="W64" i="11" s="1"/>
  <c r="R65" i="11"/>
  <c r="R66" i="11"/>
  <c r="T65" i="11"/>
  <c r="T66" i="11" s="1"/>
  <c r="H56" i="11"/>
  <c r="U66" i="11"/>
  <c r="U65" i="11"/>
  <c r="F65" i="11"/>
  <c r="F66" i="11" s="1"/>
  <c r="Y59" i="11"/>
  <c r="Y64" i="11" s="1"/>
  <c r="X59" i="11"/>
  <c r="X64" i="11" s="1"/>
  <c r="G65" i="11"/>
  <c r="AG65" i="11"/>
  <c r="AG66" i="11" s="1"/>
  <c r="Z59" i="11"/>
  <c r="Z64" i="11" s="1"/>
  <c r="X65" i="10"/>
  <c r="X66" i="10"/>
  <c r="AG65" i="10"/>
  <c r="AG66" i="10" s="1"/>
  <c r="V65" i="10"/>
  <c r="V66" i="10" s="1"/>
  <c r="H56" i="10"/>
  <c r="W65" i="10"/>
  <c r="W66" i="10"/>
  <c r="AA65" i="10"/>
  <c r="AA66" i="10"/>
  <c r="AF65" i="10"/>
  <c r="AF66" i="10" s="1"/>
  <c r="AE65" i="10"/>
  <c r="AE66" i="10" s="1"/>
  <c r="T65" i="10"/>
  <c r="T66" i="10" s="1"/>
  <c r="S65" i="10"/>
  <c r="S66" i="10"/>
  <c r="G64" i="10"/>
  <c r="F64" i="10"/>
  <c r="AH65" i="10"/>
  <c r="AH66" i="10"/>
  <c r="Z59" i="10"/>
  <c r="Z64" i="10" s="1"/>
  <c r="U65" i="10"/>
  <c r="U66" i="10" s="1"/>
  <c r="Y59" i="10"/>
  <c r="Y64" i="10" s="1"/>
  <c r="R65" i="10"/>
  <c r="R66" i="10"/>
  <c r="F65" i="9"/>
  <c r="F66" i="9"/>
  <c r="Z65" i="9"/>
  <c r="Z66" i="9"/>
  <c r="AF65" i="9"/>
  <c r="AF66" i="9" s="1"/>
  <c r="X65" i="9"/>
  <c r="X66" i="9"/>
  <c r="R65" i="9"/>
  <c r="R66" i="9"/>
  <c r="V65" i="9"/>
  <c r="V66" i="9"/>
  <c r="AD65" i="9"/>
  <c r="AD66" i="9" s="1"/>
  <c r="AA65" i="9"/>
  <c r="AA66" i="9"/>
  <c r="H56" i="9"/>
  <c r="Y59" i="9"/>
  <c r="Y64" i="9" s="1"/>
  <c r="G59" i="9"/>
  <c r="G64" i="9" s="1"/>
  <c r="AG65" i="9"/>
  <c r="AG66" i="9"/>
  <c r="AE65" i="9"/>
  <c r="AE66" i="9" s="1"/>
  <c r="W59" i="9"/>
  <c r="W64" i="9" s="1"/>
  <c r="U65" i="9"/>
  <c r="U66" i="9" s="1"/>
  <c r="AA64" i="7"/>
  <c r="AA65" i="7" s="1"/>
  <c r="X58" i="7"/>
  <c r="X63" i="7" s="1"/>
  <c r="AF64" i="7"/>
  <c r="AF65" i="7" s="1"/>
  <c r="Z58" i="7"/>
  <c r="Z63" i="7" s="1"/>
  <c r="V64" i="7"/>
  <c r="V65" i="7" s="1"/>
  <c r="R65" i="7"/>
  <c r="R64" i="7"/>
  <c r="F64" i="7"/>
  <c r="F65" i="7" s="1"/>
  <c r="U64" i="7"/>
  <c r="U65" i="7" s="1"/>
  <c r="G64" i="7"/>
  <c r="Y58" i="7"/>
  <c r="Y63" i="7" s="1"/>
  <c r="AE64" i="7"/>
  <c r="AE65" i="7" s="1"/>
  <c r="H55" i="7"/>
  <c r="T65" i="7"/>
  <c r="T64" i="7"/>
  <c r="W58" i="7"/>
  <c r="W63" i="7" s="1"/>
  <c r="G64" i="6"/>
  <c r="G65" i="6" s="1"/>
  <c r="F64" i="6"/>
  <c r="F65" i="6" s="1"/>
  <c r="AA64" i="6"/>
  <c r="AA65" i="6"/>
  <c r="V64" i="6"/>
  <c r="V65" i="6" s="1"/>
  <c r="Z64" i="6"/>
  <c r="Z65" i="6" s="1"/>
  <c r="X64" i="6"/>
  <c r="X65" i="6"/>
  <c r="Y64" i="6"/>
  <c r="Y65" i="6" s="1"/>
  <c r="R64" i="6"/>
  <c r="R65" i="6" s="1"/>
  <c r="AG64" i="6"/>
  <c r="AG65" i="6" s="1"/>
  <c r="AD64" i="6"/>
  <c r="AD65" i="6" s="1"/>
  <c r="H55" i="6"/>
  <c r="W58" i="6"/>
  <c r="W63" i="6" s="1"/>
  <c r="AE64" i="6"/>
  <c r="AE65" i="6" s="1"/>
  <c r="T64" i="6"/>
  <c r="T65" i="6" s="1"/>
  <c r="U64" i="6"/>
  <c r="U65" i="6" s="1"/>
  <c r="G64" i="5"/>
  <c r="G65" i="5" s="1"/>
  <c r="AA64" i="5"/>
  <c r="AA65" i="5"/>
  <c r="W58" i="5"/>
  <c r="W63" i="5" s="1"/>
  <c r="AE64" i="5"/>
  <c r="AE65" i="5" s="1"/>
  <c r="U64" i="5"/>
  <c r="U65" i="5" s="1"/>
  <c r="Y58" i="5"/>
  <c r="Y63" i="5" s="1"/>
  <c r="H55" i="5"/>
  <c r="AH64" i="5"/>
  <c r="AH65" i="5"/>
  <c r="X58" i="5"/>
  <c r="X63" i="5" s="1"/>
  <c r="Z58" i="5"/>
  <c r="Z63" i="5" s="1"/>
  <c r="V64" i="5"/>
  <c r="V65" i="5" s="1"/>
  <c r="R64" i="5"/>
  <c r="R65" i="5" s="1"/>
  <c r="AG64" i="5"/>
  <c r="AG65" i="5"/>
  <c r="AD64" i="5"/>
  <c r="AD65" i="5" s="1"/>
  <c r="T64" i="5"/>
  <c r="T65" i="5" s="1"/>
  <c r="G40" i="4"/>
  <c r="G70" i="8"/>
  <c r="G71" i="8"/>
  <c r="G70" i="13"/>
  <c r="G71" i="13" s="1"/>
  <c r="I64" i="13"/>
  <c r="I69" i="13" s="1"/>
  <c r="J59" i="13"/>
  <c r="J64" i="13" s="1"/>
  <c r="J69" i="13" s="1"/>
  <c r="H64" i="13"/>
  <c r="H69" i="13" s="1"/>
  <c r="F70" i="13"/>
  <c r="F71" i="13"/>
  <c r="AB64" i="2"/>
  <c r="AD64" i="2" s="1"/>
  <c r="AF64" i="2" s="1"/>
  <c r="L37" i="2"/>
  <c r="N37" i="2" s="1"/>
  <c r="P37" i="2" s="1"/>
  <c r="R37" i="2" s="1"/>
  <c r="T37" i="2" s="1"/>
  <c r="V37" i="2" s="1"/>
  <c r="X37" i="2" s="1"/>
  <c r="Z37" i="2" s="1"/>
  <c r="AB37" i="2" s="1"/>
  <c r="AD37" i="2" s="1"/>
  <c r="AF37" i="2" s="1"/>
  <c r="AB38" i="2"/>
  <c r="AD38" i="2" s="1"/>
  <c r="AF38" i="2" s="1"/>
  <c r="CR11" i="2"/>
  <c r="CT11" i="2" s="1"/>
  <c r="DG11" i="2"/>
  <c r="DI11" i="2" s="1"/>
  <c r="DK11" i="2" s="1"/>
  <c r="DM11" i="2" s="1"/>
  <c r="DO11" i="2" s="1"/>
  <c r="DQ11" i="2" s="1"/>
  <c r="DS11" i="2" s="1"/>
  <c r="DU11" i="2" s="1"/>
  <c r="DW11" i="2" s="1"/>
  <c r="DY11" i="2" s="1"/>
  <c r="EA11" i="2" s="1"/>
  <c r="AB51" i="2"/>
  <c r="AD51" i="2" s="1"/>
  <c r="AF51" i="2" s="1"/>
  <c r="B26" i="1"/>
  <c r="ET11" i="2"/>
  <c r="EV11" i="2" s="1"/>
  <c r="EX11" i="2" s="1"/>
  <c r="EZ11" i="2" s="1"/>
  <c r="FB11" i="2" s="1"/>
  <c r="FD11" i="2" s="1"/>
  <c r="FF11" i="2" s="1"/>
  <c r="FH11" i="2" s="1"/>
  <c r="H64" i="15"/>
  <c r="H69" i="15" s="1"/>
  <c r="H70" i="15" s="1"/>
  <c r="H71" i="15" s="1"/>
  <c r="I64" i="15"/>
  <c r="I69" i="15" s="1"/>
  <c r="J64" i="15"/>
  <c r="J69" i="15" s="1"/>
  <c r="G70" i="15"/>
  <c r="G71" i="15" s="1"/>
  <c r="N11" i="2"/>
  <c r="P11" i="2" s="1"/>
  <c r="R11" i="2" s="1"/>
  <c r="T11" i="2" s="1"/>
  <c r="V11" i="2" s="1"/>
  <c r="X11" i="2" s="1"/>
  <c r="Z11" i="2" s="1"/>
  <c r="AB11" i="2" s="1"/>
  <c r="AD11" i="2" s="1"/>
  <c r="AF11" i="2" s="1"/>
  <c r="L24" i="2"/>
  <c r="N24" i="2" s="1"/>
  <c r="P24" i="2" s="1"/>
  <c r="R24" i="2" s="1"/>
  <c r="T24" i="2" s="1"/>
  <c r="V24" i="2" s="1"/>
  <c r="X24" i="2" s="1"/>
  <c r="Z24" i="2" s="1"/>
  <c r="AB24" i="2" s="1"/>
  <c r="AD24" i="2" s="1"/>
  <c r="AF24" i="2" s="1"/>
  <c r="L50" i="2"/>
  <c r="N50" i="2" s="1"/>
  <c r="P50" i="2" s="1"/>
  <c r="R50" i="2" s="1"/>
  <c r="T50" i="2"/>
  <c r="V50" i="2" s="1"/>
  <c r="X50" i="2" s="1"/>
  <c r="Z50" i="2" s="1"/>
  <c r="AB50" i="2" s="1"/>
  <c r="AD50" i="2" s="1"/>
  <c r="AF50" i="2" s="1"/>
  <c r="AW11" i="2"/>
  <c r="AY11" i="2" s="1"/>
  <c r="BA11" i="2" s="1"/>
  <c r="BC11" i="2" s="1"/>
  <c r="BE11" i="2" s="1"/>
  <c r="BG11" i="2" s="1"/>
  <c r="BI11" i="2" s="1"/>
  <c r="BK11" i="2" s="1"/>
  <c r="BM11" i="2" s="1"/>
  <c r="AD25" i="2"/>
  <c r="AF25" i="2" s="1"/>
  <c r="P63" i="2"/>
  <c r="R63" i="2" s="1"/>
  <c r="T63" i="2" s="1"/>
  <c r="V63" i="2" s="1"/>
  <c r="X63" i="2" s="1"/>
  <c r="Z63" i="2" s="1"/>
  <c r="AB63" i="2" s="1"/>
  <c r="AD63" i="2" s="1"/>
  <c r="AF63" i="2" s="1"/>
  <c r="F65" i="5" l="1"/>
  <c r="I56" i="11"/>
  <c r="H59" i="11"/>
  <c r="H64" i="11" s="1"/>
  <c r="Z66" i="11"/>
  <c r="Z65" i="11"/>
  <c r="Y65" i="11"/>
  <c r="Y66" i="11" s="1"/>
  <c r="X65" i="11"/>
  <c r="X66" i="11"/>
  <c r="G66" i="11"/>
  <c r="W65" i="11"/>
  <c r="W66" i="11" s="1"/>
  <c r="I56" i="10"/>
  <c r="H59" i="10"/>
  <c r="H64" i="10" s="1"/>
  <c r="Y65" i="10"/>
  <c r="Y66" i="10" s="1"/>
  <c r="G65" i="10"/>
  <c r="G66" i="10"/>
  <c r="F65" i="10"/>
  <c r="F66" i="10"/>
  <c r="Z65" i="10"/>
  <c r="Z66" i="10"/>
  <c r="Y65" i="9"/>
  <c r="Y66" i="9"/>
  <c r="I56" i="9"/>
  <c r="H59" i="9"/>
  <c r="H64" i="9" s="1"/>
  <c r="G65" i="9"/>
  <c r="W65" i="9"/>
  <c r="W66" i="9"/>
  <c r="Z64" i="7"/>
  <c r="Z65" i="7" s="1"/>
  <c r="I55" i="7"/>
  <c r="H58" i="7"/>
  <c r="H63" i="7" s="1"/>
  <c r="Y64" i="7"/>
  <c r="Y65" i="7"/>
  <c r="W64" i="7"/>
  <c r="W65" i="7" s="1"/>
  <c r="X64" i="7"/>
  <c r="X65" i="7"/>
  <c r="G65" i="7"/>
  <c r="I55" i="6"/>
  <c r="H58" i="6"/>
  <c r="H63" i="6" s="1"/>
  <c r="W64" i="6"/>
  <c r="W65" i="6" s="1"/>
  <c r="Y64" i="5"/>
  <c r="Y65" i="5" s="1"/>
  <c r="Z64" i="5"/>
  <c r="Z65" i="5" s="1"/>
  <c r="I55" i="5"/>
  <c r="H58" i="5"/>
  <c r="H63" i="5" s="1"/>
  <c r="X64" i="5"/>
  <c r="X65" i="5"/>
  <c r="W64" i="5"/>
  <c r="W65" i="5" s="1"/>
  <c r="G41" i="4"/>
  <c r="H40" i="4"/>
  <c r="H71" i="13"/>
  <c r="H70" i="13"/>
  <c r="I70" i="13"/>
  <c r="I71" i="13" s="1"/>
  <c r="J70" i="13"/>
  <c r="J71" i="13" s="1"/>
  <c r="B13" i="1"/>
  <c r="J70" i="15"/>
  <c r="J71" i="15" s="1"/>
  <c r="I70" i="15"/>
  <c r="I71" i="15" s="1"/>
  <c r="H65" i="11" l="1"/>
  <c r="H66" i="11" s="1"/>
  <c r="K56" i="11"/>
  <c r="J56" i="11"/>
  <c r="I59" i="11"/>
  <c r="I64" i="11" s="1"/>
  <c r="H65" i="10"/>
  <c r="H66" i="10" s="1"/>
  <c r="K56" i="10"/>
  <c r="J56" i="10"/>
  <c r="I59" i="10"/>
  <c r="I64" i="10" s="1"/>
  <c r="H65" i="9"/>
  <c r="H66" i="9"/>
  <c r="K56" i="9"/>
  <c r="J56" i="9"/>
  <c r="I59" i="9"/>
  <c r="I64" i="9" s="1"/>
  <c r="G66" i="9"/>
  <c r="H64" i="7"/>
  <c r="K55" i="7"/>
  <c r="J55" i="7"/>
  <c r="I58" i="7"/>
  <c r="I63" i="7" s="1"/>
  <c r="H64" i="6"/>
  <c r="K55" i="6"/>
  <c r="J55" i="6"/>
  <c r="I58" i="6"/>
  <c r="I63" i="6" s="1"/>
  <c r="H64" i="5"/>
  <c r="K55" i="5"/>
  <c r="J55" i="5"/>
  <c r="I58" i="5"/>
  <c r="I63" i="5" s="1"/>
  <c r="H41" i="4"/>
  <c r="I40" i="4"/>
  <c r="J59" i="11" l="1"/>
  <c r="J64" i="11" s="1"/>
  <c r="L56" i="11"/>
  <c r="K59" i="11"/>
  <c r="K64" i="11" s="1"/>
  <c r="AK56" i="11"/>
  <c r="AK59" i="11" s="1"/>
  <c r="I65" i="11"/>
  <c r="I66" i="11"/>
  <c r="L56" i="10"/>
  <c r="K59" i="10"/>
  <c r="K64" i="10" s="1"/>
  <c r="AK56" i="10"/>
  <c r="AK59" i="10" s="1"/>
  <c r="I65" i="10"/>
  <c r="I66" i="10"/>
  <c r="J59" i="10"/>
  <c r="J64" i="10" s="1"/>
  <c r="J59" i="9"/>
  <c r="J64" i="9" s="1"/>
  <c r="I65" i="9"/>
  <c r="I66" i="9"/>
  <c r="L56" i="9"/>
  <c r="AK56" i="9"/>
  <c r="AK59" i="9" s="1"/>
  <c r="K59" i="9"/>
  <c r="K64" i="9" s="1"/>
  <c r="I64" i="7"/>
  <c r="J58" i="7"/>
  <c r="J63" i="7" s="1"/>
  <c r="L55" i="7"/>
  <c r="K58" i="7"/>
  <c r="K63" i="7" s="1"/>
  <c r="AK55" i="7"/>
  <c r="AK58" i="7" s="1"/>
  <c r="H65" i="7"/>
  <c r="L55" i="6"/>
  <c r="AK55" i="6"/>
  <c r="AK58" i="6" s="1"/>
  <c r="K58" i="6"/>
  <c r="K63" i="6" s="1"/>
  <c r="J58" i="6"/>
  <c r="J63" i="6" s="1"/>
  <c r="I64" i="6"/>
  <c r="I65" i="6"/>
  <c r="H65" i="6"/>
  <c r="J58" i="5"/>
  <c r="J63" i="5" s="1"/>
  <c r="I64" i="5"/>
  <c r="L55" i="5"/>
  <c r="AK55" i="5"/>
  <c r="AK58" i="5" s="1"/>
  <c r="K58" i="5"/>
  <c r="K63" i="5" s="1"/>
  <c r="H65" i="5"/>
  <c r="J40" i="4"/>
  <c r="I41" i="4"/>
  <c r="M56" i="11" l="1"/>
  <c r="L59" i="11"/>
  <c r="L64" i="11" s="1"/>
  <c r="AL56" i="11"/>
  <c r="AL59" i="11" s="1"/>
  <c r="K65" i="11"/>
  <c r="AK65" i="11" s="1"/>
  <c r="AK64" i="11"/>
  <c r="J65" i="11"/>
  <c r="M56" i="10"/>
  <c r="L59" i="10"/>
  <c r="L64" i="10" s="1"/>
  <c r="AL56" i="10"/>
  <c r="AL59" i="10" s="1"/>
  <c r="K65" i="10"/>
  <c r="AK65" i="10" s="1"/>
  <c r="AK64" i="10"/>
  <c r="J66" i="10"/>
  <c r="J65" i="10"/>
  <c r="M56" i="9"/>
  <c r="L59" i="9"/>
  <c r="L64" i="9" s="1"/>
  <c r="AL56" i="9"/>
  <c r="AL59" i="9" s="1"/>
  <c r="J65" i="9"/>
  <c r="J66" i="9" s="1"/>
  <c r="K65" i="9"/>
  <c r="AK65" i="9" s="1"/>
  <c r="AK64" i="9"/>
  <c r="J64" i="7"/>
  <c r="K64" i="7"/>
  <c r="AK64" i="7" s="1"/>
  <c r="AK63" i="7"/>
  <c r="M55" i="7"/>
  <c r="L58" i="7"/>
  <c r="L63" i="7" s="1"/>
  <c r="AL55" i="7"/>
  <c r="AL58" i="7" s="1"/>
  <c r="I65" i="7"/>
  <c r="J64" i="6"/>
  <c r="J65" i="6" s="1"/>
  <c r="K64" i="6"/>
  <c r="AK64" i="6" s="1"/>
  <c r="AK63" i="6"/>
  <c r="M55" i="6"/>
  <c r="L58" i="6"/>
  <c r="L63" i="6" s="1"/>
  <c r="AL55" i="6"/>
  <c r="AL58" i="6" s="1"/>
  <c r="K64" i="5"/>
  <c r="AK64" i="5" s="1"/>
  <c r="AK63" i="5"/>
  <c r="M55" i="5"/>
  <c r="L58" i="5"/>
  <c r="L63" i="5" s="1"/>
  <c r="AL55" i="5"/>
  <c r="AL58" i="5" s="1"/>
  <c r="I65" i="5"/>
  <c r="J64" i="5"/>
  <c r="J41" i="4"/>
  <c r="K66" i="11" l="1"/>
  <c r="AK66" i="11" s="1"/>
  <c r="L65" i="11"/>
  <c r="AL65" i="11" s="1"/>
  <c r="AL64" i="11"/>
  <c r="N56" i="11"/>
  <c r="M59" i="11"/>
  <c r="M64" i="11" s="1"/>
  <c r="AM56" i="11"/>
  <c r="AM59" i="11" s="1"/>
  <c r="J66" i="11"/>
  <c r="K66" i="10"/>
  <c r="AK66" i="10" s="1"/>
  <c r="L65" i="10"/>
  <c r="AL65" i="10" s="1"/>
  <c r="AL64" i="10"/>
  <c r="N56" i="10"/>
  <c r="M59" i="10"/>
  <c r="M64" i="10" s="1"/>
  <c r="AM56" i="10"/>
  <c r="AM59" i="10" s="1"/>
  <c r="L65" i="9"/>
  <c r="AL65" i="9" s="1"/>
  <c r="AL64" i="9"/>
  <c r="K66" i="9"/>
  <c r="AK66" i="9" s="1"/>
  <c r="N56" i="9"/>
  <c r="M59" i="9"/>
  <c r="M64" i="9" s="1"/>
  <c r="AM56" i="9"/>
  <c r="AM59" i="9" s="1"/>
  <c r="N55" i="7"/>
  <c r="M58" i="7"/>
  <c r="M63" i="7" s="1"/>
  <c r="AM55" i="7"/>
  <c r="AM58" i="7" s="1"/>
  <c r="L64" i="7"/>
  <c r="AL64" i="7" s="1"/>
  <c r="AL63" i="7"/>
  <c r="J65" i="7"/>
  <c r="K65" i="7"/>
  <c r="AK65" i="7" s="1"/>
  <c r="K65" i="6"/>
  <c r="AK65" i="6" s="1"/>
  <c r="L64" i="6"/>
  <c r="AL64" i="6" s="1"/>
  <c r="AL63" i="6"/>
  <c r="N55" i="6"/>
  <c r="M58" i="6"/>
  <c r="M63" i="6" s="1"/>
  <c r="AM55" i="6"/>
  <c r="AM58" i="6" s="1"/>
  <c r="L64" i="5"/>
  <c r="AL64" i="5" s="1"/>
  <c r="AL63" i="5"/>
  <c r="K65" i="5"/>
  <c r="AK65" i="5" s="1"/>
  <c r="N55" i="5"/>
  <c r="M58" i="5"/>
  <c r="M63" i="5" s="1"/>
  <c r="AM55" i="5"/>
  <c r="AM58" i="5" s="1"/>
  <c r="J65" i="5"/>
  <c r="L65" i="6" l="1"/>
  <c r="AL65" i="6" s="1"/>
  <c r="M66" i="11"/>
  <c r="AM66" i="11" s="1"/>
  <c r="M65" i="11"/>
  <c r="AM65" i="11" s="1"/>
  <c r="AM64" i="11"/>
  <c r="L66" i="11"/>
  <c r="AL66" i="11" s="1"/>
  <c r="O56" i="11"/>
  <c r="N59" i="11"/>
  <c r="N64" i="11" s="1"/>
  <c r="AN56" i="11"/>
  <c r="AN59" i="11" s="1"/>
  <c r="O56" i="10"/>
  <c r="N59" i="10"/>
  <c r="N64" i="10" s="1"/>
  <c r="AN56" i="10"/>
  <c r="AN59" i="10" s="1"/>
  <c r="L66" i="10"/>
  <c r="AL66" i="10" s="1"/>
  <c r="M65" i="10"/>
  <c r="AM65" i="10" s="1"/>
  <c r="AM64" i="10"/>
  <c r="M65" i="9"/>
  <c r="AM65" i="9" s="1"/>
  <c r="AM64" i="9"/>
  <c r="O56" i="9"/>
  <c r="N59" i="9"/>
  <c r="N64" i="9" s="1"/>
  <c r="AN56" i="9"/>
  <c r="AN59" i="9" s="1"/>
  <c r="L66" i="9"/>
  <c r="AL66" i="9" s="1"/>
  <c r="L65" i="7"/>
  <c r="AL65" i="7" s="1"/>
  <c r="M64" i="7"/>
  <c r="AM64" i="7" s="1"/>
  <c r="M65" i="7"/>
  <c r="AM65" i="7" s="1"/>
  <c r="AM63" i="7"/>
  <c r="O55" i="7"/>
  <c r="N58" i="7"/>
  <c r="N63" i="7" s="1"/>
  <c r="AN55" i="7"/>
  <c r="AN58" i="7" s="1"/>
  <c r="O55" i="6"/>
  <c r="N58" i="6"/>
  <c r="N63" i="6" s="1"/>
  <c r="AN55" i="6"/>
  <c r="AN58" i="6" s="1"/>
  <c r="M64" i="6"/>
  <c r="AM64" i="6" s="1"/>
  <c r="AM63" i="6"/>
  <c r="M64" i="5"/>
  <c r="AM64" i="5" s="1"/>
  <c r="AM63" i="5"/>
  <c r="O55" i="5"/>
  <c r="N58" i="5"/>
  <c r="N63" i="5" s="1"/>
  <c r="AN55" i="5"/>
  <c r="AN58" i="5" s="1"/>
  <c r="L65" i="5"/>
  <c r="AL65" i="5" s="1"/>
  <c r="N65" i="11" l="1"/>
  <c r="AN65" i="11" s="1"/>
  <c r="AN64" i="11"/>
  <c r="O59" i="11"/>
  <c r="O64" i="11" s="1"/>
  <c r="AO56" i="11"/>
  <c r="AO59" i="11" s="1"/>
  <c r="M66" i="10"/>
  <c r="AM66" i="10" s="1"/>
  <c r="N65" i="10"/>
  <c r="AN65" i="10" s="1"/>
  <c r="N66" i="10"/>
  <c r="AN66" i="10" s="1"/>
  <c r="AN64" i="10"/>
  <c r="O59" i="10"/>
  <c r="O64" i="10" s="1"/>
  <c r="AO56" i="10"/>
  <c r="AO59" i="10" s="1"/>
  <c r="N65" i="9"/>
  <c r="AN65" i="9" s="1"/>
  <c r="N66" i="9"/>
  <c r="AN66" i="9" s="1"/>
  <c r="AN64" i="9"/>
  <c r="M66" i="9"/>
  <c r="AM66" i="9" s="1"/>
  <c r="O59" i="9"/>
  <c r="O64" i="9" s="1"/>
  <c r="AO56" i="9"/>
  <c r="AO59" i="9" s="1"/>
  <c r="N64" i="7"/>
  <c r="AN64" i="7" s="1"/>
  <c r="N65" i="7"/>
  <c r="AN65" i="7" s="1"/>
  <c r="AN63" i="7"/>
  <c r="O58" i="7"/>
  <c r="O63" i="7" s="1"/>
  <c r="AO55" i="7"/>
  <c r="AO58" i="7" s="1"/>
  <c r="M65" i="6"/>
  <c r="AM65" i="6" s="1"/>
  <c r="N64" i="6"/>
  <c r="AN64" i="6" s="1"/>
  <c r="AN63" i="6"/>
  <c r="O58" i="6"/>
  <c r="O63" i="6" s="1"/>
  <c r="AO55" i="6"/>
  <c r="AO58" i="6" s="1"/>
  <c r="N64" i="5"/>
  <c r="AN64" i="5" s="1"/>
  <c r="AN63" i="5"/>
  <c r="O58" i="5"/>
  <c r="O63" i="5" s="1"/>
  <c r="AO55" i="5"/>
  <c r="AO58" i="5" s="1"/>
  <c r="M65" i="5"/>
  <c r="AM65" i="5" s="1"/>
  <c r="O65" i="11" l="1"/>
  <c r="AO65" i="11" s="1"/>
  <c r="O66" i="11"/>
  <c r="AO66" i="11" s="1"/>
  <c r="AO64" i="11"/>
  <c r="N66" i="11"/>
  <c r="AN66" i="11" s="1"/>
  <c r="O65" i="10"/>
  <c r="AO65" i="10" s="1"/>
  <c r="AO64" i="10"/>
  <c r="O65" i="9"/>
  <c r="AO65" i="9" s="1"/>
  <c r="AO64" i="9"/>
  <c r="O64" i="7"/>
  <c r="AO64" i="7" s="1"/>
  <c r="AO63" i="7"/>
  <c r="O64" i="6"/>
  <c r="AO64" i="6" s="1"/>
  <c r="AO63" i="6"/>
  <c r="N65" i="6"/>
  <c r="AN65" i="6" s="1"/>
  <c r="N65" i="5"/>
  <c r="AN65" i="5" s="1"/>
  <c r="O64" i="5"/>
  <c r="AO64" i="5" s="1"/>
  <c r="AO63" i="5"/>
  <c r="O65" i="5" l="1"/>
  <c r="AO65" i="5" s="1"/>
  <c r="O66" i="10"/>
  <c r="AO66" i="10" s="1"/>
  <c r="O66" i="9"/>
  <c r="AO66" i="9" s="1"/>
  <c r="O65" i="7"/>
  <c r="AO65" i="7" s="1"/>
  <c r="O65" i="6"/>
  <c r="AO65" i="6" s="1"/>
</calcChain>
</file>

<file path=xl/sharedStrings.xml><?xml version="1.0" encoding="utf-8"?>
<sst xmlns="http://schemas.openxmlformats.org/spreadsheetml/2006/main" count="4235" uniqueCount="227">
  <si>
    <t>FTE</t>
  </si>
  <si>
    <t>FY25</t>
  </si>
  <si>
    <t>FY26</t>
  </si>
  <si>
    <t>FY27</t>
  </si>
  <si>
    <t>FY28</t>
  </si>
  <si>
    <t>FY29</t>
  </si>
  <si>
    <t>FY30</t>
  </si>
  <si>
    <t>TOTAL</t>
  </si>
  <si>
    <t>Team YYY</t>
  </si>
  <si>
    <t xml:space="preserve">Forecasted </t>
  </si>
  <si>
    <t xml:space="preserve">Position Title </t>
  </si>
  <si>
    <t xml:space="preserve">Level </t>
  </si>
  <si>
    <t>Team Name</t>
  </si>
  <si>
    <t xml:space="preserve">Last Name </t>
  </si>
  <si>
    <t xml:space="preserve">First Name </t>
  </si>
  <si>
    <t xml:space="preserve">Company </t>
  </si>
  <si>
    <t xml:space="preserve">Status </t>
  </si>
  <si>
    <t>Fully Burdened Rate</t>
  </si>
  <si>
    <t xml:space="preserve">Hours </t>
  </si>
  <si>
    <t xml:space="preserve">Cost </t>
  </si>
  <si>
    <t xml:space="preserve">Doe </t>
  </si>
  <si>
    <t xml:space="preserve">John </t>
  </si>
  <si>
    <t>XXX</t>
  </si>
  <si>
    <t xml:space="preserve">Filled </t>
  </si>
  <si>
    <t xml:space="preserve">Senior Software Engineer </t>
  </si>
  <si>
    <t>III</t>
  </si>
  <si>
    <t xml:space="preserve">Jane </t>
  </si>
  <si>
    <t xml:space="preserve">Senior Developer </t>
  </si>
  <si>
    <t>II</t>
  </si>
  <si>
    <t>Total</t>
  </si>
  <si>
    <t xml:space="preserve">Cumulative Expenditures </t>
  </si>
  <si>
    <t>Team XXX</t>
  </si>
  <si>
    <t>Juniper</t>
  </si>
  <si>
    <t>Team XXX Manager</t>
  </si>
  <si>
    <t>Team YYY Manager</t>
  </si>
  <si>
    <t xml:space="preserve">Cumulative FTE </t>
  </si>
  <si>
    <t>FTE Hours</t>
  </si>
  <si>
    <t>SEIT</t>
  </si>
  <si>
    <t>Key Personnel</t>
  </si>
  <si>
    <t>Year 1 Labor CLIN 0004 Platform Team SEIT</t>
  </si>
  <si>
    <t>Year 1 Labor CLIN 003 Platform Team Tier 2/3</t>
  </si>
  <si>
    <t>Year 1 Labor CLIN 0001 Platform Team XXX</t>
  </si>
  <si>
    <t>Year 1 Labor CLIN 0001 Platform Team YYY</t>
  </si>
  <si>
    <t>Year 1 Labor CLIN 0001 Platform Team Key Personnel</t>
  </si>
  <si>
    <t>Key Person 1</t>
  </si>
  <si>
    <t>Key Person 2</t>
  </si>
  <si>
    <t>Key Person 3</t>
  </si>
  <si>
    <t>SME</t>
  </si>
  <si>
    <t>Snuffy</t>
  </si>
  <si>
    <t>Smith</t>
  </si>
  <si>
    <t>CLIN</t>
  </si>
  <si>
    <t>0001</t>
  </si>
  <si>
    <t>0002</t>
  </si>
  <si>
    <t>1002</t>
  </si>
  <si>
    <t>2002</t>
  </si>
  <si>
    <t>3002</t>
  </si>
  <si>
    <t>4002</t>
  </si>
  <si>
    <t>0003</t>
  </si>
  <si>
    <t>0004</t>
  </si>
  <si>
    <t>0005</t>
  </si>
  <si>
    <t>0006</t>
  </si>
  <si>
    <t>0007</t>
  </si>
  <si>
    <t>1007</t>
  </si>
  <si>
    <t>2007</t>
  </si>
  <si>
    <t>3007</t>
  </si>
  <si>
    <t>4007</t>
  </si>
  <si>
    <t>Cumulative Total</t>
  </si>
  <si>
    <t>FY Total</t>
  </si>
  <si>
    <t>Planned</t>
  </si>
  <si>
    <t>Actual</t>
  </si>
  <si>
    <t>Deviance</t>
  </si>
  <si>
    <t>Cumulative Deviance</t>
  </si>
  <si>
    <t>Jock</t>
  </si>
  <si>
    <t>Tier 2/3 Engineer</t>
  </si>
  <si>
    <t xml:space="preserve">Tier 2/3 Engineer </t>
  </si>
  <si>
    <t>SEIT person 1</t>
  </si>
  <si>
    <t xml:space="preserve">SEIT Person 2 </t>
  </si>
  <si>
    <t>SEIT Person 3</t>
  </si>
  <si>
    <t>Team KP</t>
  </si>
  <si>
    <t>Team SPT</t>
  </si>
  <si>
    <t>Team SEIT</t>
  </si>
  <si>
    <t>Einstein</t>
  </si>
  <si>
    <t>Year 2 Labor CLIN 0001 Team XXX</t>
  </si>
  <si>
    <t>YR1</t>
  </si>
  <si>
    <t>YR2</t>
  </si>
  <si>
    <t>YR3</t>
  </si>
  <si>
    <t>YR4</t>
  </si>
  <si>
    <t>YR5</t>
  </si>
  <si>
    <t>CLIN 0001</t>
  </si>
  <si>
    <t>Dev Team Name</t>
  </si>
  <si>
    <t>Application Name</t>
  </si>
  <si>
    <t>Application A</t>
  </si>
  <si>
    <t>Function A</t>
  </si>
  <si>
    <t>Platform Team A</t>
  </si>
  <si>
    <t>Function B</t>
  </si>
  <si>
    <t>Platform Team B</t>
  </si>
  <si>
    <t>Dev Team A</t>
  </si>
  <si>
    <t>Dev Team B</t>
  </si>
  <si>
    <t>Unit of Measure</t>
  </si>
  <si>
    <t>…</t>
  </si>
  <si>
    <t>Application B</t>
  </si>
  <si>
    <t>Platform Team Name</t>
  </si>
  <si>
    <t>Platform Function</t>
  </si>
  <si>
    <t>X</t>
  </si>
  <si>
    <t>CLIN 0003</t>
  </si>
  <si>
    <t>CLIN 0004</t>
  </si>
  <si>
    <t>PS  Tier 2</t>
  </si>
  <si>
    <t>PS Tier 3</t>
  </si>
  <si>
    <t>CLIN 0002</t>
  </si>
  <si>
    <t>CLIN 1002</t>
  </si>
  <si>
    <t>$</t>
  </si>
  <si>
    <t>Link to CLIN 0002 Tab</t>
  </si>
  <si>
    <t>Environment Specific</t>
  </si>
  <si>
    <t>CLIN 0005</t>
  </si>
  <si>
    <t>CLIN 0006</t>
  </si>
  <si>
    <t>Item</t>
  </si>
  <si>
    <t>Headcount</t>
  </si>
  <si>
    <t>Team Size</t>
  </si>
  <si>
    <t>Cores</t>
  </si>
  <si>
    <t>Cloud RI Processing</t>
  </si>
  <si>
    <t>Cloud Storage</t>
  </si>
  <si>
    <t>$/TB</t>
  </si>
  <si>
    <t>$/Core</t>
  </si>
  <si>
    <t>Storage TB</t>
  </si>
  <si>
    <t>TB</t>
  </si>
  <si>
    <t>#</t>
  </si>
  <si>
    <t>MR/Surge</t>
  </si>
  <si>
    <t>Unallocated</t>
  </si>
  <si>
    <t>By Year</t>
  </si>
  <si>
    <t>CLIN 0007</t>
  </si>
  <si>
    <t>Headcount/FTE</t>
  </si>
  <si>
    <t>Team Cost</t>
  </si>
  <si>
    <t>$/FTE</t>
  </si>
  <si>
    <t>Total Cost</t>
  </si>
  <si>
    <t>Team Cost/FTE</t>
  </si>
  <si>
    <t>FTE inflation Factor</t>
  </si>
  <si>
    <t>CLIN Total Cost</t>
  </si>
  <si>
    <t>CLIN 2002</t>
  </si>
  <si>
    <t>CLIN 3002</t>
  </si>
  <si>
    <t>CLIN 4002</t>
  </si>
  <si>
    <t>Service Support A</t>
  </si>
  <si>
    <t>License A</t>
  </si>
  <si>
    <t>License B</t>
  </si>
  <si>
    <t>License C</t>
  </si>
  <si>
    <t>Warranty A</t>
  </si>
  <si>
    <t>$/Team</t>
  </si>
  <si>
    <t>CAF FEE</t>
  </si>
  <si>
    <t>CLIN Totals</t>
  </si>
  <si>
    <t>** This is meant to be a guide and not prescriptive
** Vendor should modify to include aspect of proposal
** Orange tabs are placeholders for environments not needed for KM Baseline Description needs
** This one is meant to be a guide and whatever guide you use, apply it similarly across each environment</t>
  </si>
  <si>
    <t>Not Applicable</t>
  </si>
  <si>
    <t>Not Environment Specific</t>
  </si>
  <si>
    <t>(eg travel)</t>
  </si>
  <si>
    <t>Not applicable</t>
  </si>
  <si>
    <t>IT Services</t>
  </si>
  <si>
    <t>Connectivity</t>
  </si>
  <si>
    <t>Facilities</t>
  </si>
  <si>
    <t>Computers</t>
  </si>
  <si>
    <t>$ (Qnty 120)</t>
  </si>
  <si>
    <t>Year 3 Labor CLIN 0001 Team XXX</t>
  </si>
  <si>
    <t>Year 4 Labor CLIN 0001 Team XXX</t>
  </si>
  <si>
    <t>Year 5 Labor CLIN 0001 Team XXX</t>
  </si>
  <si>
    <t>% multiplier</t>
  </si>
  <si>
    <t>Supported Dev Team Name</t>
  </si>
  <si>
    <t>Supported Platform Team Name</t>
  </si>
  <si>
    <t>Supported Platform Function</t>
  </si>
  <si>
    <t>Item or Team</t>
  </si>
  <si>
    <t>CLIN 0001
Labor</t>
  </si>
  <si>
    <t>Avg Team FTE Rate</t>
  </si>
  <si>
    <t>CLIN 0002
ODCs</t>
  </si>
  <si>
    <t>Travel</t>
  </si>
  <si>
    <t>N/A</t>
  </si>
  <si>
    <t>ODC Item 1</t>
  </si>
  <si>
    <t>ODC Item 2</t>
  </si>
  <si>
    <t>CLIN 1002
ODCs</t>
  </si>
  <si>
    <t>CLIN 2002
ODCs</t>
  </si>
  <si>
    <t>CLIN 3002
ODCs</t>
  </si>
  <si>
    <t>CLIN 4002
ODCs</t>
  </si>
  <si>
    <t>CLIN 0003
Tier Support</t>
  </si>
  <si>
    <t>PS Tier 2</t>
  </si>
  <si>
    <t>CLIN 0004
SEIT Support</t>
  </si>
  <si>
    <t>CLIN 0005
HaaS
PaaS
Cloud</t>
  </si>
  <si>
    <t>HaaS Item 1</t>
  </si>
  <si>
    <t>PaaS Item 1</t>
  </si>
  <si>
    <t>Cloud Item 1</t>
  </si>
  <si>
    <t>CLIN 0006
Enablement, Licenses, Warranties and Service Agreements</t>
  </si>
  <si>
    <t>** Create a breakout of projected enablement, Licenses, Warranties, and Service Agreement costs which will be linked to the appropriate tab</t>
  </si>
  <si>
    <t xml:space="preserve">** Link tables to your labor tab
Should include the total FTE needed to support all environments and the totality of work being proposed
** include breakout by Government Fiscal Year (FY) and Contract Year (YR)
</t>
  </si>
  <si>
    <t>** Complete for each team and all direct support contractor personnel covering the total PoP
** Include breakout of FTE per FY and put in appropriate labor  rate adjustment calculations
** This is meant to give a structure and not the end product comprehensive table that vendors will need to complete in accordance with the FORP
labor to support all environments should be included
** include necessary artifacts to justify fully burdened rate</t>
  </si>
  <si>
    <t>Cost Reimbursable Inflation</t>
  </si>
  <si>
    <t>**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t>
  </si>
  <si>
    <t>Platform Team</t>
  </si>
  <si>
    <t># People</t>
  </si>
  <si>
    <t># Days</t>
  </si>
  <si>
    <t>Location</t>
  </si>
  <si>
    <t>Cost/person</t>
  </si>
  <si>
    <t>Event</t>
  </si>
  <si>
    <t>CY25</t>
  </si>
  <si>
    <t>CY26</t>
  </si>
  <si>
    <t>CY27</t>
  </si>
  <si>
    <t>CY28</t>
  </si>
  <si>
    <t>CY29</t>
  </si>
  <si>
    <t>** Create a breakout of projected travel and ODC costs which will be linked to the appropriate tab
include links to environments and environment agnostic/independent tabs</t>
  </si>
  <si>
    <t>The pricing table will be used to evaluate the total price
Each tab has additional instructions on how to fill out.  The vendor should modify table and formats throughout the spreadsheet to enable linked calculations with formulas where applicable.  
Orange tabs are placeholders for future needs and should not be included in the TEP for KM Baseline Description needs
From the draft, only minor updates were made throughout the document
Offeror may include additional tabs as needed for labor rate justification
This supply pricing table shall include the total costs for all work proposed in this effort for the KM Baseline Description Needs
This supply pricing table will be configuration controlled by the government as part of the award
The environment agnostic and each environment tab should include columns for each application team being supported in the KM Baseline Description and each platform team being proposed
Supply Payments shall not exceed once per month.</t>
  </si>
  <si>
    <t>** Complete Supply payment plan based on your proposal
Only need to fill out the planned portion now
include planned buys for cost reimbursable CLINs
For government execution benefit plan for larger supply payments in December and May
Payments shall not be more than once per month</t>
  </si>
  <si>
    <t>Cost per unit</t>
  </si>
  <si>
    <t># Units</t>
  </si>
  <si>
    <t>24x7 Support team</t>
  </si>
  <si>
    <t>24x7 Team 1</t>
  </si>
  <si>
    <t>Supported Team Name</t>
  </si>
  <si>
    <t>ON SITE SUPPORT</t>
  </si>
  <si>
    <t>PRODUCT TEAMS</t>
  </si>
  <si>
    <t>User Engagements</t>
  </si>
  <si>
    <t>Quarterly Program Incraments</t>
  </si>
  <si>
    <t>Test Events</t>
  </si>
  <si>
    <t>Colorado Springs, CO</t>
  </si>
  <si>
    <t>Vandenberg SFB, CA</t>
  </si>
  <si>
    <t>Quarterly 2 Week Test Event</t>
  </si>
  <si>
    <t>Quarterly Program Incrementals</t>
  </si>
  <si>
    <t>SEIT Support</t>
  </si>
  <si>
    <t>On Site Support</t>
  </si>
  <si>
    <t xml:space="preserve">Integrated Product Teams </t>
  </si>
  <si>
    <t xml:space="preserve"> Integrated Product Team 2</t>
  </si>
  <si>
    <t>CLIN 0005
As applicable</t>
  </si>
  <si>
    <t>CLIN 0004
As applicable</t>
  </si>
  <si>
    <t>CLIN 0003
As applicable</t>
  </si>
  <si>
    <t>CLIN 0002
As applicable</t>
  </si>
  <si>
    <t>CLIN 0001
As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</si>
</sst>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44" formatCode="_(&quot;$&quot;* #,##0.00_);_(&quot;$&quot;* \(#,##0.00\);_(&quot;$&quot;* &quot;-&quot;??_);_(@_)"/>
    <numFmt numFmtId="164" formatCode="_(* #,##0.00_);_(* \(#,##0.00\);_(* &quot;-&quot;?_);_(@_)"/>
    <numFmt numFmtId="165" formatCode="&quot;$&quot;#,##0.00"/>
    <numFmt numFmtId="166" formatCode="0.000"/>
  </numFmts>
  <fonts count="13">
    <font>
      <sz val="11"/>
      <color theme="1"/>
      <name val="Aptos Narrow"/>
      <family val="2"/>
      <scheme val="minor"/>
    </font>
    <font>
      <sz val="11"/>
      <color theme="1"/>
      <name val="Aptos Narrow"/>
      <family val="2"/>
      <scheme val="minor"/>
    </font>
    <font>
      <b/>
      <sz val="11"/>
      <color theme="1"/>
      <name val="Aptos Narrow"/>
      <family val="2"/>
      <scheme val="minor"/>
    </font>
    <font>
      <sz val="10"/>
      <color indexed="8"/>
      <name val="Arial"/>
      <family val="2"/>
    </font>
    <font>
      <b/>
      <sz val="10"/>
      <color indexed="8"/>
      <name val="Arial"/>
      <family val="2"/>
    </font>
    <font>
      <sz val="11"/>
      <color theme="1"/>
      <name val="Aptos Narrow"/>
      <family val="2"/>
      <scheme val="minor"/>
    </font>
    <font>
      <sz val="11"/>
      <color theme="1"/>
      <name val="Calibri"/>
      <family val="2"/>
    </font>
    <font>
      <sz val="10"/>
      <color rgb="FF000000"/>
      <name val="Times New Roman"/>
      <family val="1"/>
    </font>
    <font>
      <sz val="11"/>
      <color rgb="FFFF0000"/>
      <name val="Aptos Narrow"/>
      <family val="2"/>
      <scheme val="minor"/>
    </font>
    <font>
      <b/>
      <sz val="11"/>
      <color theme="1"/>
      <name val="Calibri"/>
      <family val="2"/>
    </font>
    <font>
      <sz val="12"/>
      <color theme="1"/>
      <name val="Times New Roman"/>
      <family val="1"/>
    </font>
    <font>
      <sz val="11"/>
      <name val="Aptos Narrow"/>
      <family val="2"/>
      <scheme val="minor"/>
    </font>
    <font>
      <sz val="11"/>
      <color rgb="FFFF0000"/>
      <name val="Calibri"/>
      <family val="2"/>
    </font>
  </fonts>
  <fills count="14">
    <fill>
      <patternFill patternType="none"/>
    </fill>
    <fill>
      <patternFill patternType="gray125"/>
    </fill>
    <fill>
      <patternFill patternType="solid">
        <fgColor rgb="FF00B0F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FFFFCC"/>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3" tint="0.89999084444715716"/>
        <bgColor indexed="64"/>
      </patternFill>
    </fill>
    <fill>
      <patternFill patternType="solid">
        <fgColor theme="5" tint="0.39997558519241921"/>
        <bgColor indexed="64"/>
      </patternFill>
    </fill>
    <fill>
      <patternFill patternType="solid">
        <fgColor theme="0" tint="-0.249977111117893"/>
        <bgColor indexed="64"/>
      </patternFill>
    </fill>
    <fill>
      <patternFill patternType="solid">
        <fgColor rgb="FFFFFF00"/>
        <bgColor indexed="64"/>
      </patternFill>
    </fill>
  </fills>
  <borders count="31">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top style="thin">
        <color indexed="64"/>
      </top>
      <bottom/>
      <diagonal/>
    </border>
    <border>
      <left style="thin">
        <color auto="1"/>
      </left>
      <right style="thin">
        <color auto="1"/>
      </right>
      <top/>
      <bottom style="thin">
        <color auto="1"/>
      </bottom>
      <diagonal/>
    </border>
    <border>
      <left style="thin">
        <color indexed="64"/>
      </left>
      <right style="thin">
        <color indexed="64"/>
      </right>
      <top/>
      <bottom/>
      <diagonal/>
    </border>
  </borders>
  <cellStyleXfs count="8">
    <xf numFmtId="0" fontId="0" fillId="0" borderId="0"/>
    <xf numFmtId="44" fontId="1" fillId="0" borderId="0" applyFont="0" applyFill="0" applyBorder="0" applyAlignment="0" applyProtection="0"/>
    <xf numFmtId="0" fontId="3" fillId="0" borderId="0" applyNumberFormat="0" applyFill="0" applyBorder="0" applyProtection="0"/>
    <xf numFmtId="0" fontId="5" fillId="0" borderId="0"/>
    <xf numFmtId="0" fontId="1" fillId="0" borderId="0"/>
    <xf numFmtId="0" fontId="7" fillId="0" borderId="0"/>
    <xf numFmtId="0" fontId="1" fillId="0" borderId="0"/>
    <xf numFmtId="0" fontId="1" fillId="0" borderId="0"/>
  </cellStyleXfs>
  <cellXfs count="401">
    <xf numFmtId="0" fontId="0" fillId="0" borderId="0" xfId="0"/>
    <xf numFmtId="0" fontId="2" fillId="2" borderId="1" xfId="0" applyFont="1" applyFill="1" applyBorder="1" applyAlignment="1">
      <alignment horizontal="center"/>
    </xf>
    <xf numFmtId="0" fontId="2" fillId="3" borderId="2" xfId="0" applyFont="1" applyFill="1" applyBorder="1" applyAlignment="1">
      <alignment horizontal="center" vertical="center"/>
    </xf>
    <xf numFmtId="164" fontId="0" fillId="0" borderId="1" xfId="0" applyNumberFormat="1" applyBorder="1" applyAlignment="1">
      <alignment horizontal="center"/>
    </xf>
    <xf numFmtId="0" fontId="2" fillId="4" borderId="1" xfId="0" applyFont="1" applyFill="1" applyBorder="1" applyAlignment="1">
      <alignment horizontal="right"/>
    </xf>
    <xf numFmtId="0" fontId="4" fillId="0" borderId="0" xfId="2" applyFont="1" applyBorder="1"/>
    <xf numFmtId="0" fontId="4" fillId="0" borderId="10" xfId="2" applyFont="1" applyBorder="1"/>
    <xf numFmtId="0" fontId="4" fillId="0" borderId="10" xfId="2" applyFont="1" applyFill="1" applyBorder="1"/>
    <xf numFmtId="0" fontId="4" fillId="0" borderId="3" xfId="2" applyFont="1" applyBorder="1"/>
    <xf numFmtId="0" fontId="4" fillId="0" borderId="11" xfId="2" applyFont="1" applyBorder="1"/>
    <xf numFmtId="0" fontId="4" fillId="0" borderId="4" xfId="2" applyFont="1" applyBorder="1"/>
    <xf numFmtId="0" fontId="3" fillId="5" borderId="12" xfId="2" applyFill="1" applyBorder="1"/>
    <xf numFmtId="0" fontId="3" fillId="5" borderId="5" xfId="2" applyFill="1" applyBorder="1"/>
    <xf numFmtId="165" fontId="3" fillId="5" borderId="6" xfId="2" applyNumberFormat="1" applyFill="1" applyBorder="1"/>
    <xf numFmtId="0" fontId="3" fillId="0" borderId="0" xfId="2" applyBorder="1"/>
    <xf numFmtId="0" fontId="3" fillId="0" borderId="13" xfId="2" applyBorder="1"/>
    <xf numFmtId="0" fontId="3" fillId="0" borderId="7" xfId="2" applyBorder="1"/>
    <xf numFmtId="0" fontId="3" fillId="0" borderId="8" xfId="2" applyBorder="1"/>
    <xf numFmtId="0" fontId="3" fillId="0" borderId="5" xfId="2" applyBorder="1"/>
    <xf numFmtId="0" fontId="3" fillId="0" borderId="6" xfId="2" applyBorder="1"/>
    <xf numFmtId="0" fontId="3" fillId="5" borderId="3" xfId="2" applyFill="1" applyBorder="1" applyAlignment="1">
      <alignment horizontal="right"/>
    </xf>
    <xf numFmtId="165" fontId="3" fillId="5" borderId="3" xfId="2" applyNumberFormat="1" applyFill="1" applyBorder="1" applyAlignment="1">
      <alignment horizontal="right"/>
    </xf>
    <xf numFmtId="165" fontId="3" fillId="5" borderId="10" xfId="2" applyNumberFormat="1" applyFill="1" applyBorder="1" applyAlignment="1">
      <alignment horizontal="right"/>
    </xf>
    <xf numFmtId="44" fontId="3" fillId="5" borderId="5" xfId="1" applyFont="1" applyFill="1" applyBorder="1" applyAlignment="1">
      <alignment horizontal="center"/>
    </xf>
    <xf numFmtId="44" fontId="3" fillId="5" borderId="5" xfId="1" applyFont="1" applyFill="1" applyBorder="1"/>
    <xf numFmtId="17" fontId="4" fillId="5" borderId="7" xfId="2" applyNumberFormat="1" applyFont="1" applyFill="1" applyBorder="1" applyAlignment="1">
      <alignment horizontal="center"/>
    </xf>
    <xf numFmtId="17" fontId="4" fillId="5" borderId="8" xfId="2" applyNumberFormat="1" applyFont="1" applyFill="1" applyBorder="1" applyAlignment="1">
      <alignment horizontal="center"/>
    </xf>
    <xf numFmtId="44" fontId="3" fillId="5" borderId="6" xfId="2" applyNumberFormat="1" applyFill="1" applyBorder="1"/>
    <xf numFmtId="164" fontId="2" fillId="4" borderId="1" xfId="0" applyNumberFormat="1" applyFont="1" applyFill="1" applyBorder="1" applyAlignment="1">
      <alignment horizontal="center"/>
    </xf>
    <xf numFmtId="0" fontId="4" fillId="0" borderId="5" xfId="2" applyFont="1" applyBorder="1"/>
    <xf numFmtId="0" fontId="0" fillId="0" borderId="0" xfId="0" applyAlignment="1">
      <alignment wrapText="1"/>
    </xf>
    <xf numFmtId="166" fontId="3" fillId="5" borderId="3" xfId="2" applyNumberFormat="1" applyFill="1" applyBorder="1" applyAlignment="1">
      <alignment horizontal="center"/>
    </xf>
    <xf numFmtId="166" fontId="3" fillId="5" borderId="11" xfId="2" applyNumberFormat="1" applyFill="1" applyBorder="1" applyAlignment="1">
      <alignment horizontal="center"/>
    </xf>
    <xf numFmtId="17" fontId="4" fillId="5" borderId="7" xfId="2" applyNumberFormat="1" applyFont="1" applyFill="1" applyBorder="1"/>
    <xf numFmtId="17" fontId="4" fillId="5" borderId="13" xfId="2" applyNumberFormat="1" applyFont="1" applyFill="1" applyBorder="1" applyAlignment="1">
      <alignment horizontal="center"/>
    </xf>
    <xf numFmtId="44" fontId="0" fillId="0" borderId="0" xfId="1" applyFont="1"/>
    <xf numFmtId="44" fontId="0" fillId="0" borderId="5" xfId="1" applyFont="1" applyBorder="1"/>
    <xf numFmtId="44" fontId="0" fillId="0" borderId="0" xfId="1" applyFont="1" applyBorder="1"/>
    <xf numFmtId="44" fontId="0" fillId="0" borderId="6" xfId="1" applyFont="1" applyBorder="1"/>
    <xf numFmtId="44" fontId="0" fillId="0" borderId="7" xfId="1" applyFont="1" applyBorder="1"/>
    <xf numFmtId="44" fontId="0" fillId="0" borderId="9" xfId="1" applyFont="1" applyBorder="1"/>
    <xf numFmtId="44" fontId="0" fillId="0" borderId="8" xfId="1" applyFont="1" applyBorder="1"/>
    <xf numFmtId="44" fontId="0" fillId="0" borderId="10" xfId="0" applyNumberFormat="1" applyBorder="1"/>
    <xf numFmtId="0" fontId="0" fillId="0" borderId="14" xfId="0" applyBorder="1"/>
    <xf numFmtId="0" fontId="0" fillId="0" borderId="15" xfId="0" applyBorder="1"/>
    <xf numFmtId="44" fontId="0" fillId="0" borderId="5" xfId="0" applyNumberFormat="1" applyBorder="1"/>
    <xf numFmtId="44" fontId="0" fillId="0" borderId="0" xfId="0" applyNumberFormat="1"/>
    <xf numFmtId="44" fontId="0" fillId="0" borderId="6" xfId="0" applyNumberFormat="1" applyBorder="1"/>
    <xf numFmtId="44" fontId="0" fillId="0" borderId="7" xfId="0" applyNumberFormat="1" applyBorder="1"/>
    <xf numFmtId="44" fontId="0" fillId="0" borderId="9" xfId="0" applyNumberFormat="1" applyBorder="1"/>
    <xf numFmtId="44" fontId="0" fillId="0" borderId="8" xfId="0" applyNumberFormat="1" applyBorder="1"/>
    <xf numFmtId="0" fontId="0" fillId="0" borderId="16" xfId="0" applyBorder="1"/>
    <xf numFmtId="0" fontId="0" fillId="0" borderId="5" xfId="0" applyBorder="1"/>
    <xf numFmtId="0" fontId="0" fillId="0" borderId="6" xfId="0" applyBorder="1"/>
    <xf numFmtId="1" fontId="0" fillId="0" borderId="6" xfId="0" quotePrefix="1" applyNumberFormat="1" applyBorder="1"/>
    <xf numFmtId="0" fontId="0" fillId="0" borderId="6" xfId="0" quotePrefix="1" applyBorder="1"/>
    <xf numFmtId="0" fontId="0" fillId="0" borderId="6" xfId="0" quotePrefix="1" applyBorder="1" applyAlignment="1">
      <alignment horizontal="right"/>
    </xf>
    <xf numFmtId="17" fontId="4" fillId="5" borderId="9" xfId="2" applyNumberFormat="1" applyFont="1" applyFill="1" applyBorder="1"/>
    <xf numFmtId="0" fontId="0" fillId="3" borderId="0" xfId="0" applyFill="1"/>
    <xf numFmtId="0" fontId="0" fillId="0" borderId="18" xfId="0" applyBorder="1"/>
    <xf numFmtId="0" fontId="0" fillId="0" borderId="20" xfId="0" applyBorder="1"/>
    <xf numFmtId="0" fontId="0" fillId="0" borderId="23" xfId="0" applyBorder="1"/>
    <xf numFmtId="0" fontId="0" fillId="0" borderId="24" xfId="0" applyBorder="1"/>
    <xf numFmtId="0" fontId="0" fillId="0" borderId="23" xfId="0" applyBorder="1" applyAlignment="1">
      <alignment horizontal="center"/>
    </xf>
    <xf numFmtId="0" fontId="0" fillId="0" borderId="24" xfId="0" applyBorder="1" applyAlignment="1">
      <alignment horizontal="center"/>
    </xf>
    <xf numFmtId="0" fontId="0" fillId="0" borderId="0" xfId="0" applyAlignment="1">
      <alignment horizontal="center"/>
    </xf>
    <xf numFmtId="44" fontId="0" fillId="0" borderId="23" xfId="0" applyNumberFormat="1" applyBorder="1"/>
    <xf numFmtId="0" fontId="0" fillId="7" borderId="23" xfId="0" applyFill="1" applyBorder="1"/>
    <xf numFmtId="0" fontId="0" fillId="7" borderId="24" xfId="0" applyFill="1" applyBorder="1"/>
    <xf numFmtId="0" fontId="0" fillId="7" borderId="23" xfId="0" applyFill="1" applyBorder="1" applyAlignment="1">
      <alignment horizontal="center"/>
    </xf>
    <xf numFmtId="0" fontId="0" fillId="7" borderId="0" xfId="0" applyFill="1" applyAlignment="1">
      <alignment horizontal="center"/>
    </xf>
    <xf numFmtId="0" fontId="0" fillId="7" borderId="24" xfId="0" applyFill="1" applyBorder="1" applyAlignment="1">
      <alignment horizontal="center"/>
    </xf>
    <xf numFmtId="0" fontId="0" fillId="7" borderId="0" xfId="0" applyFill="1"/>
    <xf numFmtId="44" fontId="0" fillId="7" borderId="23" xfId="0" applyNumberFormat="1" applyFill="1" applyBorder="1" applyAlignment="1">
      <alignment horizontal="center"/>
    </xf>
    <xf numFmtId="44" fontId="0" fillId="7" borderId="0" xfId="0" applyNumberFormat="1" applyFill="1" applyAlignment="1">
      <alignment horizontal="center"/>
    </xf>
    <xf numFmtId="44" fontId="0" fillId="7" borderId="23" xfId="0" applyNumberFormat="1" applyFill="1" applyBorder="1"/>
    <xf numFmtId="44" fontId="0" fillId="7" borderId="0" xfId="0" applyNumberFormat="1" applyFill="1"/>
    <xf numFmtId="0" fontId="0" fillId="7" borderId="25" xfId="0" applyFill="1" applyBorder="1"/>
    <xf numFmtId="0" fontId="0" fillId="7" borderId="26" xfId="0" applyFill="1" applyBorder="1"/>
    <xf numFmtId="0" fontId="0" fillId="7" borderId="25" xfId="0" applyFill="1" applyBorder="1" applyAlignment="1">
      <alignment horizontal="center"/>
    </xf>
    <xf numFmtId="0" fontId="0" fillId="7" borderId="27" xfId="0" applyFill="1" applyBorder="1" applyAlignment="1">
      <alignment horizontal="center"/>
    </xf>
    <xf numFmtId="0" fontId="0" fillId="7" borderId="26" xfId="0" applyFill="1" applyBorder="1" applyAlignment="1">
      <alignment horizontal="center"/>
    </xf>
    <xf numFmtId="0" fontId="0" fillId="7" borderId="18" xfId="0" applyFill="1" applyBorder="1"/>
    <xf numFmtId="0" fontId="0" fillId="7" borderId="20" xfId="0" applyFill="1" applyBorder="1"/>
    <xf numFmtId="44" fontId="0" fillId="7" borderId="20" xfId="0" applyNumberFormat="1" applyFill="1" applyBorder="1" applyAlignment="1">
      <alignment horizontal="center"/>
    </xf>
    <xf numFmtId="0" fontId="0" fillId="7" borderId="20" xfId="0" applyFill="1" applyBorder="1" applyAlignment="1">
      <alignment horizontal="center"/>
    </xf>
    <xf numFmtId="0" fontId="0" fillId="7" borderId="19" xfId="0" applyFill="1" applyBorder="1" applyAlignment="1">
      <alignment horizontal="center"/>
    </xf>
    <xf numFmtId="0" fontId="0" fillId="7" borderId="19" xfId="0" applyFill="1" applyBorder="1"/>
    <xf numFmtId="0" fontId="0" fillId="8" borderId="0" xfId="0" applyFill="1"/>
    <xf numFmtId="0" fontId="0" fillId="8" borderId="0" xfId="0" applyFill="1" applyAlignment="1">
      <alignment horizontal="center"/>
    </xf>
    <xf numFmtId="0" fontId="0" fillId="8" borderId="18" xfId="0" applyFill="1" applyBorder="1"/>
    <xf numFmtId="0" fontId="0" fillId="8" borderId="20" xfId="0" applyFill="1" applyBorder="1"/>
    <xf numFmtId="44" fontId="0" fillId="8" borderId="20" xfId="0" applyNumberFormat="1" applyFill="1" applyBorder="1" applyAlignment="1">
      <alignment horizontal="center"/>
    </xf>
    <xf numFmtId="0" fontId="0" fillId="8" borderId="20" xfId="0" applyFill="1" applyBorder="1" applyAlignment="1">
      <alignment horizontal="center"/>
    </xf>
    <xf numFmtId="0" fontId="0" fillId="8" borderId="19" xfId="0" applyFill="1" applyBorder="1" applyAlignment="1">
      <alignment horizontal="center"/>
    </xf>
    <xf numFmtId="0" fontId="0" fillId="8" borderId="19" xfId="0" applyFill="1" applyBorder="1"/>
    <xf numFmtId="0" fontId="0" fillId="9" borderId="0" xfId="0" applyFill="1"/>
    <xf numFmtId="0" fontId="0" fillId="9" borderId="23" xfId="0" applyFill="1" applyBorder="1"/>
    <xf numFmtId="0" fontId="0" fillId="9" borderId="18" xfId="0" applyFill="1" applyBorder="1"/>
    <xf numFmtId="0" fontId="0" fillId="9" borderId="20" xfId="0" applyFill="1" applyBorder="1"/>
    <xf numFmtId="44" fontId="0" fillId="9" borderId="20" xfId="0" applyNumberFormat="1" applyFill="1" applyBorder="1" applyAlignment="1">
      <alignment horizontal="center"/>
    </xf>
    <xf numFmtId="0" fontId="0" fillId="9" borderId="20" xfId="0" applyFill="1" applyBorder="1" applyAlignment="1">
      <alignment horizontal="center"/>
    </xf>
    <xf numFmtId="0" fontId="0" fillId="9" borderId="19" xfId="0" applyFill="1" applyBorder="1" applyAlignment="1">
      <alignment horizontal="center"/>
    </xf>
    <xf numFmtId="0" fontId="0" fillId="9" borderId="19" xfId="0" applyFill="1" applyBorder="1"/>
    <xf numFmtId="44" fontId="0" fillId="9" borderId="0" xfId="0" applyNumberFormat="1" applyFill="1" applyAlignment="1">
      <alignment horizontal="center"/>
    </xf>
    <xf numFmtId="0" fontId="0" fillId="9" borderId="0" xfId="0" applyFill="1" applyAlignment="1">
      <alignment horizontal="center"/>
    </xf>
    <xf numFmtId="44" fontId="0" fillId="0" borderId="0" xfId="0" applyNumberFormat="1" applyAlignment="1">
      <alignment horizontal="center"/>
    </xf>
    <xf numFmtId="0" fontId="0" fillId="10" borderId="0" xfId="0" applyFill="1"/>
    <xf numFmtId="0" fontId="0" fillId="10" borderId="23" xfId="0" applyFill="1" applyBorder="1"/>
    <xf numFmtId="44" fontId="0" fillId="10" borderId="0" xfId="1" applyFont="1" applyFill="1" applyBorder="1"/>
    <xf numFmtId="0" fontId="0" fillId="10" borderId="18" xfId="0" applyFill="1" applyBorder="1"/>
    <xf numFmtId="0" fontId="0" fillId="10" borderId="20" xfId="0" applyFill="1" applyBorder="1"/>
    <xf numFmtId="44" fontId="0" fillId="10" borderId="20" xfId="0" applyNumberFormat="1" applyFill="1" applyBorder="1" applyAlignment="1">
      <alignment horizontal="center"/>
    </xf>
    <xf numFmtId="0" fontId="0" fillId="10" borderId="20" xfId="0" applyFill="1" applyBorder="1" applyAlignment="1">
      <alignment horizontal="center"/>
    </xf>
    <xf numFmtId="0" fontId="0" fillId="10" borderId="19" xfId="0" applyFill="1" applyBorder="1" applyAlignment="1">
      <alignment horizontal="center"/>
    </xf>
    <xf numFmtId="0" fontId="0" fillId="10" borderId="19" xfId="0" applyFill="1" applyBorder="1"/>
    <xf numFmtId="0" fontId="0" fillId="11" borderId="0" xfId="0" applyFill="1"/>
    <xf numFmtId="44" fontId="0" fillId="0" borderId="20" xfId="0" applyNumberFormat="1" applyBorder="1"/>
    <xf numFmtId="44" fontId="0" fillId="7" borderId="0" xfId="1" applyFont="1" applyFill="1" applyBorder="1"/>
    <xf numFmtId="0" fontId="0" fillId="7" borderId="27" xfId="0" applyFill="1" applyBorder="1"/>
    <xf numFmtId="44" fontId="0" fillId="7" borderId="18" xfId="0" applyNumberFormat="1" applyFill="1" applyBorder="1" applyAlignment="1">
      <alignment horizontal="center"/>
    </xf>
    <xf numFmtId="0" fontId="0" fillId="8" borderId="23" xfId="0" applyFill="1" applyBorder="1"/>
    <xf numFmtId="0" fontId="0" fillId="8" borderId="24" xfId="0" applyFill="1" applyBorder="1"/>
    <xf numFmtId="0" fontId="0" fillId="8" borderId="23" xfId="0" applyFill="1" applyBorder="1" applyAlignment="1">
      <alignment horizontal="center"/>
    </xf>
    <xf numFmtId="0" fontId="0" fillId="8" borderId="24" xfId="0" applyFill="1" applyBorder="1" applyAlignment="1">
      <alignment horizontal="center"/>
    </xf>
    <xf numFmtId="44" fontId="0" fillId="8" borderId="18" xfId="0" applyNumberFormat="1" applyFill="1" applyBorder="1" applyAlignment="1">
      <alignment horizontal="center"/>
    </xf>
    <xf numFmtId="0" fontId="0" fillId="9" borderId="23" xfId="0" applyFill="1" applyBorder="1" applyAlignment="1">
      <alignment horizontal="center"/>
    </xf>
    <xf numFmtId="0" fontId="0" fillId="9" borderId="24" xfId="0" applyFill="1" applyBorder="1" applyAlignment="1">
      <alignment horizontal="center"/>
    </xf>
    <xf numFmtId="44" fontId="0" fillId="9" borderId="23" xfId="0" applyNumberFormat="1" applyFill="1" applyBorder="1" applyAlignment="1">
      <alignment horizontal="center"/>
    </xf>
    <xf numFmtId="44" fontId="0" fillId="9" borderId="18" xfId="0" applyNumberFormat="1" applyFill="1" applyBorder="1" applyAlignment="1">
      <alignment horizontal="center"/>
    </xf>
    <xf numFmtId="0" fontId="0" fillId="10" borderId="23" xfId="0" applyFill="1" applyBorder="1" applyAlignment="1">
      <alignment horizontal="center"/>
    </xf>
    <xf numFmtId="0" fontId="0" fillId="10" borderId="0" xfId="0" applyFill="1" applyAlignment="1">
      <alignment horizontal="center"/>
    </xf>
    <xf numFmtId="0" fontId="0" fillId="10" borderId="24" xfId="0" applyFill="1" applyBorder="1" applyAlignment="1">
      <alignment horizontal="center"/>
    </xf>
    <xf numFmtId="44" fontId="0" fillId="10" borderId="23" xfId="0" applyNumberFormat="1" applyFill="1" applyBorder="1" applyAlignment="1">
      <alignment horizontal="center"/>
    </xf>
    <xf numFmtId="44" fontId="0" fillId="10" borderId="0" xfId="0" applyNumberFormat="1" applyFill="1" applyAlignment="1">
      <alignment horizontal="center"/>
    </xf>
    <xf numFmtId="44" fontId="0" fillId="10" borderId="18" xfId="0" applyNumberFormat="1" applyFill="1" applyBorder="1" applyAlignment="1">
      <alignment horizontal="center"/>
    </xf>
    <xf numFmtId="44" fontId="0" fillId="0" borderId="23" xfId="0" applyNumberFormat="1" applyBorder="1" applyAlignment="1">
      <alignment horizontal="center"/>
    </xf>
    <xf numFmtId="0" fontId="0" fillId="11" borderId="23" xfId="0" applyFill="1" applyBorder="1"/>
    <xf numFmtId="0" fontId="0" fillId="11" borderId="24" xfId="0" applyFill="1" applyBorder="1"/>
    <xf numFmtId="44" fontId="0" fillId="11" borderId="23" xfId="0" applyNumberFormat="1" applyFill="1" applyBorder="1"/>
    <xf numFmtId="44" fontId="0" fillId="11" borderId="0" xfId="0" applyNumberFormat="1" applyFill="1"/>
    <xf numFmtId="44" fontId="0" fillId="11" borderId="24" xfId="0" applyNumberFormat="1" applyFill="1" applyBorder="1"/>
    <xf numFmtId="44" fontId="0" fillId="0" borderId="24" xfId="0" applyNumberFormat="1" applyBorder="1"/>
    <xf numFmtId="44" fontId="0" fillId="0" borderId="18" xfId="0" applyNumberFormat="1" applyBorder="1"/>
    <xf numFmtId="0" fontId="0" fillId="3" borderId="23" xfId="0" applyFill="1" applyBorder="1"/>
    <xf numFmtId="0" fontId="0" fillId="3" borderId="24" xfId="0" applyFill="1" applyBorder="1"/>
    <xf numFmtId="0" fontId="0" fillId="3" borderId="23" xfId="0" applyFill="1" applyBorder="1" applyAlignment="1">
      <alignment horizontal="center"/>
    </xf>
    <xf numFmtId="0" fontId="0" fillId="3" borderId="0" xfId="0" applyFill="1" applyAlignment="1">
      <alignment horizontal="center"/>
    </xf>
    <xf numFmtId="0" fontId="0" fillId="3" borderId="24" xfId="0" applyFill="1" applyBorder="1" applyAlignment="1">
      <alignment horizontal="center"/>
    </xf>
    <xf numFmtId="44" fontId="0" fillId="0" borderId="3" xfId="0" applyNumberFormat="1" applyBorder="1"/>
    <xf numFmtId="44" fontId="0" fillId="0" borderId="4" xfId="0" applyNumberFormat="1" applyBorder="1"/>
    <xf numFmtId="44" fontId="0" fillId="0" borderId="11" xfId="0" applyNumberFormat="1" applyBorder="1"/>
    <xf numFmtId="44" fontId="2" fillId="0" borderId="3" xfId="0" applyNumberFormat="1" applyFont="1" applyBorder="1"/>
    <xf numFmtId="44" fontId="2" fillId="0" borderId="4" xfId="0" applyNumberFormat="1" applyFont="1" applyBorder="1"/>
    <xf numFmtId="44" fontId="2" fillId="0" borderId="11" xfId="0" applyNumberFormat="1" applyFont="1" applyBorder="1"/>
    <xf numFmtId="0" fontId="0" fillId="7" borderId="18" xfId="0" applyFill="1" applyBorder="1" applyAlignment="1">
      <alignment horizontal="center"/>
    </xf>
    <xf numFmtId="0" fontId="0" fillId="8" borderId="18" xfId="0" applyFill="1" applyBorder="1" applyAlignment="1">
      <alignment horizontal="center"/>
    </xf>
    <xf numFmtId="0" fontId="0" fillId="9" borderId="18" xfId="0" applyFill="1" applyBorder="1" applyAlignment="1">
      <alignment horizontal="center"/>
    </xf>
    <xf numFmtId="0" fontId="0" fillId="10" borderId="18" xfId="0" applyFill="1" applyBorder="1" applyAlignment="1">
      <alignment horizontal="center"/>
    </xf>
    <xf numFmtId="0" fontId="0" fillId="0" borderId="19" xfId="0" applyBorder="1"/>
    <xf numFmtId="0" fontId="0" fillId="0" borderId="26" xfId="0" applyBorder="1"/>
    <xf numFmtId="0" fontId="0" fillId="12" borderId="0" xfId="0" applyFill="1" applyAlignment="1">
      <alignment horizontal="center"/>
    </xf>
    <xf numFmtId="0" fontId="0" fillId="12" borderId="0" xfId="0" applyFill="1"/>
    <xf numFmtId="0" fontId="0" fillId="12" borderId="20" xfId="0" applyFill="1" applyBorder="1" applyAlignment="1">
      <alignment horizontal="center"/>
    </xf>
    <xf numFmtId="0" fontId="0" fillId="12" borderId="20" xfId="0" applyFill="1" applyBorder="1"/>
    <xf numFmtId="0" fontId="0" fillId="7" borderId="1" xfId="0" applyFill="1" applyBorder="1" applyAlignment="1">
      <alignment horizontal="center"/>
    </xf>
    <xf numFmtId="0" fontId="0" fillId="8" borderId="1" xfId="0" applyFill="1" applyBorder="1" applyAlignment="1">
      <alignment horizontal="center"/>
    </xf>
    <xf numFmtId="0" fontId="0" fillId="9" borderId="24" xfId="0" applyFill="1" applyBorder="1"/>
    <xf numFmtId="0" fontId="0" fillId="9" borderId="1" xfId="0" applyFill="1" applyBorder="1" applyAlignment="1">
      <alignment horizontal="center"/>
    </xf>
    <xf numFmtId="0" fontId="0" fillId="10" borderId="24" xfId="0" applyFill="1" applyBorder="1"/>
    <xf numFmtId="0" fontId="0" fillId="10" borderId="1" xfId="0" applyFill="1" applyBorder="1" applyAlignment="1">
      <alignment horizontal="center"/>
    </xf>
    <xf numFmtId="44" fontId="0" fillId="12" borderId="0" xfId="1" applyFont="1" applyFill="1" applyBorder="1"/>
    <xf numFmtId="44" fontId="0" fillId="12" borderId="0" xfId="1" applyFont="1" applyFill="1"/>
    <xf numFmtId="0" fontId="6" fillId="12" borderId="0" xfId="3" applyFont="1" applyFill="1" applyAlignment="1">
      <alignment vertical="center" wrapText="1"/>
    </xf>
    <xf numFmtId="0" fontId="0" fillId="0" borderId="3" xfId="0" applyBorder="1"/>
    <xf numFmtId="0" fontId="0" fillId="0" borderId="4" xfId="0" applyBorder="1"/>
    <xf numFmtId="0" fontId="0" fillId="0" borderId="11" xfId="0" applyBorder="1"/>
    <xf numFmtId="0" fontId="2" fillId="0" borderId="3" xfId="0" applyFont="1" applyBorder="1"/>
    <xf numFmtId="0" fontId="2" fillId="0" borderId="4" xfId="0" applyFont="1" applyBorder="1"/>
    <xf numFmtId="0" fontId="2" fillId="0" borderId="11" xfId="0" applyFont="1" applyBorder="1"/>
    <xf numFmtId="0" fontId="2" fillId="0" borderId="25" xfId="0" applyFont="1" applyBorder="1"/>
    <xf numFmtId="0" fontId="0" fillId="12" borderId="28" xfId="0" applyFill="1" applyBorder="1" applyAlignment="1">
      <alignment horizontal="center"/>
    </xf>
    <xf numFmtId="0" fontId="0" fillId="12" borderId="21" xfId="0" applyFill="1" applyBorder="1"/>
    <xf numFmtId="0" fontId="0" fillId="12" borderId="22" xfId="0" applyFill="1" applyBorder="1"/>
    <xf numFmtId="0" fontId="0" fillId="12" borderId="25" xfId="0" applyFill="1" applyBorder="1" applyAlignment="1">
      <alignment horizontal="center"/>
    </xf>
    <xf numFmtId="0" fontId="0" fillId="12" borderId="27" xfId="0" applyFill="1" applyBorder="1" applyAlignment="1">
      <alignment horizontal="center"/>
    </xf>
    <xf numFmtId="0" fontId="0" fillId="12" borderId="26" xfId="0" applyFill="1" applyBorder="1" applyAlignment="1">
      <alignment horizontal="center"/>
    </xf>
    <xf numFmtId="0" fontId="0" fillId="12" borderId="28" xfId="0" applyFill="1" applyBorder="1"/>
    <xf numFmtId="44" fontId="0" fillId="7" borderId="24" xfId="1" applyFont="1" applyFill="1" applyBorder="1"/>
    <xf numFmtId="44" fontId="0" fillId="9" borderId="24" xfId="1" applyFont="1" applyFill="1" applyBorder="1"/>
    <xf numFmtId="44" fontId="0" fillId="10" borderId="24" xfId="1" applyFont="1" applyFill="1" applyBorder="1"/>
    <xf numFmtId="44" fontId="0" fillId="11" borderId="24" xfId="1" applyFont="1" applyFill="1" applyBorder="1"/>
    <xf numFmtId="44" fontId="0" fillId="0" borderId="24" xfId="1" applyFont="1" applyBorder="1"/>
    <xf numFmtId="0" fontId="2" fillId="0" borderId="18" xfId="0" applyFont="1" applyBorder="1"/>
    <xf numFmtId="0" fontId="2" fillId="0" borderId="20" xfId="0" applyFont="1" applyBorder="1"/>
    <xf numFmtId="0" fontId="2" fillId="0" borderId="19" xfId="0" applyFont="1" applyBorder="1"/>
    <xf numFmtId="0" fontId="2" fillId="12" borderId="20" xfId="0" applyFont="1" applyFill="1" applyBorder="1"/>
    <xf numFmtId="44" fontId="2" fillId="0" borderId="18" xfId="0" applyNumberFormat="1" applyFont="1" applyBorder="1"/>
    <xf numFmtId="44" fontId="2" fillId="0" borderId="20" xfId="0" applyNumberFormat="1" applyFont="1" applyBorder="1"/>
    <xf numFmtId="44" fontId="2" fillId="0" borderId="19" xfId="0" applyNumberFormat="1" applyFont="1" applyBorder="1"/>
    <xf numFmtId="0" fontId="0" fillId="12" borderId="27" xfId="0" applyFill="1" applyBorder="1"/>
    <xf numFmtId="0" fontId="6" fillId="12" borderId="21" xfId="3" applyFont="1" applyFill="1" applyBorder="1" applyAlignment="1">
      <alignment vertical="center" wrapText="1"/>
    </xf>
    <xf numFmtId="0" fontId="6" fillId="12" borderId="25" xfId="3" applyFont="1" applyFill="1" applyBorder="1" applyAlignment="1">
      <alignment vertical="center" wrapText="1"/>
    </xf>
    <xf numFmtId="0" fontId="0" fillId="12" borderId="21" xfId="0" applyFill="1" applyBorder="1" applyAlignment="1">
      <alignment horizontal="center"/>
    </xf>
    <xf numFmtId="0" fontId="0" fillId="12" borderId="25" xfId="0" applyFill="1" applyBorder="1"/>
    <xf numFmtId="0" fontId="2" fillId="12" borderId="0" xfId="0" applyFont="1" applyFill="1"/>
    <xf numFmtId="0" fontId="9" fillId="12" borderId="0" xfId="3" applyFont="1" applyFill="1" applyAlignment="1">
      <alignment vertical="center" wrapText="1"/>
    </xf>
    <xf numFmtId="0" fontId="9" fillId="12" borderId="0" xfId="3" applyFont="1" applyFill="1" applyAlignment="1">
      <alignment horizontal="right" vertical="center"/>
    </xf>
    <xf numFmtId="0" fontId="2" fillId="12" borderId="23" xfId="0" applyFont="1" applyFill="1" applyBorder="1"/>
    <xf numFmtId="0" fontId="2" fillId="12" borderId="24" xfId="0" applyFont="1" applyFill="1" applyBorder="1" applyAlignment="1">
      <alignment horizontal="right"/>
    </xf>
    <xf numFmtId="0" fontId="2" fillId="3" borderId="0" xfId="0" applyFont="1" applyFill="1"/>
    <xf numFmtId="0" fontId="9" fillId="12" borderId="27" xfId="3" applyFont="1" applyFill="1" applyBorder="1" applyAlignment="1">
      <alignment vertical="center" wrapText="1"/>
    </xf>
    <xf numFmtId="0" fontId="9" fillId="12" borderId="27" xfId="3" applyFont="1" applyFill="1" applyBorder="1" applyAlignment="1">
      <alignment horizontal="right" vertical="center"/>
    </xf>
    <xf numFmtId="0" fontId="2" fillId="12" borderId="1" xfId="0" applyFont="1" applyFill="1" applyBorder="1" applyAlignment="1">
      <alignment horizontal="center"/>
    </xf>
    <xf numFmtId="0" fontId="2" fillId="12" borderId="25" xfId="0" applyFont="1" applyFill="1" applyBorder="1" applyAlignment="1">
      <alignment horizontal="center"/>
    </xf>
    <xf numFmtId="0" fontId="2" fillId="12" borderId="27" xfId="0" applyFont="1" applyFill="1" applyBorder="1" applyAlignment="1">
      <alignment horizontal="center"/>
    </xf>
    <xf numFmtId="0" fontId="2" fillId="12" borderId="26" xfId="0" applyFont="1" applyFill="1" applyBorder="1" applyAlignment="1">
      <alignment horizontal="center"/>
    </xf>
    <xf numFmtId="0" fontId="2" fillId="12" borderId="0" xfId="0" applyFont="1" applyFill="1" applyAlignment="1">
      <alignment horizontal="center"/>
    </xf>
    <xf numFmtId="0" fontId="0" fillId="13" borderId="23" xfId="0" applyFill="1" applyBorder="1"/>
    <xf numFmtId="0" fontId="0" fillId="13" borderId="0" xfId="0" applyFill="1"/>
    <xf numFmtId="0" fontId="0" fillId="13" borderId="23" xfId="0" applyFill="1" applyBorder="1" applyAlignment="1">
      <alignment horizontal="center"/>
    </xf>
    <xf numFmtId="0" fontId="0" fillId="13" borderId="0" xfId="0" applyFill="1" applyAlignment="1">
      <alignment horizontal="center"/>
    </xf>
    <xf numFmtId="0" fontId="0" fillId="13" borderId="24" xfId="0" applyFill="1" applyBorder="1" applyAlignment="1">
      <alignment horizontal="center"/>
    </xf>
    <xf numFmtId="0" fontId="0" fillId="13" borderId="24" xfId="0" applyFill="1" applyBorder="1"/>
    <xf numFmtId="0" fontId="0" fillId="3" borderId="25" xfId="0" applyFill="1" applyBorder="1"/>
    <xf numFmtId="0" fontId="0" fillId="3" borderId="26" xfId="0" applyFill="1" applyBorder="1"/>
    <xf numFmtId="0" fontId="0" fillId="13" borderId="25" xfId="0" applyFill="1" applyBorder="1"/>
    <xf numFmtId="0" fontId="0" fillId="13" borderId="27" xfId="0" applyFill="1" applyBorder="1"/>
    <xf numFmtId="0" fontId="0" fillId="13" borderId="25" xfId="0" applyFill="1" applyBorder="1" applyAlignment="1">
      <alignment horizontal="center"/>
    </xf>
    <xf numFmtId="0" fontId="0" fillId="13" borderId="27" xfId="0" applyFill="1" applyBorder="1" applyAlignment="1">
      <alignment horizontal="center"/>
    </xf>
    <xf numFmtId="0" fontId="0" fillId="13" borderId="26" xfId="0" applyFill="1" applyBorder="1" applyAlignment="1">
      <alignment horizontal="center"/>
    </xf>
    <xf numFmtId="0" fontId="0" fillId="13" borderId="26" xfId="0" applyFill="1" applyBorder="1"/>
    <xf numFmtId="0" fontId="0" fillId="3" borderId="27" xfId="0" applyFill="1" applyBorder="1"/>
    <xf numFmtId="44" fontId="0" fillId="13" borderId="0" xfId="1" applyFont="1" applyFill="1" applyBorder="1"/>
    <xf numFmtId="44" fontId="0" fillId="13" borderId="23" xfId="0" applyNumberFormat="1" applyFill="1" applyBorder="1" applyAlignment="1">
      <alignment horizontal="center"/>
    </xf>
    <xf numFmtId="44" fontId="0" fillId="13" borderId="0" xfId="0" applyNumberFormat="1" applyFill="1" applyAlignment="1">
      <alignment horizontal="center"/>
    </xf>
    <xf numFmtId="44" fontId="0" fillId="13" borderId="0" xfId="0" applyNumberFormat="1" applyFill="1"/>
    <xf numFmtId="44" fontId="0" fillId="13" borderId="24" xfId="0" applyNumberFormat="1" applyFill="1" applyBorder="1"/>
    <xf numFmtId="44" fontId="0" fillId="13" borderId="23" xfId="0" applyNumberFormat="1" applyFill="1" applyBorder="1"/>
    <xf numFmtId="44" fontId="0" fillId="13" borderId="27" xfId="0" applyNumberFormat="1" applyFill="1" applyBorder="1"/>
    <xf numFmtId="44" fontId="0" fillId="7" borderId="19" xfId="0" applyNumberFormat="1" applyFill="1" applyBorder="1" applyAlignment="1">
      <alignment horizontal="center"/>
    </xf>
    <xf numFmtId="44" fontId="0" fillId="8" borderId="0" xfId="0" applyNumberFormat="1" applyFill="1" applyAlignment="1">
      <alignment horizontal="center"/>
    </xf>
    <xf numFmtId="44" fontId="0" fillId="8" borderId="24" xfId="0" applyNumberFormat="1" applyFill="1" applyBorder="1" applyAlignment="1">
      <alignment horizontal="center"/>
    </xf>
    <xf numFmtId="44" fontId="0" fillId="8" borderId="23" xfId="0" applyNumberFormat="1" applyFill="1" applyBorder="1" applyAlignment="1">
      <alignment horizontal="center"/>
    </xf>
    <xf numFmtId="0" fontId="0" fillId="13" borderId="1" xfId="0" applyFill="1" applyBorder="1" applyAlignment="1">
      <alignment horizontal="center"/>
    </xf>
    <xf numFmtId="44" fontId="0" fillId="13" borderId="24" xfId="0" applyNumberFormat="1" applyFill="1" applyBorder="1" applyAlignment="1">
      <alignment horizontal="center"/>
    </xf>
    <xf numFmtId="44" fontId="0" fillId="8" borderId="19" xfId="0" applyNumberFormat="1" applyFill="1" applyBorder="1" applyAlignment="1">
      <alignment horizontal="center"/>
    </xf>
    <xf numFmtId="0" fontId="0" fillId="9" borderId="28" xfId="0" applyFill="1" applyBorder="1"/>
    <xf numFmtId="0" fontId="0" fillId="13" borderId="21" xfId="0" applyFill="1" applyBorder="1" applyAlignment="1">
      <alignment horizontal="center"/>
    </xf>
    <xf numFmtId="0" fontId="0" fillId="13" borderId="28" xfId="0" applyFill="1" applyBorder="1" applyAlignment="1">
      <alignment horizontal="center"/>
    </xf>
    <xf numFmtId="0" fontId="0" fillId="13" borderId="22" xfId="0" applyFill="1" applyBorder="1" applyAlignment="1">
      <alignment horizontal="center"/>
    </xf>
    <xf numFmtId="0" fontId="0" fillId="9" borderId="21" xfId="0" applyFill="1" applyBorder="1" applyAlignment="1">
      <alignment horizontal="center"/>
    </xf>
    <xf numFmtId="0" fontId="0" fillId="9" borderId="28" xfId="0" applyFill="1" applyBorder="1" applyAlignment="1">
      <alignment horizontal="center"/>
    </xf>
    <xf numFmtId="0" fontId="0" fillId="9" borderId="22" xfId="0" applyFill="1" applyBorder="1" applyAlignment="1">
      <alignment horizontal="center"/>
    </xf>
    <xf numFmtId="44" fontId="0" fillId="9" borderId="23" xfId="0" applyNumberFormat="1" applyFill="1" applyBorder="1"/>
    <xf numFmtId="44" fontId="0" fillId="9" borderId="0" xfId="0" applyNumberFormat="1" applyFill="1"/>
    <xf numFmtId="44" fontId="0" fillId="9" borderId="24" xfId="0" applyNumberFormat="1" applyFill="1" applyBorder="1"/>
    <xf numFmtId="0" fontId="0" fillId="9" borderId="27" xfId="0" applyFill="1" applyBorder="1"/>
    <xf numFmtId="44" fontId="0" fillId="13" borderId="25" xfId="0" applyNumberFormat="1" applyFill="1" applyBorder="1" applyAlignment="1">
      <alignment horizontal="center"/>
    </xf>
    <xf numFmtId="44" fontId="0" fillId="13" borderId="27" xfId="0" applyNumberFormat="1" applyFill="1" applyBorder="1" applyAlignment="1">
      <alignment horizontal="center"/>
    </xf>
    <xf numFmtId="44" fontId="0" fillId="9" borderId="25" xfId="0" applyNumberFormat="1" applyFill="1" applyBorder="1" applyAlignment="1">
      <alignment horizontal="center"/>
    </xf>
    <xf numFmtId="44" fontId="0" fillId="9" borderId="27" xfId="0" applyNumberFormat="1" applyFill="1" applyBorder="1" applyAlignment="1">
      <alignment horizontal="center"/>
    </xf>
    <xf numFmtId="44" fontId="0" fillId="9" borderId="27" xfId="0" applyNumberFormat="1" applyFill="1" applyBorder="1"/>
    <xf numFmtId="44" fontId="0" fillId="9" borderId="26" xfId="0" applyNumberFormat="1" applyFill="1" applyBorder="1"/>
    <xf numFmtId="44" fontId="0" fillId="9" borderId="19" xfId="0" applyNumberFormat="1" applyFill="1" applyBorder="1" applyAlignment="1">
      <alignment horizontal="center"/>
    </xf>
    <xf numFmtId="0" fontId="0" fillId="10" borderId="28" xfId="0" applyFill="1" applyBorder="1"/>
    <xf numFmtId="0" fontId="0" fillId="10" borderId="21" xfId="0" applyFill="1" applyBorder="1" applyAlignment="1">
      <alignment horizontal="center"/>
    </xf>
    <xf numFmtId="0" fontId="0" fillId="10" borderId="28" xfId="0" applyFill="1" applyBorder="1" applyAlignment="1">
      <alignment horizontal="center"/>
    </xf>
    <xf numFmtId="44" fontId="0" fillId="13" borderId="26" xfId="0" applyNumberFormat="1" applyFill="1" applyBorder="1" applyAlignment="1">
      <alignment horizontal="center"/>
    </xf>
    <xf numFmtId="44" fontId="0" fillId="10" borderId="24" xfId="0" applyNumberFormat="1" applyFill="1" applyBorder="1" applyAlignment="1">
      <alignment horizontal="center"/>
    </xf>
    <xf numFmtId="0" fontId="0" fillId="13" borderId="21" xfId="0" applyFill="1" applyBorder="1"/>
    <xf numFmtId="44" fontId="0" fillId="13" borderId="22" xfId="1" applyFont="1" applyFill="1" applyBorder="1"/>
    <xf numFmtId="44" fontId="0" fillId="13" borderId="21" xfId="0" applyNumberFormat="1" applyFill="1" applyBorder="1"/>
    <xf numFmtId="44" fontId="0" fillId="13" borderId="28" xfId="0" applyNumberFormat="1" applyFill="1" applyBorder="1"/>
    <xf numFmtId="44" fontId="0" fillId="13" borderId="22" xfId="0" applyNumberFormat="1" applyFill="1" applyBorder="1"/>
    <xf numFmtId="44" fontId="0" fillId="11" borderId="21" xfId="0" applyNumberFormat="1" applyFill="1" applyBorder="1"/>
    <xf numFmtId="44" fontId="0" fillId="11" borderId="28" xfId="0" applyNumberFormat="1" applyFill="1" applyBorder="1"/>
    <xf numFmtId="44" fontId="0" fillId="11" borderId="22" xfId="0" applyNumberFormat="1" applyFill="1" applyBorder="1"/>
    <xf numFmtId="0" fontId="0" fillId="11" borderId="28" xfId="0" applyFill="1" applyBorder="1"/>
    <xf numFmtId="44" fontId="0" fillId="13" borderId="24" xfId="1" applyFont="1" applyFill="1" applyBorder="1"/>
    <xf numFmtId="0" fontId="0" fillId="13" borderId="2" xfId="0" applyFill="1" applyBorder="1" applyAlignment="1">
      <alignment horizontal="center"/>
    </xf>
    <xf numFmtId="44" fontId="0" fillId="13" borderId="25" xfId="0" applyNumberFormat="1" applyFill="1" applyBorder="1"/>
    <xf numFmtId="44" fontId="0" fillId="13" borderId="26" xfId="0" applyNumberFormat="1" applyFill="1" applyBorder="1"/>
    <xf numFmtId="44" fontId="0" fillId="11" borderId="18" xfId="0" applyNumberFormat="1" applyFill="1" applyBorder="1"/>
    <xf numFmtId="44" fontId="0" fillId="11" borderId="20" xfId="0" applyNumberFormat="1" applyFill="1" applyBorder="1"/>
    <xf numFmtId="0" fontId="0" fillId="11" borderId="20" xfId="0" applyFill="1" applyBorder="1"/>
    <xf numFmtId="0" fontId="0" fillId="13" borderId="1" xfId="0" applyFill="1" applyBorder="1"/>
    <xf numFmtId="0" fontId="0" fillId="13" borderId="28" xfId="0" applyFill="1" applyBorder="1"/>
    <xf numFmtId="44" fontId="0" fillId="13" borderId="28" xfId="1" applyFont="1" applyFill="1" applyBorder="1"/>
    <xf numFmtId="44" fontId="0" fillId="0" borderId="21" xfId="0" applyNumberFormat="1" applyBorder="1"/>
    <xf numFmtId="44" fontId="0" fillId="0" borderId="28" xfId="0" applyNumberFormat="1" applyBorder="1"/>
    <xf numFmtId="44" fontId="0" fillId="0" borderId="22" xfId="0" applyNumberFormat="1" applyBorder="1"/>
    <xf numFmtId="0" fontId="0" fillId="0" borderId="28" xfId="0" applyBorder="1"/>
    <xf numFmtId="44" fontId="0" fillId="0" borderId="25" xfId="0" applyNumberFormat="1" applyBorder="1"/>
    <xf numFmtId="44" fontId="0" fillId="0" borderId="27" xfId="0" applyNumberFormat="1" applyBorder="1"/>
    <xf numFmtId="44" fontId="0" fillId="0" borderId="26" xfId="0" applyNumberFormat="1" applyBorder="1"/>
    <xf numFmtId="0" fontId="0" fillId="0" borderId="27" xfId="0" applyBorder="1"/>
    <xf numFmtId="44" fontId="0" fillId="0" borderId="19" xfId="0" applyNumberFormat="1" applyBorder="1"/>
    <xf numFmtId="0" fontId="8" fillId="0" borderId="0" xfId="0" applyFont="1"/>
    <xf numFmtId="6" fontId="8" fillId="0" borderId="0" xfId="0" applyNumberFormat="1" applyFont="1"/>
    <xf numFmtId="0" fontId="0" fillId="13" borderId="23" xfId="0" applyNumberFormat="1" applyFill="1" applyBorder="1" applyAlignment="1">
      <alignment horizontal="center"/>
    </xf>
    <xf numFmtId="6" fontId="0" fillId="0" borderId="0" xfId="0" applyNumberFormat="1"/>
    <xf numFmtId="0" fontId="12" fillId="0" borderId="1" xfId="0" applyFont="1" applyBorder="1"/>
    <xf numFmtId="0" fontId="12" fillId="0" borderId="30" xfId="0" applyFont="1" applyBorder="1"/>
    <xf numFmtId="0" fontId="10" fillId="0" borderId="0" xfId="0" applyFont="1" applyAlignment="1">
      <alignment horizontal="left" vertical="top" wrapText="1"/>
    </xf>
    <xf numFmtId="0" fontId="10" fillId="0" borderId="0" xfId="0" applyFont="1" applyAlignment="1">
      <alignment horizontal="left" vertical="top"/>
    </xf>
    <xf numFmtId="0" fontId="0" fillId="12" borderId="21" xfId="0" applyFill="1" applyBorder="1" applyAlignment="1">
      <alignment horizontal="center"/>
    </xf>
    <xf numFmtId="0" fontId="0" fillId="12" borderId="28" xfId="0" applyFill="1" applyBorder="1" applyAlignment="1">
      <alignment horizontal="center"/>
    </xf>
    <xf numFmtId="0" fontId="0" fillId="12" borderId="22" xfId="0" applyFill="1" applyBorder="1" applyAlignment="1">
      <alignment horizontal="center"/>
    </xf>
    <xf numFmtId="0" fontId="0" fillId="12" borderId="18" xfId="0" applyFill="1" applyBorder="1" applyAlignment="1">
      <alignment horizontal="center"/>
    </xf>
    <xf numFmtId="0" fontId="0" fillId="12" borderId="20" xfId="0" applyFill="1" applyBorder="1" applyAlignment="1">
      <alignment horizontal="center"/>
    </xf>
    <xf numFmtId="0" fontId="0" fillId="12" borderId="23" xfId="0" applyFill="1" applyBorder="1" applyAlignment="1">
      <alignment horizontal="center"/>
    </xf>
    <xf numFmtId="0" fontId="0" fillId="12" borderId="0" xfId="0" applyFill="1" applyAlignment="1">
      <alignment horizontal="center"/>
    </xf>
    <xf numFmtId="0" fontId="0" fillId="12" borderId="24" xfId="0" applyFill="1" applyBorder="1" applyAlignment="1">
      <alignment horizont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0" xfId="0" applyAlignment="1">
      <alignment horizontal="center" wrapText="1"/>
    </xf>
    <xf numFmtId="0" fontId="0" fillId="0" borderId="0" xfId="0" applyAlignment="1">
      <alignment horizontal="center"/>
    </xf>
    <xf numFmtId="0" fontId="0" fillId="10" borderId="1" xfId="0" applyFill="1" applyBorder="1" applyAlignment="1">
      <alignment horizontal="center" vertical="center" wrapText="1"/>
    </xf>
    <xf numFmtId="0" fontId="0" fillId="10" borderId="1" xfId="0" applyFill="1" applyBorder="1" applyAlignment="1">
      <alignment horizontal="center" vertical="center"/>
    </xf>
    <xf numFmtId="0" fontId="2" fillId="10" borderId="18" xfId="0" applyFont="1" applyFill="1" applyBorder="1" applyAlignment="1">
      <alignment horizontal="right"/>
    </xf>
    <xf numFmtId="0" fontId="2" fillId="10" borderId="20" xfId="0" applyFont="1" applyFill="1" applyBorder="1" applyAlignment="1">
      <alignment horizontal="right"/>
    </xf>
    <xf numFmtId="0" fontId="2" fillId="10" borderId="19" xfId="0" applyFont="1" applyFill="1" applyBorder="1" applyAlignment="1">
      <alignment horizontal="right"/>
    </xf>
    <xf numFmtId="0" fontId="0" fillId="11" borderId="1" xfId="0" applyFill="1" applyBorder="1" applyAlignment="1">
      <alignment horizontal="center" vertical="center" wrapText="1"/>
    </xf>
    <xf numFmtId="0" fontId="0" fillId="11" borderId="1" xfId="0" applyFill="1" applyBorder="1" applyAlignment="1">
      <alignment horizontal="center" vertical="center"/>
    </xf>
    <xf numFmtId="0" fontId="2" fillId="11" borderId="18" xfId="0" applyFont="1" applyFill="1" applyBorder="1" applyAlignment="1">
      <alignment horizontal="right"/>
    </xf>
    <xf numFmtId="0" fontId="2" fillId="11" borderId="20" xfId="0" applyFont="1" applyFill="1" applyBorder="1" applyAlignment="1">
      <alignment horizontal="right"/>
    </xf>
    <xf numFmtId="0" fontId="2" fillId="11" borderId="19" xfId="0" applyFont="1" applyFill="1" applyBorder="1" applyAlignment="1">
      <alignment horizontal="right"/>
    </xf>
    <xf numFmtId="0" fontId="0" fillId="9" borderId="1" xfId="0" applyFill="1" applyBorder="1" applyAlignment="1">
      <alignment horizontal="center" vertical="center" wrapText="1"/>
    </xf>
    <xf numFmtId="0" fontId="0" fillId="9" borderId="1" xfId="0" applyFill="1" applyBorder="1" applyAlignment="1">
      <alignment horizontal="center" vertical="center"/>
    </xf>
    <xf numFmtId="0" fontId="2" fillId="9" borderId="18" xfId="0" applyFont="1" applyFill="1" applyBorder="1" applyAlignment="1">
      <alignment horizontal="right"/>
    </xf>
    <xf numFmtId="0" fontId="2" fillId="9" borderId="20" xfId="0" applyFont="1" applyFill="1" applyBorder="1" applyAlignment="1">
      <alignment horizontal="right"/>
    </xf>
    <xf numFmtId="0" fontId="2" fillId="9" borderId="19" xfId="0" applyFont="1" applyFill="1" applyBorder="1" applyAlignment="1">
      <alignment horizontal="right"/>
    </xf>
    <xf numFmtId="0" fontId="0" fillId="9" borderId="2" xfId="0" applyFill="1" applyBorder="1" applyAlignment="1">
      <alignment horizontal="center" vertical="center"/>
    </xf>
    <xf numFmtId="0" fontId="0" fillId="9" borderId="29" xfId="0" applyFill="1" applyBorder="1" applyAlignment="1">
      <alignment horizontal="center" vertical="center"/>
    </xf>
    <xf numFmtId="0" fontId="0" fillId="7" borderId="1" xfId="0" applyFill="1" applyBorder="1" applyAlignment="1">
      <alignment horizontal="center" vertical="center" wrapText="1"/>
    </xf>
    <xf numFmtId="0" fontId="0" fillId="7" borderId="1" xfId="0" applyFill="1" applyBorder="1" applyAlignment="1">
      <alignment horizontal="center" vertical="center"/>
    </xf>
    <xf numFmtId="0" fontId="0" fillId="13" borderId="1" xfId="0" applyFill="1" applyBorder="1" applyAlignment="1">
      <alignment horizontal="center" vertical="center"/>
    </xf>
    <xf numFmtId="0" fontId="0" fillId="13" borderId="2" xfId="0" applyFill="1" applyBorder="1" applyAlignment="1">
      <alignment horizontal="center" vertical="center"/>
    </xf>
    <xf numFmtId="0" fontId="0" fillId="13" borderId="29" xfId="0" applyFill="1" applyBorder="1" applyAlignment="1">
      <alignment horizontal="center" vertical="center"/>
    </xf>
    <xf numFmtId="0" fontId="2" fillId="7" borderId="18" xfId="0" applyFont="1" applyFill="1" applyBorder="1" applyAlignment="1">
      <alignment horizontal="right"/>
    </xf>
    <xf numFmtId="0" fontId="2" fillId="7" borderId="20" xfId="0" applyFont="1" applyFill="1" applyBorder="1" applyAlignment="1">
      <alignment horizontal="right"/>
    </xf>
    <xf numFmtId="0" fontId="2" fillId="7" borderId="19" xfId="0" applyFont="1" applyFill="1" applyBorder="1" applyAlignment="1">
      <alignment horizontal="right"/>
    </xf>
    <xf numFmtId="0" fontId="2" fillId="12" borderId="1" xfId="0" applyFont="1" applyFill="1" applyBorder="1" applyAlignment="1">
      <alignment horizontal="center"/>
    </xf>
    <xf numFmtId="0" fontId="11" fillId="0" borderId="0" xfId="0" applyFont="1" applyAlignment="1">
      <alignment horizontal="center" wrapText="1"/>
    </xf>
    <xf numFmtId="0" fontId="2" fillId="13" borderId="21" xfId="0" applyFont="1" applyFill="1" applyBorder="1" applyAlignment="1">
      <alignment horizontal="center"/>
    </xf>
    <xf numFmtId="0" fontId="2" fillId="13" borderId="28" xfId="0" applyFont="1" applyFill="1" applyBorder="1" applyAlignment="1">
      <alignment horizontal="center"/>
    </xf>
    <xf numFmtId="0" fontId="2" fillId="13" borderId="23" xfId="0" applyFont="1" applyFill="1" applyBorder="1" applyAlignment="1">
      <alignment horizontal="center"/>
    </xf>
    <xf numFmtId="0" fontId="2" fillId="13" borderId="0" xfId="0" applyFont="1" applyFill="1" applyAlignment="1">
      <alignment horizontal="center"/>
    </xf>
    <xf numFmtId="0" fontId="2" fillId="0" borderId="18" xfId="0" applyFont="1" applyBorder="1" applyAlignment="1">
      <alignment horizontal="right"/>
    </xf>
    <xf numFmtId="0" fontId="2" fillId="0" borderId="20" xfId="0" applyFont="1" applyBorder="1" applyAlignment="1">
      <alignment horizontal="right"/>
    </xf>
    <xf numFmtId="0" fontId="2" fillId="0" borderId="19" xfId="0" applyFont="1" applyBorder="1" applyAlignment="1">
      <alignment horizontal="right"/>
    </xf>
    <xf numFmtId="0" fontId="2" fillId="8" borderId="18" xfId="0" applyFont="1" applyFill="1" applyBorder="1" applyAlignment="1">
      <alignment horizontal="right"/>
    </xf>
    <xf numFmtId="0" fontId="2" fillId="8" borderId="20" xfId="0" applyFont="1" applyFill="1" applyBorder="1" applyAlignment="1">
      <alignment horizontal="right"/>
    </xf>
    <xf numFmtId="0" fontId="2" fillId="8" borderId="19" xfId="0" applyFont="1" applyFill="1" applyBorder="1" applyAlignment="1">
      <alignment horizontal="right"/>
    </xf>
    <xf numFmtId="0" fontId="0" fillId="8" borderId="1" xfId="0" applyFill="1" applyBorder="1" applyAlignment="1">
      <alignment horizontal="center" vertical="center" wrapText="1"/>
    </xf>
    <xf numFmtId="0" fontId="0" fillId="8" borderId="1" xfId="0" applyFill="1" applyBorder="1" applyAlignment="1">
      <alignment horizontal="center" vertical="center"/>
    </xf>
    <xf numFmtId="0" fontId="2" fillId="13" borderId="22" xfId="0" applyFont="1" applyFill="1" applyBorder="1" applyAlignment="1">
      <alignment horizontal="center"/>
    </xf>
    <xf numFmtId="0" fontId="2" fillId="12" borderId="21" xfId="0" applyFont="1" applyFill="1" applyBorder="1" applyAlignment="1">
      <alignment horizontal="center"/>
    </xf>
    <xf numFmtId="0" fontId="2" fillId="12" borderId="28" xfId="0" applyFont="1" applyFill="1" applyBorder="1" applyAlignment="1">
      <alignment horizontal="center"/>
    </xf>
    <xf numFmtId="0" fontId="2" fillId="12" borderId="22" xfId="0" applyFont="1" applyFill="1" applyBorder="1" applyAlignment="1">
      <alignment horizontal="center"/>
    </xf>
    <xf numFmtId="0" fontId="2" fillId="13" borderId="24" xfId="0" applyFont="1" applyFill="1" applyBorder="1" applyAlignment="1">
      <alignment horizontal="center"/>
    </xf>
    <xf numFmtId="0" fontId="2" fillId="12" borderId="23" xfId="0" applyFont="1" applyFill="1" applyBorder="1" applyAlignment="1">
      <alignment horizontal="center"/>
    </xf>
    <xf numFmtId="0" fontId="2" fillId="12" borderId="0" xfId="0" applyFont="1" applyFill="1" applyAlignment="1">
      <alignment horizontal="center"/>
    </xf>
    <xf numFmtId="0" fontId="2" fillId="12" borderId="24" xfId="0" applyFont="1" applyFill="1" applyBorder="1" applyAlignment="1">
      <alignment horizontal="center"/>
    </xf>
    <xf numFmtId="0" fontId="0" fillId="12" borderId="19" xfId="0" applyFill="1" applyBorder="1" applyAlignment="1">
      <alignment horizontal="center"/>
    </xf>
    <xf numFmtId="0" fontId="0" fillId="12" borderId="25" xfId="0" applyFill="1" applyBorder="1" applyAlignment="1">
      <alignment horizontal="center"/>
    </xf>
    <xf numFmtId="0" fontId="0" fillId="12" borderId="27" xfId="0" applyFill="1" applyBorder="1" applyAlignment="1">
      <alignment horizontal="center"/>
    </xf>
    <xf numFmtId="0" fontId="0" fillId="12" borderId="26" xfId="0" applyFill="1" applyBorder="1" applyAlignment="1">
      <alignment horizontal="center"/>
    </xf>
    <xf numFmtId="165" fontId="3" fillId="5" borderId="3" xfId="2" applyNumberFormat="1" applyFill="1" applyBorder="1" applyAlignment="1">
      <alignment horizontal="center"/>
    </xf>
    <xf numFmtId="165" fontId="3" fillId="5" borderId="11" xfId="2" applyNumberFormat="1" applyFill="1" applyBorder="1" applyAlignment="1">
      <alignment horizontal="center"/>
    </xf>
    <xf numFmtId="0" fontId="4" fillId="0" borderId="3" xfId="2" applyFont="1" applyBorder="1" applyAlignment="1">
      <alignment horizontal="right"/>
    </xf>
    <xf numFmtId="0" fontId="4" fillId="0" borderId="4" xfId="2" applyFont="1" applyBorder="1" applyAlignment="1">
      <alignment horizontal="right"/>
    </xf>
    <xf numFmtId="0" fontId="4" fillId="0" borderId="11" xfId="2" applyFont="1" applyBorder="1" applyAlignment="1">
      <alignment horizontal="right"/>
    </xf>
    <xf numFmtId="166" fontId="3" fillId="5" borderId="3" xfId="2" applyNumberFormat="1" applyFill="1" applyBorder="1" applyAlignment="1">
      <alignment horizontal="center"/>
    </xf>
    <xf numFmtId="166" fontId="3" fillId="5" borderId="11" xfId="2" applyNumberFormat="1" applyFill="1" applyBorder="1" applyAlignment="1">
      <alignment horizontal="center"/>
    </xf>
    <xf numFmtId="0" fontId="0" fillId="0" borderId="9" xfId="0" applyBorder="1" applyAlignment="1">
      <alignment horizontal="center" wrapText="1"/>
    </xf>
    <xf numFmtId="0" fontId="4" fillId="6" borderId="5" xfId="2" applyFont="1" applyFill="1" applyBorder="1" applyAlignment="1">
      <alignment horizontal="center"/>
    </xf>
    <xf numFmtId="0" fontId="4" fillId="6" borderId="6" xfId="2" applyFont="1" applyFill="1" applyBorder="1" applyAlignment="1">
      <alignment horizontal="center"/>
    </xf>
    <xf numFmtId="17" fontId="4" fillId="5" borderId="7" xfId="2" applyNumberFormat="1" applyFont="1" applyFill="1" applyBorder="1" applyAlignment="1">
      <alignment horizontal="center"/>
    </xf>
    <xf numFmtId="17" fontId="4" fillId="5" borderId="8" xfId="2" applyNumberFormat="1" applyFont="1" applyFill="1" applyBorder="1" applyAlignment="1">
      <alignment horizontal="center"/>
    </xf>
    <xf numFmtId="0" fontId="4" fillId="5" borderId="3" xfId="2" applyFont="1" applyFill="1" applyBorder="1" applyAlignment="1">
      <alignment horizontal="center"/>
    </xf>
    <xf numFmtId="0" fontId="4" fillId="5" borderId="4" xfId="2" applyFont="1" applyFill="1" applyBorder="1" applyAlignment="1">
      <alignment horizontal="center"/>
    </xf>
    <xf numFmtId="0" fontId="4" fillId="5" borderId="11" xfId="2" applyFont="1" applyFill="1" applyBorder="1" applyAlignment="1">
      <alignment horizontal="center"/>
    </xf>
    <xf numFmtId="0" fontId="2" fillId="2" borderId="1" xfId="0" applyFont="1" applyFill="1" applyBorder="1" applyAlignment="1">
      <alignment horizontal="center"/>
    </xf>
    <xf numFmtId="0" fontId="2" fillId="2" borderId="18" xfId="0" applyFont="1" applyFill="1" applyBorder="1" applyAlignment="1">
      <alignment horizontal="center"/>
    </xf>
    <xf numFmtId="0" fontId="2" fillId="2" borderId="20" xfId="0" applyFont="1" applyFill="1" applyBorder="1" applyAlignment="1">
      <alignment horizontal="center"/>
    </xf>
    <xf numFmtId="0" fontId="2" fillId="2" borderId="19" xfId="0" applyFont="1" applyFill="1" applyBorder="1" applyAlignment="1">
      <alignment horizontal="center"/>
    </xf>
    <xf numFmtId="0" fontId="0" fillId="0" borderId="18"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7" xfId="0" applyBorder="1" applyAlignment="1">
      <alignment horizontal="center"/>
    </xf>
    <xf numFmtId="0" fontId="0" fillId="0" borderId="8" xfId="0" applyBorder="1" applyAlignment="1">
      <alignment horizontal="center"/>
    </xf>
  </cellXfs>
  <cellStyles count="8">
    <cellStyle name="Currency" xfId="1" builtinId="4"/>
    <cellStyle name="Normal" xfId="0" builtinId="0"/>
    <cellStyle name="Normal 2" xfId="4" xr:uid="{42C18F10-00B4-4136-ACA5-041091B68CD6}"/>
    <cellStyle name="Normal 3" xfId="2" xr:uid="{5E97D24C-E99D-45A6-9EE8-C0BCF3B70CD6}"/>
    <cellStyle name="Normal 3 2" xfId="5" xr:uid="{CC37412C-2747-4D79-82B5-834D11737ACD}"/>
    <cellStyle name="Normal 4" xfId="6" xr:uid="{560C88D4-DD39-4C9E-A12B-203951A71DB5}"/>
    <cellStyle name="Normal 5" xfId="7" xr:uid="{A4CA0841-0F9E-43A5-AA83-55ACC6699D56}"/>
    <cellStyle name="Normal 6" xfId="3" xr:uid="{9A649388-2D22-4E37-8D0C-06C7F63C640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83A6A-CCB9-4EE0-B585-B1A47655145D}">
  <dimension ref="A1:M21"/>
  <sheetViews>
    <sheetView workbookViewId="0">
      <selection activeCell="E25" sqref="E25"/>
    </sheetView>
  </sheetViews>
  <sheetFormatPr defaultRowHeight="14.25"/>
  <sheetData>
    <row r="1" spans="1:13">
      <c r="A1" s="304" t="s">
        <v>202</v>
      </c>
      <c r="B1" s="305"/>
      <c r="C1" s="305"/>
      <c r="D1" s="305"/>
      <c r="E1" s="305"/>
      <c r="F1" s="305"/>
      <c r="G1" s="305"/>
      <c r="H1" s="305"/>
      <c r="I1" s="305"/>
      <c r="J1" s="305"/>
      <c r="K1" s="305"/>
      <c r="L1" s="305"/>
      <c r="M1" s="305"/>
    </row>
    <row r="2" spans="1:13">
      <c r="A2" s="305"/>
      <c r="B2" s="305"/>
      <c r="C2" s="305"/>
      <c r="D2" s="305"/>
      <c r="E2" s="305"/>
      <c r="F2" s="305"/>
      <c r="G2" s="305"/>
      <c r="H2" s="305"/>
      <c r="I2" s="305"/>
      <c r="J2" s="305"/>
      <c r="K2" s="305"/>
      <c r="L2" s="305"/>
      <c r="M2" s="305"/>
    </row>
    <row r="3" spans="1:13">
      <c r="A3" s="305"/>
      <c r="B3" s="305"/>
      <c r="C3" s="305"/>
      <c r="D3" s="305"/>
      <c r="E3" s="305"/>
      <c r="F3" s="305"/>
      <c r="G3" s="305"/>
      <c r="H3" s="305"/>
      <c r="I3" s="305"/>
      <c r="J3" s="305"/>
      <c r="K3" s="305"/>
      <c r="L3" s="305"/>
      <c r="M3" s="305"/>
    </row>
    <row r="4" spans="1:13">
      <c r="A4" s="305"/>
      <c r="B4" s="305"/>
      <c r="C4" s="305"/>
      <c r="D4" s="305"/>
      <c r="E4" s="305"/>
      <c r="F4" s="305"/>
      <c r="G4" s="305"/>
      <c r="H4" s="305"/>
      <c r="I4" s="305"/>
      <c r="J4" s="305"/>
      <c r="K4" s="305"/>
      <c r="L4" s="305"/>
      <c r="M4" s="305"/>
    </row>
    <row r="5" spans="1:13">
      <c r="A5" s="305"/>
      <c r="B5" s="305"/>
      <c r="C5" s="305"/>
      <c r="D5" s="305"/>
      <c r="E5" s="305"/>
      <c r="F5" s="305"/>
      <c r="G5" s="305"/>
      <c r="H5" s="305"/>
      <c r="I5" s="305"/>
      <c r="J5" s="305"/>
      <c r="K5" s="305"/>
      <c r="L5" s="305"/>
      <c r="M5" s="305"/>
    </row>
    <row r="6" spans="1:13">
      <c r="A6" s="305"/>
      <c r="B6" s="305"/>
      <c r="C6" s="305"/>
      <c r="D6" s="305"/>
      <c r="E6" s="305"/>
      <c r="F6" s="305"/>
      <c r="G6" s="305"/>
      <c r="H6" s="305"/>
      <c r="I6" s="305"/>
      <c r="J6" s="305"/>
      <c r="K6" s="305"/>
      <c r="L6" s="305"/>
      <c r="M6" s="305"/>
    </row>
    <row r="7" spans="1:13">
      <c r="A7" s="305"/>
      <c r="B7" s="305"/>
      <c r="C7" s="305"/>
      <c r="D7" s="305"/>
      <c r="E7" s="305"/>
      <c r="F7" s="305"/>
      <c r="G7" s="305"/>
      <c r="H7" s="305"/>
      <c r="I7" s="305"/>
      <c r="J7" s="305"/>
      <c r="K7" s="305"/>
      <c r="L7" s="305"/>
      <c r="M7" s="305"/>
    </row>
    <row r="8" spans="1:13">
      <c r="A8" s="305"/>
      <c r="B8" s="305"/>
      <c r="C8" s="305"/>
      <c r="D8" s="305"/>
      <c r="E8" s="305"/>
      <c r="F8" s="305"/>
      <c r="G8" s="305"/>
      <c r="H8" s="305"/>
      <c r="I8" s="305"/>
      <c r="J8" s="305"/>
      <c r="K8" s="305"/>
      <c r="L8" s="305"/>
      <c r="M8" s="305"/>
    </row>
    <row r="9" spans="1:13">
      <c r="A9" s="305"/>
      <c r="B9" s="305"/>
      <c r="C9" s="305"/>
      <c r="D9" s="305"/>
      <c r="E9" s="305"/>
      <c r="F9" s="305"/>
      <c r="G9" s="305"/>
      <c r="H9" s="305"/>
      <c r="I9" s="305"/>
      <c r="J9" s="305"/>
      <c r="K9" s="305"/>
      <c r="L9" s="305"/>
      <c r="M9" s="305"/>
    </row>
    <row r="10" spans="1:13">
      <c r="A10" s="305"/>
      <c r="B10" s="305"/>
      <c r="C10" s="305"/>
      <c r="D10" s="305"/>
      <c r="E10" s="305"/>
      <c r="F10" s="305"/>
      <c r="G10" s="305"/>
      <c r="H10" s="305"/>
      <c r="I10" s="305"/>
      <c r="J10" s="305"/>
      <c r="K10" s="305"/>
      <c r="L10" s="305"/>
      <c r="M10" s="305"/>
    </row>
    <row r="11" spans="1:13">
      <c r="A11" s="305"/>
      <c r="B11" s="305"/>
      <c r="C11" s="305"/>
      <c r="D11" s="305"/>
      <c r="E11" s="305"/>
      <c r="F11" s="305"/>
      <c r="G11" s="305"/>
      <c r="H11" s="305"/>
      <c r="I11" s="305"/>
      <c r="J11" s="305"/>
      <c r="K11" s="305"/>
      <c r="L11" s="305"/>
      <c r="M11" s="305"/>
    </row>
    <row r="12" spans="1:13">
      <c r="A12" s="305"/>
      <c r="B12" s="305"/>
      <c r="C12" s="305"/>
      <c r="D12" s="305"/>
      <c r="E12" s="305"/>
      <c r="F12" s="305"/>
      <c r="G12" s="305"/>
      <c r="H12" s="305"/>
      <c r="I12" s="305"/>
      <c r="J12" s="305"/>
      <c r="K12" s="305"/>
      <c r="L12" s="305"/>
      <c r="M12" s="305"/>
    </row>
    <row r="13" spans="1:13">
      <c r="A13" s="305"/>
      <c r="B13" s="305"/>
      <c r="C13" s="305"/>
      <c r="D13" s="305"/>
      <c r="E13" s="305"/>
      <c r="F13" s="305"/>
      <c r="G13" s="305"/>
      <c r="H13" s="305"/>
      <c r="I13" s="305"/>
      <c r="J13" s="305"/>
      <c r="K13" s="305"/>
      <c r="L13" s="305"/>
      <c r="M13" s="305"/>
    </row>
    <row r="14" spans="1:13">
      <c r="A14" s="305"/>
      <c r="B14" s="305"/>
      <c r="C14" s="305"/>
      <c r="D14" s="305"/>
      <c r="E14" s="305"/>
      <c r="F14" s="305"/>
      <c r="G14" s="305"/>
      <c r="H14" s="305"/>
      <c r="I14" s="305"/>
      <c r="J14" s="305"/>
      <c r="K14" s="305"/>
      <c r="L14" s="305"/>
      <c r="M14" s="305"/>
    </row>
    <row r="15" spans="1:13">
      <c r="A15" s="305"/>
      <c r="B15" s="305"/>
      <c r="C15" s="305"/>
      <c r="D15" s="305"/>
      <c r="E15" s="305"/>
      <c r="F15" s="305"/>
      <c r="G15" s="305"/>
      <c r="H15" s="305"/>
      <c r="I15" s="305"/>
      <c r="J15" s="305"/>
      <c r="K15" s="305"/>
      <c r="L15" s="305"/>
      <c r="M15" s="305"/>
    </row>
    <row r="16" spans="1:13">
      <c r="A16" s="305"/>
      <c r="B16" s="305"/>
      <c r="C16" s="305"/>
      <c r="D16" s="305"/>
      <c r="E16" s="305"/>
      <c r="F16" s="305"/>
      <c r="G16" s="305"/>
      <c r="H16" s="305"/>
      <c r="I16" s="305"/>
      <c r="J16" s="305"/>
      <c r="K16" s="305"/>
      <c r="L16" s="305"/>
      <c r="M16" s="305"/>
    </row>
    <row r="17" spans="1:13">
      <c r="A17" s="305"/>
      <c r="B17" s="305"/>
      <c r="C17" s="305"/>
      <c r="D17" s="305"/>
      <c r="E17" s="305"/>
      <c r="F17" s="305"/>
      <c r="G17" s="305"/>
      <c r="H17" s="305"/>
      <c r="I17" s="305"/>
      <c r="J17" s="305"/>
      <c r="K17" s="305"/>
      <c r="L17" s="305"/>
      <c r="M17" s="305"/>
    </row>
    <row r="18" spans="1:13">
      <c r="A18" s="305"/>
      <c r="B18" s="305"/>
      <c r="C18" s="305"/>
      <c r="D18" s="305"/>
      <c r="E18" s="305"/>
      <c r="F18" s="305"/>
      <c r="G18" s="305"/>
      <c r="H18" s="305"/>
      <c r="I18" s="305"/>
      <c r="J18" s="305"/>
      <c r="K18" s="305"/>
      <c r="L18" s="305"/>
      <c r="M18" s="305"/>
    </row>
    <row r="19" spans="1:13">
      <c r="A19" s="305"/>
      <c r="B19" s="305"/>
      <c r="C19" s="305"/>
      <c r="D19" s="305"/>
      <c r="E19" s="305"/>
      <c r="F19" s="305"/>
      <c r="G19" s="305"/>
      <c r="H19" s="305"/>
      <c r="I19" s="305"/>
      <c r="J19" s="305"/>
      <c r="K19" s="305"/>
      <c r="L19" s="305"/>
      <c r="M19" s="305"/>
    </row>
    <row r="20" spans="1:13">
      <c r="A20" s="305"/>
      <c r="B20" s="305"/>
      <c r="C20" s="305"/>
      <c r="D20" s="305"/>
      <c r="E20" s="305"/>
      <c r="F20" s="305"/>
      <c r="G20" s="305"/>
      <c r="H20" s="305"/>
      <c r="I20" s="305"/>
      <c r="J20" s="305"/>
      <c r="K20" s="305"/>
      <c r="L20" s="305"/>
      <c r="M20" s="305"/>
    </row>
    <row r="21" spans="1:13">
      <c r="A21" s="305"/>
      <c r="B21" s="305"/>
      <c r="C21" s="305"/>
      <c r="D21" s="305"/>
      <c r="E21" s="305"/>
      <c r="F21" s="305"/>
      <c r="G21" s="305"/>
      <c r="H21" s="305"/>
      <c r="I21" s="305"/>
      <c r="J21" s="305"/>
      <c r="K21" s="305"/>
      <c r="L21" s="305"/>
      <c r="M21" s="305"/>
    </row>
  </sheetData>
  <mergeCells count="1">
    <mergeCell ref="A1:M2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7A204-4AB5-4A5F-B583-D78B1FA56953}">
  <dimension ref="A1:AO71"/>
  <sheetViews>
    <sheetView workbookViewId="0">
      <selection activeCell="C34" sqref="C34"/>
    </sheetView>
  </sheetViews>
  <sheetFormatPr defaultRowHeight="14.25"/>
  <cols>
    <col min="1" max="1" width="14.25" bestFit="1" customWidth="1"/>
    <col min="2" max="2" width="23.25" bestFit="1" customWidth="1"/>
    <col min="3" max="3" width="19.625" bestFit="1" customWidth="1"/>
    <col min="4" max="4" width="19.625" customWidth="1"/>
    <col min="5" max="10" width="14.625" bestFit="1" customWidth="1"/>
    <col min="11" max="15" width="11.75" bestFit="1" customWidth="1"/>
    <col min="17" max="17" width="19.875" bestFit="1" customWidth="1"/>
    <col min="18" max="18" width="5.125" bestFit="1" customWidth="1"/>
    <col min="19" max="22" width="4.125" bestFit="1" customWidth="1"/>
    <col min="23" max="23" width="5.125" bestFit="1" customWidth="1"/>
    <col min="24" max="27" width="4.125" bestFit="1" customWidth="1"/>
    <col min="29" max="29" width="11.75" bestFit="1" customWidth="1"/>
    <col min="30" max="34" width="4.125" bestFit="1" customWidth="1"/>
    <col min="36" max="36" width="7.25" bestFit="1" customWidth="1"/>
    <col min="37" max="41" width="4.125" bestFit="1" customWidth="1"/>
  </cols>
  <sheetData>
    <row r="1" spans="1:41" ht="78.75" customHeight="1">
      <c r="A1" s="316" t="s">
        <v>148</v>
      </c>
      <c r="B1" s="317"/>
      <c r="C1" s="317"/>
      <c r="D1" s="317"/>
      <c r="E1" s="317"/>
      <c r="F1" s="317"/>
      <c r="G1" s="317"/>
      <c r="H1" s="317"/>
      <c r="I1" s="317"/>
      <c r="J1" s="317"/>
      <c r="K1" s="317"/>
      <c r="L1" s="317"/>
      <c r="M1" s="317"/>
      <c r="N1" s="317"/>
    </row>
    <row r="2" spans="1:41" s="58" customFormat="1" ht="15">
      <c r="A2" s="162"/>
      <c r="B2" s="162"/>
      <c r="C2" s="162"/>
      <c r="D2" s="162"/>
      <c r="E2" s="173" t="s">
        <v>89</v>
      </c>
      <c r="F2" s="306" t="s">
        <v>96</v>
      </c>
      <c r="G2" s="307"/>
      <c r="H2" s="307"/>
      <c r="I2" s="307"/>
      <c r="J2" s="307"/>
      <c r="K2" s="306" t="s">
        <v>97</v>
      </c>
      <c r="L2" s="307"/>
      <c r="M2" s="307"/>
      <c r="N2" s="307"/>
      <c r="O2" s="308"/>
      <c r="P2" s="161"/>
      <c r="Q2" s="162" t="s">
        <v>101</v>
      </c>
      <c r="R2" s="306" t="s">
        <v>93</v>
      </c>
      <c r="S2" s="307"/>
      <c r="T2" s="307"/>
      <c r="U2" s="307"/>
      <c r="V2" s="308"/>
      <c r="W2" s="306" t="s">
        <v>95</v>
      </c>
      <c r="X2" s="307"/>
      <c r="Y2" s="307"/>
      <c r="Z2" s="307"/>
      <c r="AA2" s="308"/>
      <c r="AB2" s="162"/>
      <c r="AC2" s="162" t="s">
        <v>127</v>
      </c>
      <c r="AD2" s="306"/>
      <c r="AE2" s="307"/>
      <c r="AF2" s="307"/>
      <c r="AG2" s="307"/>
      <c r="AH2" s="308"/>
      <c r="AI2" s="162"/>
      <c r="AJ2" s="162" t="s">
        <v>29</v>
      </c>
      <c r="AK2" s="306"/>
      <c r="AL2" s="307"/>
      <c r="AM2" s="307"/>
      <c r="AN2" s="307"/>
      <c r="AO2" s="308"/>
    </row>
    <row r="3" spans="1:41" s="58" customFormat="1" ht="30">
      <c r="A3" s="162"/>
      <c r="B3" s="162"/>
      <c r="C3" s="162"/>
      <c r="D3" s="162"/>
      <c r="E3" s="173" t="s">
        <v>90</v>
      </c>
      <c r="F3" s="311" t="s">
        <v>91</v>
      </c>
      <c r="G3" s="312"/>
      <c r="H3" s="312"/>
      <c r="I3" s="312"/>
      <c r="J3" s="312"/>
      <c r="K3" s="311" t="s">
        <v>100</v>
      </c>
      <c r="L3" s="312"/>
      <c r="M3" s="312"/>
      <c r="N3" s="312"/>
      <c r="O3" s="313"/>
      <c r="P3" s="161"/>
      <c r="Q3" s="162" t="s">
        <v>102</v>
      </c>
      <c r="R3" s="311" t="s">
        <v>92</v>
      </c>
      <c r="S3" s="312"/>
      <c r="T3" s="312"/>
      <c r="U3" s="312"/>
      <c r="V3" s="313"/>
      <c r="W3" s="311" t="s">
        <v>94</v>
      </c>
      <c r="X3" s="312"/>
      <c r="Y3" s="312"/>
      <c r="Z3" s="312"/>
      <c r="AA3" s="313"/>
      <c r="AB3" s="162"/>
      <c r="AC3" s="162" t="s">
        <v>126</v>
      </c>
      <c r="AD3" s="311"/>
      <c r="AE3" s="312"/>
      <c r="AF3" s="312"/>
      <c r="AG3" s="312"/>
      <c r="AH3" s="313"/>
      <c r="AI3" s="162"/>
      <c r="AJ3" s="162" t="s">
        <v>128</v>
      </c>
      <c r="AK3" s="311"/>
      <c r="AL3" s="312"/>
      <c r="AM3" s="312"/>
      <c r="AN3" s="312"/>
      <c r="AO3" s="313"/>
    </row>
    <row r="4" spans="1:41" s="58" customFormat="1">
      <c r="A4" s="182"/>
      <c r="B4" s="183" t="s">
        <v>115</v>
      </c>
      <c r="C4" s="309" t="s">
        <v>98</v>
      </c>
      <c r="D4" s="310"/>
      <c r="E4" s="164"/>
      <c r="F4" s="184" t="s">
        <v>83</v>
      </c>
      <c r="G4" s="185" t="s">
        <v>84</v>
      </c>
      <c r="H4" s="185" t="s">
        <v>85</v>
      </c>
      <c r="I4" s="185" t="s">
        <v>86</v>
      </c>
      <c r="J4" s="185" t="s">
        <v>87</v>
      </c>
      <c r="K4" s="184" t="s">
        <v>83</v>
      </c>
      <c r="L4" s="185" t="s">
        <v>84</v>
      </c>
      <c r="M4" s="185" t="s">
        <v>85</v>
      </c>
      <c r="N4" s="185" t="s">
        <v>86</v>
      </c>
      <c r="O4" s="186" t="s">
        <v>87</v>
      </c>
      <c r="P4" s="161"/>
      <c r="Q4" s="161"/>
      <c r="R4" s="184" t="s">
        <v>83</v>
      </c>
      <c r="S4" s="185" t="s">
        <v>84</v>
      </c>
      <c r="T4" s="185" t="s">
        <v>85</v>
      </c>
      <c r="U4" s="185" t="s">
        <v>86</v>
      </c>
      <c r="V4" s="186" t="s">
        <v>87</v>
      </c>
      <c r="W4" s="184" t="s">
        <v>83</v>
      </c>
      <c r="X4" s="185" t="s">
        <v>84</v>
      </c>
      <c r="Y4" s="185" t="s">
        <v>85</v>
      </c>
      <c r="Z4" s="185" t="s">
        <v>86</v>
      </c>
      <c r="AA4" s="186" t="s">
        <v>87</v>
      </c>
      <c r="AB4" s="162"/>
      <c r="AC4" s="161"/>
      <c r="AD4" s="184" t="s">
        <v>83</v>
      </c>
      <c r="AE4" s="185" t="s">
        <v>84</v>
      </c>
      <c r="AF4" s="185" t="s">
        <v>85</v>
      </c>
      <c r="AG4" s="185" t="s">
        <v>86</v>
      </c>
      <c r="AH4" s="186" t="s">
        <v>87</v>
      </c>
      <c r="AI4" s="162"/>
      <c r="AJ4" s="161"/>
      <c r="AK4" s="184" t="s">
        <v>83</v>
      </c>
      <c r="AL4" s="185" t="s">
        <v>84</v>
      </c>
      <c r="AM4" s="185" t="s">
        <v>85</v>
      </c>
      <c r="AN4" s="185" t="s">
        <v>86</v>
      </c>
      <c r="AO4" s="186" t="s">
        <v>87</v>
      </c>
    </row>
    <row r="5" spans="1:41" s="58" customFormat="1">
      <c r="A5" s="144"/>
      <c r="B5" s="145"/>
      <c r="C5" s="144" t="s">
        <v>117</v>
      </c>
      <c r="D5" s="58" t="s">
        <v>0</v>
      </c>
      <c r="E5" s="162"/>
      <c r="F5" s="146">
        <v>6</v>
      </c>
      <c r="G5" s="147">
        <v>5</v>
      </c>
      <c r="H5" s="147">
        <v>5</v>
      </c>
      <c r="I5" s="147">
        <v>3</v>
      </c>
      <c r="J5" s="147">
        <v>3</v>
      </c>
      <c r="K5" s="146">
        <v>5</v>
      </c>
      <c r="L5" s="147">
        <v>5</v>
      </c>
      <c r="M5" s="147">
        <v>5</v>
      </c>
      <c r="N5" s="147">
        <v>5</v>
      </c>
      <c r="O5" s="148">
        <v>5</v>
      </c>
      <c r="P5" s="161"/>
      <c r="Q5" s="161"/>
      <c r="R5" s="146"/>
      <c r="S5" s="147"/>
      <c r="T5" s="147"/>
      <c r="U5" s="147"/>
      <c r="V5" s="148"/>
      <c r="W5" s="146"/>
      <c r="X5" s="147"/>
      <c r="Y5" s="147"/>
      <c r="Z5" s="147"/>
      <c r="AA5" s="148"/>
      <c r="AB5" s="162"/>
      <c r="AC5" s="162"/>
      <c r="AD5" s="144"/>
      <c r="AH5" s="145"/>
      <c r="AI5" s="162"/>
      <c r="AJ5" s="162"/>
      <c r="AK5" s="144"/>
      <c r="AO5" s="145"/>
    </row>
    <row r="6" spans="1:41" s="58" customFormat="1">
      <c r="A6" s="144"/>
      <c r="B6" s="145"/>
      <c r="C6" s="144" t="s">
        <v>118</v>
      </c>
      <c r="D6" s="58" t="s">
        <v>125</v>
      </c>
      <c r="E6" s="162"/>
      <c r="F6" s="146">
        <v>3</v>
      </c>
      <c r="G6" s="147">
        <v>3</v>
      </c>
      <c r="H6" s="147">
        <v>3</v>
      </c>
      <c r="I6" s="147">
        <v>3</v>
      </c>
      <c r="J6" s="147">
        <v>3</v>
      </c>
      <c r="K6" s="146">
        <v>6</v>
      </c>
      <c r="L6" s="147">
        <v>6</v>
      </c>
      <c r="M6" s="147">
        <v>6</v>
      </c>
      <c r="N6" s="147">
        <v>6</v>
      </c>
      <c r="O6" s="148">
        <v>6</v>
      </c>
      <c r="P6" s="161"/>
      <c r="Q6" s="161"/>
      <c r="R6" s="146"/>
      <c r="S6" s="147"/>
      <c r="T6" s="147"/>
      <c r="U6" s="147"/>
      <c r="V6" s="148"/>
      <c r="W6" s="146"/>
      <c r="X6" s="147"/>
      <c r="Y6" s="147"/>
      <c r="Z6" s="147"/>
      <c r="AA6" s="148"/>
      <c r="AB6" s="162"/>
      <c r="AC6" s="162"/>
      <c r="AD6" s="144"/>
      <c r="AH6" s="145"/>
      <c r="AI6" s="162"/>
      <c r="AJ6" s="162"/>
      <c r="AK6" s="144"/>
      <c r="AO6" s="145"/>
    </row>
    <row r="7" spans="1:41" s="58" customFormat="1">
      <c r="A7" s="144"/>
      <c r="B7" s="145"/>
      <c r="C7" s="144" t="s">
        <v>123</v>
      </c>
      <c r="D7" s="58" t="s">
        <v>124</v>
      </c>
      <c r="E7" s="162"/>
      <c r="F7" s="146">
        <v>100</v>
      </c>
      <c r="G7" s="147">
        <v>120</v>
      </c>
      <c r="H7" s="147">
        <v>140</v>
      </c>
      <c r="I7" s="147">
        <v>160</v>
      </c>
      <c r="J7" s="147">
        <v>200</v>
      </c>
      <c r="K7" s="146">
        <v>20</v>
      </c>
      <c r="L7" s="147">
        <v>22</v>
      </c>
      <c r="M7" s="147">
        <v>24</v>
      </c>
      <c r="N7" s="147">
        <v>26</v>
      </c>
      <c r="O7" s="148">
        <v>30</v>
      </c>
      <c r="P7" s="161"/>
      <c r="Q7" s="161"/>
      <c r="R7" s="146"/>
      <c r="S7" s="147"/>
      <c r="T7" s="147"/>
      <c r="U7" s="147"/>
      <c r="V7" s="148"/>
      <c r="W7" s="146"/>
      <c r="X7" s="147"/>
      <c r="Y7" s="147"/>
      <c r="Z7" s="147"/>
      <c r="AA7" s="148"/>
      <c r="AB7" s="162"/>
      <c r="AC7" s="162"/>
      <c r="AD7" s="144"/>
      <c r="AH7" s="145"/>
      <c r="AI7" s="162"/>
      <c r="AJ7" s="162"/>
      <c r="AK7" s="144"/>
      <c r="AO7" s="145"/>
    </row>
    <row r="8" spans="1:41" s="58" customFormat="1">
      <c r="A8" s="144"/>
      <c r="B8" s="145"/>
      <c r="C8" s="144" t="s">
        <v>135</v>
      </c>
      <c r="E8" s="162"/>
      <c r="F8" s="146">
        <v>1</v>
      </c>
      <c r="G8" s="147">
        <v>1.03</v>
      </c>
      <c r="H8" s="147">
        <v>1.04</v>
      </c>
      <c r="I8" s="147">
        <v>1.04</v>
      </c>
      <c r="J8" s="147">
        <v>1.04</v>
      </c>
      <c r="K8" s="146">
        <v>1</v>
      </c>
      <c r="L8" s="147">
        <v>1.03</v>
      </c>
      <c r="M8" s="147">
        <v>1.04</v>
      </c>
      <c r="N8" s="147">
        <v>1.04</v>
      </c>
      <c r="O8" s="148">
        <v>1.04</v>
      </c>
      <c r="P8" s="161"/>
      <c r="Q8" s="161"/>
      <c r="R8" s="146"/>
      <c r="S8" s="147"/>
      <c r="T8" s="147"/>
      <c r="U8" s="147"/>
      <c r="V8" s="148"/>
      <c r="W8" s="146"/>
      <c r="X8" s="147"/>
      <c r="Y8" s="147"/>
      <c r="Z8" s="147"/>
      <c r="AA8" s="148"/>
      <c r="AB8" s="162"/>
      <c r="AC8" s="162"/>
      <c r="AD8" s="144"/>
      <c r="AH8" s="145"/>
      <c r="AI8" s="162"/>
      <c r="AJ8" s="162"/>
      <c r="AK8" s="144"/>
      <c r="AO8" s="145"/>
    </row>
    <row r="9" spans="1:41" s="58" customFormat="1">
      <c r="A9" s="144"/>
      <c r="B9" s="145"/>
      <c r="C9" s="144" t="s">
        <v>188</v>
      </c>
      <c r="E9" s="162"/>
      <c r="F9" s="146">
        <v>1</v>
      </c>
      <c r="G9" s="147">
        <v>1.05</v>
      </c>
      <c r="H9" s="147">
        <v>1.06</v>
      </c>
      <c r="I9" s="147">
        <v>1.07</v>
      </c>
      <c r="J9" s="147">
        <v>1.0900000000000001</v>
      </c>
      <c r="K9" s="146">
        <v>1</v>
      </c>
      <c r="L9" s="147">
        <v>1.05</v>
      </c>
      <c r="M9" s="147">
        <v>1.06</v>
      </c>
      <c r="N9" s="147">
        <v>1.07</v>
      </c>
      <c r="O9" s="148">
        <v>1.0900000000000001</v>
      </c>
      <c r="P9" s="161"/>
      <c r="Q9" s="161"/>
      <c r="R9" s="146"/>
      <c r="S9" s="147"/>
      <c r="T9" s="147"/>
      <c r="U9" s="147"/>
      <c r="V9" s="148"/>
      <c r="W9" s="146"/>
      <c r="X9" s="147"/>
      <c r="Y9" s="147"/>
      <c r="Z9" s="147"/>
      <c r="AA9" s="148"/>
      <c r="AB9" s="162"/>
      <c r="AC9" s="162"/>
      <c r="AD9" s="144"/>
      <c r="AH9" s="145"/>
      <c r="AI9" s="162"/>
      <c r="AJ9" s="162"/>
      <c r="AK9" s="144"/>
      <c r="AO9" s="145"/>
    </row>
    <row r="10" spans="1:41">
      <c r="A10" s="61"/>
      <c r="B10" s="62"/>
      <c r="C10" s="61"/>
      <c r="E10" s="162"/>
      <c r="F10" s="63"/>
      <c r="G10" s="65"/>
      <c r="H10" s="65"/>
      <c r="I10" s="65"/>
      <c r="J10" s="65"/>
      <c r="K10" s="63"/>
      <c r="L10" s="65"/>
      <c r="M10" s="65"/>
      <c r="N10" s="65"/>
      <c r="O10" s="64"/>
      <c r="P10" s="161"/>
      <c r="Q10" s="161"/>
      <c r="R10" s="63"/>
      <c r="S10" s="65"/>
      <c r="T10" s="65"/>
      <c r="U10" s="65"/>
      <c r="V10" s="64"/>
      <c r="W10" s="63"/>
      <c r="X10" s="65"/>
      <c r="AA10" s="62"/>
      <c r="AB10" s="162"/>
      <c r="AC10" s="162"/>
      <c r="AD10" s="61"/>
      <c r="AH10" s="62"/>
      <c r="AI10" s="162"/>
      <c r="AJ10" s="162"/>
      <c r="AK10" s="61"/>
      <c r="AO10" s="62"/>
    </row>
    <row r="11" spans="1:41" s="72" customFormat="1">
      <c r="A11" s="67" t="s">
        <v>88</v>
      </c>
      <c r="B11" s="68"/>
      <c r="C11" s="67"/>
      <c r="E11" s="162"/>
      <c r="F11" s="69"/>
      <c r="G11" s="70"/>
      <c r="H11" s="70"/>
      <c r="I11" s="70"/>
      <c r="J11" s="70"/>
      <c r="K11" s="69"/>
      <c r="L11" s="70"/>
      <c r="M11" s="70"/>
      <c r="N11" s="70"/>
      <c r="O11" s="71"/>
      <c r="P11" s="161"/>
      <c r="Q11" s="161"/>
      <c r="R11" s="69"/>
      <c r="S11" s="70"/>
      <c r="T11" s="70"/>
      <c r="U11" s="70"/>
      <c r="V11" s="71"/>
      <c r="W11" s="69"/>
      <c r="X11" s="70"/>
      <c r="AA11" s="68"/>
      <c r="AB11" s="162"/>
      <c r="AC11" s="162"/>
      <c r="AD11" s="67"/>
      <c r="AH11" s="68"/>
      <c r="AI11" s="162"/>
      <c r="AJ11" s="162"/>
      <c r="AK11" s="67"/>
      <c r="AO11" s="68"/>
    </row>
    <row r="12" spans="1:41" s="72" customFormat="1">
      <c r="A12" s="67"/>
      <c r="B12" s="68"/>
      <c r="C12" s="67"/>
      <c r="D12" s="118"/>
      <c r="E12" s="162"/>
      <c r="F12" s="73"/>
      <c r="G12" s="74"/>
      <c r="H12" s="70"/>
      <c r="I12" s="70"/>
      <c r="J12" s="70"/>
      <c r="K12" s="69"/>
      <c r="L12" s="70"/>
      <c r="M12" s="70"/>
      <c r="N12" s="70"/>
      <c r="O12" s="71"/>
      <c r="P12" s="161"/>
      <c r="Q12" s="161"/>
      <c r="R12" s="69"/>
      <c r="S12" s="70"/>
      <c r="T12" s="70"/>
      <c r="U12" s="70"/>
      <c r="V12" s="71"/>
      <c r="W12" s="69"/>
      <c r="X12" s="70"/>
      <c r="AA12" s="68"/>
      <c r="AB12" s="162"/>
      <c r="AC12" s="162"/>
      <c r="AD12" s="67"/>
      <c r="AH12" s="68"/>
      <c r="AI12" s="162"/>
      <c r="AJ12" s="162"/>
      <c r="AK12" s="67"/>
      <c r="AO12" s="68"/>
    </row>
    <row r="13" spans="1:41" s="72" customFormat="1">
      <c r="A13" s="67"/>
      <c r="B13" s="68"/>
      <c r="C13" s="67"/>
      <c r="E13" s="162"/>
      <c r="F13" s="69"/>
      <c r="G13" s="70"/>
      <c r="H13" s="70"/>
      <c r="I13" s="70"/>
      <c r="J13" s="70"/>
      <c r="K13" s="69"/>
      <c r="L13" s="70"/>
      <c r="M13" s="70"/>
      <c r="N13" s="70"/>
      <c r="O13" s="71"/>
      <c r="P13" s="161"/>
      <c r="Q13" s="161"/>
      <c r="R13" s="69"/>
      <c r="S13" s="70"/>
      <c r="T13" s="70"/>
      <c r="U13" s="70"/>
      <c r="V13" s="71"/>
      <c r="W13" s="69"/>
      <c r="X13" s="70"/>
      <c r="AA13" s="68"/>
      <c r="AB13" s="162"/>
      <c r="AC13" s="162"/>
      <c r="AD13" s="67"/>
      <c r="AH13" s="68"/>
      <c r="AI13" s="162"/>
      <c r="AJ13" s="162"/>
      <c r="AK13" s="67"/>
      <c r="AO13" s="68"/>
    </row>
    <row r="14" spans="1:41" s="72" customFormat="1">
      <c r="A14" s="67"/>
      <c r="B14" s="68" t="s">
        <v>38</v>
      </c>
      <c r="C14" s="67" t="s">
        <v>116</v>
      </c>
      <c r="D14" s="72" t="s">
        <v>0</v>
      </c>
      <c r="E14" s="162"/>
      <c r="F14" s="69">
        <v>0.1</v>
      </c>
      <c r="G14" s="70">
        <v>0.5</v>
      </c>
      <c r="H14" s="70"/>
      <c r="I14" s="70"/>
      <c r="J14" s="70"/>
      <c r="K14" s="69"/>
      <c r="L14" s="70"/>
      <c r="M14" s="70"/>
      <c r="N14" s="70"/>
      <c r="O14" s="71"/>
      <c r="P14" s="161"/>
      <c r="Q14" s="161"/>
      <c r="R14" s="69">
        <v>0.6</v>
      </c>
      <c r="S14" s="70"/>
      <c r="T14" s="70"/>
      <c r="U14" s="70"/>
      <c r="V14" s="71"/>
      <c r="W14" s="69">
        <v>0.2</v>
      </c>
      <c r="X14" s="70"/>
      <c r="AA14" s="68"/>
      <c r="AB14" s="162"/>
      <c r="AC14" s="162"/>
      <c r="AD14" s="67"/>
      <c r="AH14" s="68"/>
      <c r="AI14" s="162"/>
      <c r="AJ14" s="162"/>
      <c r="AK14" s="67"/>
      <c r="AO14" s="68"/>
    </row>
    <row r="15" spans="1:41" s="72" customFormat="1">
      <c r="A15" s="67"/>
      <c r="B15" s="68"/>
      <c r="C15" s="67"/>
      <c r="D15" s="118">
        <v>550000</v>
      </c>
      <c r="E15" s="162"/>
      <c r="F15" s="75">
        <f>F14*D15</f>
        <v>55000</v>
      </c>
      <c r="G15" s="76">
        <f>G14*G8*D15</f>
        <v>283250</v>
      </c>
      <c r="K15" s="67"/>
      <c r="O15" s="68"/>
      <c r="P15" s="162"/>
      <c r="Q15" s="162"/>
      <c r="R15" s="67"/>
      <c r="V15" s="68"/>
      <c r="W15" s="67"/>
      <c r="X15" s="70"/>
      <c r="AA15" s="68"/>
      <c r="AB15" s="162"/>
      <c r="AC15" s="162"/>
      <c r="AD15" s="67"/>
      <c r="AH15" s="68"/>
      <c r="AI15" s="162"/>
      <c r="AJ15" s="162"/>
      <c r="AK15" s="67"/>
      <c r="AO15" s="68"/>
    </row>
    <row r="16" spans="1:41" s="72" customFormat="1">
      <c r="A16" s="77"/>
      <c r="B16" s="78"/>
      <c r="C16" s="77"/>
      <c r="D16" s="119"/>
      <c r="E16" s="162"/>
      <c r="F16" s="79"/>
      <c r="G16" s="80"/>
      <c r="H16" s="80"/>
      <c r="I16" s="80"/>
      <c r="J16" s="80"/>
      <c r="K16" s="79"/>
      <c r="L16" s="80"/>
      <c r="M16" s="80"/>
      <c r="N16" s="80"/>
      <c r="O16" s="81"/>
      <c r="P16" s="161"/>
      <c r="Q16" s="161"/>
      <c r="R16" s="69"/>
      <c r="S16" s="70"/>
      <c r="T16" s="70"/>
      <c r="U16" s="70"/>
      <c r="V16" s="71"/>
      <c r="W16" s="69"/>
      <c r="X16" s="70"/>
      <c r="AA16" s="68"/>
      <c r="AB16" s="162"/>
      <c r="AC16" s="162"/>
      <c r="AD16" s="67"/>
      <c r="AH16" s="68"/>
      <c r="AI16" s="162"/>
      <c r="AJ16" s="162"/>
      <c r="AK16" s="67"/>
      <c r="AO16" s="68"/>
    </row>
    <row r="17" spans="1:41" s="72" customFormat="1">
      <c r="A17" s="82" t="s">
        <v>136</v>
      </c>
      <c r="B17" s="83"/>
      <c r="C17" s="83"/>
      <c r="D17" s="83"/>
      <c r="E17" s="164"/>
      <c r="F17" s="120">
        <f>F15</f>
        <v>55000</v>
      </c>
      <c r="G17" s="84">
        <f>G15</f>
        <v>283250</v>
      </c>
      <c r="H17" s="85"/>
      <c r="I17" s="85"/>
      <c r="J17" s="85"/>
      <c r="K17" s="155"/>
      <c r="L17" s="85"/>
      <c r="M17" s="85"/>
      <c r="N17" s="85"/>
      <c r="O17" s="86"/>
      <c r="P17" s="163"/>
      <c r="Q17" s="163"/>
      <c r="R17" s="155">
        <f>SUM(R11:R16)</f>
        <v>0.6</v>
      </c>
      <c r="S17" s="85"/>
      <c r="T17" s="85"/>
      <c r="U17" s="85"/>
      <c r="V17" s="86"/>
      <c r="W17" s="165">
        <f>SUM(W11:W16)</f>
        <v>0.2</v>
      </c>
      <c r="X17" s="85"/>
      <c r="Y17" s="83"/>
      <c r="Z17" s="83"/>
      <c r="AA17" s="87"/>
      <c r="AB17" s="162"/>
      <c r="AC17" s="162"/>
      <c r="AD17" s="67"/>
      <c r="AH17" s="68"/>
      <c r="AI17" s="162"/>
      <c r="AJ17" s="162"/>
      <c r="AK17" s="67"/>
      <c r="AO17" s="68"/>
    </row>
    <row r="18" spans="1:41">
      <c r="E18" s="162"/>
      <c r="F18" s="61"/>
      <c r="K18" s="61"/>
      <c r="O18" s="62"/>
      <c r="P18" s="162"/>
      <c r="Q18" s="162"/>
      <c r="R18" s="61"/>
      <c r="V18" s="62"/>
      <c r="W18" s="61"/>
      <c r="AA18" s="62"/>
      <c r="AB18" s="162"/>
      <c r="AC18" s="162"/>
      <c r="AD18" s="61"/>
      <c r="AH18" s="62"/>
      <c r="AI18" s="162"/>
      <c r="AJ18" s="162"/>
      <c r="AK18" s="61"/>
      <c r="AO18" s="62"/>
    </row>
    <row r="19" spans="1:41" s="88" customFormat="1">
      <c r="A19" s="88" t="s">
        <v>108</v>
      </c>
      <c r="E19" s="162"/>
      <c r="F19" s="121"/>
      <c r="K19" s="121"/>
      <c r="O19" s="122"/>
      <c r="P19" s="162"/>
      <c r="Q19" s="162"/>
      <c r="R19" s="121"/>
      <c r="V19" s="122"/>
      <c r="W19" s="121"/>
      <c r="AA19" s="122"/>
      <c r="AB19" s="162"/>
      <c r="AC19" s="162"/>
      <c r="AD19" s="121"/>
      <c r="AH19" s="122"/>
      <c r="AI19" s="162"/>
      <c r="AJ19" s="162"/>
      <c r="AK19" s="121"/>
      <c r="AO19" s="122"/>
    </row>
    <row r="20" spans="1:41" s="88" customFormat="1">
      <c r="B20" s="88" t="s">
        <v>150</v>
      </c>
      <c r="C20" s="88" t="s">
        <v>111</v>
      </c>
      <c r="D20" s="89" t="s">
        <v>110</v>
      </c>
      <c r="E20" s="162"/>
      <c r="F20" s="121"/>
      <c r="K20" s="121"/>
      <c r="O20" s="122"/>
      <c r="P20" s="162"/>
      <c r="Q20" s="162"/>
      <c r="R20" s="121"/>
      <c r="V20" s="122"/>
      <c r="W20" s="121"/>
      <c r="AA20" s="122"/>
      <c r="AB20" s="162"/>
      <c r="AC20" s="162"/>
      <c r="AD20" s="121"/>
      <c r="AH20" s="122"/>
      <c r="AI20" s="162"/>
      <c r="AJ20" s="162"/>
      <c r="AK20" s="121"/>
      <c r="AO20" s="122"/>
    </row>
    <row r="21" spans="1:41" s="88" customFormat="1">
      <c r="B21" s="88" t="s">
        <v>151</v>
      </c>
      <c r="E21" s="162"/>
      <c r="F21" s="121"/>
      <c r="K21" s="121"/>
      <c r="O21" s="122"/>
      <c r="P21" s="162"/>
      <c r="Q21" s="162"/>
      <c r="R21" s="121"/>
      <c r="V21" s="122"/>
      <c r="W21" s="121"/>
      <c r="AA21" s="122"/>
      <c r="AB21" s="162"/>
      <c r="AC21" s="162"/>
      <c r="AD21" s="121"/>
      <c r="AH21" s="122"/>
      <c r="AI21" s="162"/>
      <c r="AJ21" s="162"/>
      <c r="AK21" s="121"/>
      <c r="AO21" s="122"/>
    </row>
    <row r="22" spans="1:41" s="88" customFormat="1">
      <c r="A22" s="88" t="s">
        <v>109</v>
      </c>
      <c r="E22" s="162"/>
      <c r="F22" s="121"/>
      <c r="K22" s="121"/>
      <c r="O22" s="122"/>
      <c r="P22" s="162"/>
      <c r="Q22" s="162"/>
      <c r="R22" s="121"/>
      <c r="V22" s="122"/>
      <c r="W22" s="121"/>
      <c r="AA22" s="122"/>
      <c r="AB22" s="162"/>
      <c r="AC22" s="162"/>
      <c r="AD22" s="121"/>
      <c r="AH22" s="122"/>
      <c r="AI22" s="162"/>
      <c r="AJ22" s="162"/>
      <c r="AK22" s="121"/>
      <c r="AO22" s="122"/>
    </row>
    <row r="23" spans="1:41" s="88" customFormat="1">
      <c r="E23" s="162"/>
      <c r="F23" s="121"/>
      <c r="K23" s="121"/>
      <c r="O23" s="122"/>
      <c r="P23" s="162"/>
      <c r="Q23" s="162"/>
      <c r="R23" s="121"/>
      <c r="V23" s="122"/>
      <c r="W23" s="121"/>
      <c r="AA23" s="122"/>
      <c r="AB23" s="162"/>
      <c r="AC23" s="162"/>
      <c r="AD23" s="121"/>
      <c r="AH23" s="122"/>
      <c r="AI23" s="162"/>
      <c r="AJ23" s="162"/>
      <c r="AK23" s="121"/>
      <c r="AO23" s="122"/>
    </row>
    <row r="24" spans="1:41" s="88" customFormat="1">
      <c r="E24" s="162"/>
      <c r="F24" s="121"/>
      <c r="K24" s="121"/>
      <c r="O24" s="122"/>
      <c r="P24" s="162"/>
      <c r="Q24" s="162"/>
      <c r="R24" s="121"/>
      <c r="V24" s="122"/>
      <c r="W24" s="121"/>
      <c r="AA24" s="122"/>
      <c r="AB24" s="162"/>
      <c r="AC24" s="162"/>
      <c r="AD24" s="121"/>
      <c r="AH24" s="122"/>
      <c r="AI24" s="162"/>
      <c r="AJ24" s="162"/>
      <c r="AK24" s="121"/>
      <c r="AO24" s="122"/>
    </row>
    <row r="25" spans="1:41" s="88" customFormat="1">
      <c r="A25" s="88" t="s">
        <v>137</v>
      </c>
      <c r="E25" s="162"/>
      <c r="F25" s="121"/>
      <c r="K25" s="121"/>
      <c r="O25" s="122"/>
      <c r="P25" s="162"/>
      <c r="Q25" s="162"/>
      <c r="R25" s="121"/>
      <c r="V25" s="122"/>
      <c r="W25" s="121"/>
      <c r="AA25" s="122"/>
      <c r="AB25" s="162"/>
      <c r="AC25" s="162"/>
      <c r="AD25" s="121"/>
      <c r="AH25" s="122"/>
      <c r="AI25" s="162"/>
      <c r="AJ25" s="162"/>
      <c r="AK25" s="121"/>
      <c r="AO25" s="122"/>
    </row>
    <row r="26" spans="1:41" s="88" customFormat="1">
      <c r="E26" s="162"/>
      <c r="F26" s="121"/>
      <c r="K26" s="121"/>
      <c r="O26" s="122"/>
      <c r="P26" s="162"/>
      <c r="Q26" s="162"/>
      <c r="R26" s="121"/>
      <c r="V26" s="122"/>
      <c r="W26" s="121"/>
      <c r="AA26" s="122"/>
      <c r="AB26" s="162"/>
      <c r="AC26" s="162"/>
      <c r="AD26" s="121"/>
      <c r="AH26" s="122"/>
      <c r="AI26" s="162"/>
      <c r="AJ26" s="162"/>
      <c r="AK26" s="121"/>
      <c r="AO26" s="122"/>
    </row>
    <row r="27" spans="1:41" s="88" customFormat="1">
      <c r="E27" s="162"/>
      <c r="F27" s="121"/>
      <c r="K27" s="121"/>
      <c r="O27" s="122"/>
      <c r="P27" s="162"/>
      <c r="Q27" s="162"/>
      <c r="R27" s="121"/>
      <c r="V27" s="122"/>
      <c r="W27" s="121"/>
      <c r="AA27" s="122"/>
      <c r="AB27" s="162"/>
      <c r="AC27" s="162"/>
      <c r="AD27" s="121"/>
      <c r="AH27" s="122"/>
      <c r="AI27" s="162"/>
      <c r="AJ27" s="162"/>
      <c r="AK27" s="121"/>
      <c r="AO27" s="122"/>
    </row>
    <row r="28" spans="1:41" s="88" customFormat="1">
      <c r="A28" s="88" t="s">
        <v>138</v>
      </c>
      <c r="E28" s="162"/>
      <c r="F28" s="121"/>
      <c r="K28" s="121"/>
      <c r="O28" s="122"/>
      <c r="P28" s="162"/>
      <c r="Q28" s="162"/>
      <c r="R28" s="121"/>
      <c r="V28" s="122"/>
      <c r="W28" s="121"/>
      <c r="AA28" s="122"/>
      <c r="AB28" s="162"/>
      <c r="AC28" s="162"/>
      <c r="AD28" s="121"/>
      <c r="AH28" s="122"/>
      <c r="AI28" s="162"/>
      <c r="AJ28" s="162"/>
      <c r="AK28" s="121"/>
      <c r="AO28" s="122"/>
    </row>
    <row r="29" spans="1:41" s="88" customFormat="1">
      <c r="E29" s="162"/>
      <c r="F29" s="121"/>
      <c r="K29" s="121"/>
      <c r="O29" s="122"/>
      <c r="P29" s="162"/>
      <c r="Q29" s="162"/>
      <c r="R29" s="121"/>
      <c r="V29" s="122"/>
      <c r="W29" s="121"/>
      <c r="AA29" s="122"/>
      <c r="AB29" s="162"/>
      <c r="AC29" s="162"/>
      <c r="AD29" s="121"/>
      <c r="AH29" s="122"/>
      <c r="AI29" s="162"/>
      <c r="AJ29" s="162"/>
      <c r="AK29" s="121"/>
      <c r="AO29" s="122"/>
    </row>
    <row r="30" spans="1:41" s="88" customFormat="1">
      <c r="E30" s="162"/>
      <c r="F30" s="121"/>
      <c r="K30" s="121"/>
      <c r="O30" s="122"/>
      <c r="P30" s="162"/>
      <c r="Q30" s="162"/>
      <c r="R30" s="121"/>
      <c r="V30" s="122"/>
      <c r="W30" s="121"/>
      <c r="AA30" s="122"/>
      <c r="AB30" s="162"/>
      <c r="AC30" s="162"/>
      <c r="AD30" s="121"/>
      <c r="AH30" s="122"/>
      <c r="AI30" s="162"/>
      <c r="AJ30" s="162"/>
      <c r="AK30" s="121"/>
      <c r="AO30" s="122"/>
    </row>
    <row r="31" spans="1:41" s="88" customFormat="1">
      <c r="A31" s="88" t="s">
        <v>139</v>
      </c>
      <c r="E31" s="162"/>
      <c r="F31" s="121"/>
      <c r="K31" s="121"/>
      <c r="O31" s="122"/>
      <c r="P31" s="162"/>
      <c r="Q31" s="162"/>
      <c r="R31" s="121"/>
      <c r="V31" s="122"/>
      <c r="W31" s="121"/>
      <c r="AA31" s="122"/>
      <c r="AB31" s="162"/>
      <c r="AC31" s="162"/>
      <c r="AD31" s="121"/>
      <c r="AH31" s="122"/>
      <c r="AI31" s="162"/>
      <c r="AJ31" s="162"/>
      <c r="AK31" s="121"/>
      <c r="AO31" s="122"/>
    </row>
    <row r="32" spans="1:41" s="88" customFormat="1">
      <c r="E32" s="162"/>
      <c r="F32" s="123"/>
      <c r="G32" s="89"/>
      <c r="H32" s="89"/>
      <c r="I32" s="89"/>
      <c r="J32" s="89"/>
      <c r="K32" s="123"/>
      <c r="L32" s="89"/>
      <c r="M32" s="89"/>
      <c r="N32" s="89"/>
      <c r="O32" s="124"/>
      <c r="P32" s="161"/>
      <c r="Q32" s="161"/>
      <c r="R32" s="123"/>
      <c r="S32" s="89"/>
      <c r="T32" s="89"/>
      <c r="U32" s="89"/>
      <c r="V32" s="124"/>
      <c r="W32" s="123"/>
      <c r="X32" s="89"/>
      <c r="AA32" s="122"/>
      <c r="AB32" s="162"/>
      <c r="AC32" s="162"/>
      <c r="AD32" s="121"/>
      <c r="AH32" s="122"/>
      <c r="AI32" s="162"/>
      <c r="AJ32" s="162"/>
      <c r="AK32" s="121"/>
      <c r="AO32" s="122"/>
    </row>
    <row r="33" spans="1:41" s="88" customFormat="1">
      <c r="E33" s="162"/>
      <c r="F33" s="121"/>
      <c r="K33" s="121"/>
      <c r="O33" s="122"/>
      <c r="P33" s="162"/>
      <c r="Q33" s="162"/>
      <c r="R33" s="121"/>
      <c r="V33" s="122"/>
      <c r="W33" s="121"/>
      <c r="AA33" s="122"/>
      <c r="AB33" s="162"/>
      <c r="AC33" s="162"/>
      <c r="AD33" s="121"/>
      <c r="AH33" s="122"/>
      <c r="AI33" s="162"/>
      <c r="AJ33" s="162"/>
      <c r="AK33" s="121"/>
      <c r="AO33" s="122"/>
    </row>
    <row r="34" spans="1:41" s="88" customFormat="1">
      <c r="A34" s="90" t="s">
        <v>136</v>
      </c>
      <c r="B34" s="91"/>
      <c r="C34" s="91"/>
      <c r="D34" s="91"/>
      <c r="E34" s="164"/>
      <c r="F34" s="125"/>
      <c r="G34" s="92"/>
      <c r="H34" s="93"/>
      <c r="I34" s="93"/>
      <c r="J34" s="93"/>
      <c r="K34" s="156"/>
      <c r="L34" s="93"/>
      <c r="M34" s="93"/>
      <c r="N34" s="93"/>
      <c r="O34" s="94"/>
      <c r="P34" s="163"/>
      <c r="Q34" s="163"/>
      <c r="R34" s="156">
        <f>SUM(R24:R33)</f>
        <v>0</v>
      </c>
      <c r="S34" s="93"/>
      <c r="T34" s="93"/>
      <c r="U34" s="93"/>
      <c r="V34" s="94"/>
      <c r="W34" s="166">
        <f>SUM(W24:W33)</f>
        <v>0</v>
      </c>
      <c r="X34" s="93"/>
      <c r="Y34" s="91"/>
      <c r="Z34" s="91"/>
      <c r="AA34" s="95"/>
      <c r="AB34" s="162"/>
      <c r="AC34" s="162"/>
      <c r="AD34" s="121"/>
      <c r="AH34" s="122"/>
      <c r="AI34" s="162"/>
      <c r="AJ34" s="162"/>
      <c r="AK34" s="121"/>
      <c r="AO34" s="122"/>
    </row>
    <row r="35" spans="1:41">
      <c r="E35" s="162"/>
      <c r="F35" s="63"/>
      <c r="G35" s="65"/>
      <c r="H35" s="65"/>
      <c r="I35" s="65"/>
      <c r="J35" s="65"/>
      <c r="K35" s="63"/>
      <c r="L35" s="65"/>
      <c r="M35" s="65"/>
      <c r="N35" s="65"/>
      <c r="O35" s="64"/>
      <c r="P35" s="161"/>
      <c r="Q35" s="161"/>
      <c r="R35" s="63"/>
      <c r="S35" s="65"/>
      <c r="T35" s="65"/>
      <c r="U35" s="65"/>
      <c r="V35" s="64"/>
      <c r="W35" s="63"/>
      <c r="X35" s="65"/>
      <c r="AA35" s="62"/>
      <c r="AB35" s="162"/>
      <c r="AC35" s="162"/>
      <c r="AD35" s="61"/>
      <c r="AH35" s="62"/>
      <c r="AI35" s="162"/>
      <c r="AJ35" s="162"/>
      <c r="AK35" s="61"/>
      <c r="AO35" s="62"/>
    </row>
    <row r="36" spans="1:41" s="96" customFormat="1">
      <c r="A36" s="96" t="s">
        <v>104</v>
      </c>
      <c r="E36" s="162"/>
      <c r="F36" s="126"/>
      <c r="G36" s="105"/>
      <c r="H36" s="105"/>
      <c r="I36" s="105"/>
      <c r="J36" s="105"/>
      <c r="K36" s="126"/>
      <c r="L36" s="105"/>
      <c r="M36" s="105"/>
      <c r="N36" s="105"/>
      <c r="O36" s="127"/>
      <c r="P36" s="161"/>
      <c r="Q36" s="161"/>
      <c r="R36" s="126"/>
      <c r="S36" s="105"/>
      <c r="T36" s="105"/>
      <c r="U36" s="105"/>
      <c r="V36" s="127"/>
      <c r="W36" s="126"/>
      <c r="X36" s="105"/>
      <c r="AA36" s="167"/>
      <c r="AB36" s="162"/>
      <c r="AC36" s="162"/>
      <c r="AD36" s="97"/>
      <c r="AH36" s="167"/>
      <c r="AI36" s="162"/>
      <c r="AJ36" s="162"/>
      <c r="AK36" s="97"/>
      <c r="AO36" s="167"/>
    </row>
    <row r="37" spans="1:41" s="96" customFormat="1">
      <c r="C37" s="97"/>
      <c r="E37" s="162"/>
      <c r="F37" s="126"/>
      <c r="G37" s="105"/>
      <c r="H37" s="105"/>
      <c r="I37" s="105"/>
      <c r="J37" s="105"/>
      <c r="K37" s="126"/>
      <c r="L37" s="105"/>
      <c r="M37" s="105"/>
      <c r="N37" s="105"/>
      <c r="O37" s="127"/>
      <c r="P37" s="161"/>
      <c r="Q37" s="161"/>
      <c r="R37" s="126"/>
      <c r="S37" s="105"/>
      <c r="T37" s="105"/>
      <c r="U37" s="105"/>
      <c r="V37" s="127"/>
      <c r="W37" s="126"/>
      <c r="X37" s="105"/>
      <c r="AA37" s="167"/>
      <c r="AB37" s="162"/>
      <c r="AC37" s="162"/>
      <c r="AD37" s="97"/>
      <c r="AH37" s="167"/>
      <c r="AI37" s="162"/>
      <c r="AJ37" s="162"/>
      <c r="AK37" s="97"/>
      <c r="AO37" s="167"/>
    </row>
    <row r="38" spans="1:41" s="96" customFormat="1">
      <c r="B38" s="96" t="s">
        <v>149</v>
      </c>
      <c r="C38" s="97"/>
      <c r="E38" s="171"/>
      <c r="F38" s="128"/>
      <c r="G38" s="104"/>
      <c r="H38" s="105"/>
      <c r="I38" s="105"/>
      <c r="J38" s="105"/>
      <c r="K38" s="126"/>
      <c r="L38" s="105"/>
      <c r="M38" s="105"/>
      <c r="N38" s="105"/>
      <c r="O38" s="127"/>
      <c r="P38" s="161"/>
      <c r="Q38" s="161"/>
      <c r="R38" s="126"/>
      <c r="S38" s="105"/>
      <c r="T38" s="105"/>
      <c r="U38" s="105"/>
      <c r="V38" s="127"/>
      <c r="W38" s="126"/>
      <c r="X38" s="105"/>
      <c r="AA38" s="167"/>
      <c r="AB38" s="162"/>
      <c r="AC38" s="162"/>
      <c r="AD38" s="97"/>
      <c r="AH38" s="167"/>
      <c r="AI38" s="162"/>
      <c r="AJ38" s="162"/>
      <c r="AK38" s="97"/>
      <c r="AO38" s="167"/>
    </row>
    <row r="39" spans="1:41" s="96" customFormat="1">
      <c r="C39" s="97"/>
      <c r="E39" s="162"/>
      <c r="F39" s="126"/>
      <c r="G39" s="105"/>
      <c r="H39" s="105"/>
      <c r="I39" s="105"/>
      <c r="J39" s="105"/>
      <c r="K39" s="126"/>
      <c r="L39" s="105"/>
      <c r="M39" s="105"/>
      <c r="N39" s="105"/>
      <c r="O39" s="127"/>
      <c r="P39" s="161"/>
      <c r="Q39" s="161"/>
      <c r="R39" s="126"/>
      <c r="S39" s="105"/>
      <c r="T39" s="105"/>
      <c r="U39" s="105"/>
      <c r="V39" s="127"/>
      <c r="W39" s="126"/>
      <c r="X39" s="105"/>
      <c r="AA39" s="167"/>
      <c r="AB39" s="162"/>
      <c r="AC39" s="162"/>
      <c r="AD39" s="97"/>
      <c r="AH39" s="167"/>
      <c r="AI39" s="162"/>
      <c r="AJ39" s="162"/>
      <c r="AK39" s="97"/>
      <c r="AO39" s="167"/>
    </row>
    <row r="40" spans="1:41" s="96" customFormat="1">
      <c r="C40" s="97"/>
      <c r="E40" s="171"/>
      <c r="F40" s="128"/>
      <c r="G40" s="104"/>
      <c r="H40" s="105"/>
      <c r="I40" s="105"/>
      <c r="J40" s="105"/>
      <c r="K40" s="126"/>
      <c r="L40" s="105"/>
      <c r="M40" s="105"/>
      <c r="N40" s="105"/>
      <c r="O40" s="127"/>
      <c r="P40" s="161"/>
      <c r="Q40" s="161"/>
      <c r="R40" s="126"/>
      <c r="S40" s="105"/>
      <c r="T40" s="105"/>
      <c r="U40" s="105"/>
      <c r="V40" s="127"/>
      <c r="W40" s="126"/>
      <c r="X40" s="105"/>
      <c r="AA40" s="167"/>
      <c r="AB40" s="162"/>
      <c r="AC40" s="162"/>
      <c r="AD40" s="97"/>
      <c r="AH40" s="167"/>
      <c r="AI40" s="162"/>
      <c r="AJ40" s="162"/>
      <c r="AK40" s="97"/>
      <c r="AO40" s="167"/>
    </row>
    <row r="41" spans="1:41" s="96" customFormat="1">
      <c r="E41" s="162"/>
      <c r="F41" s="126"/>
      <c r="G41" s="105"/>
      <c r="H41" s="105"/>
      <c r="I41" s="105"/>
      <c r="J41" s="105"/>
      <c r="K41" s="126"/>
      <c r="L41" s="105"/>
      <c r="M41" s="105"/>
      <c r="N41" s="105"/>
      <c r="O41" s="127"/>
      <c r="P41" s="161"/>
      <c r="Q41" s="161"/>
      <c r="R41" s="126"/>
      <c r="S41" s="105"/>
      <c r="T41" s="105"/>
      <c r="U41" s="105"/>
      <c r="V41" s="127"/>
      <c r="W41" s="126"/>
      <c r="X41" s="105"/>
      <c r="AA41" s="167"/>
      <c r="AB41" s="162"/>
      <c r="AC41" s="162"/>
      <c r="AD41" s="97"/>
      <c r="AH41" s="167"/>
      <c r="AI41" s="162"/>
      <c r="AJ41" s="162"/>
      <c r="AK41" s="97"/>
      <c r="AO41" s="167"/>
    </row>
    <row r="42" spans="1:41" s="96" customFormat="1">
      <c r="A42" s="98" t="s">
        <v>136</v>
      </c>
      <c r="B42" s="99"/>
      <c r="C42" s="99"/>
      <c r="D42" s="99"/>
      <c r="E42" s="164"/>
      <c r="F42" s="129">
        <f>F38+F40</f>
        <v>0</v>
      </c>
      <c r="G42" s="100">
        <f>G38+G40</f>
        <v>0</v>
      </c>
      <c r="H42" s="101"/>
      <c r="I42" s="101"/>
      <c r="J42" s="101"/>
      <c r="K42" s="157"/>
      <c r="L42" s="101"/>
      <c r="M42" s="101"/>
      <c r="N42" s="101"/>
      <c r="O42" s="102"/>
      <c r="P42" s="163"/>
      <c r="Q42" s="163"/>
      <c r="R42" s="157">
        <f>SUM(R32:R41)</f>
        <v>0</v>
      </c>
      <c r="S42" s="101"/>
      <c r="T42" s="101"/>
      <c r="U42" s="101"/>
      <c r="V42" s="102"/>
      <c r="W42" s="168">
        <f>SUM(W32:W41)</f>
        <v>0</v>
      </c>
      <c r="X42" s="101"/>
      <c r="Y42" s="99"/>
      <c r="Z42" s="99"/>
      <c r="AA42" s="103"/>
      <c r="AB42" s="162"/>
      <c r="AC42" s="162"/>
      <c r="AD42" s="97"/>
      <c r="AH42" s="167"/>
      <c r="AI42" s="162"/>
      <c r="AJ42" s="162"/>
      <c r="AK42" s="97"/>
      <c r="AO42" s="167"/>
    </row>
    <row r="43" spans="1:41">
      <c r="E43" s="162"/>
      <c r="F43" s="63"/>
      <c r="G43" s="65"/>
      <c r="H43" s="65"/>
      <c r="I43" s="65"/>
      <c r="J43" s="65"/>
      <c r="K43" s="63"/>
      <c r="L43" s="65"/>
      <c r="M43" s="65"/>
      <c r="N43" s="65"/>
      <c r="O43" s="64"/>
      <c r="P43" s="161"/>
      <c r="Q43" s="161"/>
      <c r="R43" s="63"/>
      <c r="S43" s="65"/>
      <c r="T43" s="65"/>
      <c r="U43" s="65"/>
      <c r="V43" s="64"/>
      <c r="W43" s="63"/>
      <c r="X43" s="65"/>
      <c r="AA43" s="62"/>
      <c r="AB43" s="162"/>
      <c r="AC43" s="162"/>
      <c r="AD43" s="61"/>
      <c r="AH43" s="62"/>
      <c r="AI43" s="162"/>
      <c r="AJ43" s="162"/>
      <c r="AK43" s="61"/>
      <c r="AO43" s="62"/>
    </row>
    <row r="44" spans="1:41" s="107" customFormat="1">
      <c r="A44" s="107" t="s">
        <v>105</v>
      </c>
      <c r="E44" s="162"/>
      <c r="F44" s="130"/>
      <c r="G44" s="131"/>
      <c r="H44" s="131"/>
      <c r="I44" s="131"/>
      <c r="J44" s="131"/>
      <c r="K44" s="130"/>
      <c r="L44" s="131"/>
      <c r="M44" s="131"/>
      <c r="N44" s="131"/>
      <c r="O44" s="132"/>
      <c r="P44" s="161"/>
      <c r="Q44" s="161"/>
      <c r="R44" s="130"/>
      <c r="S44" s="131"/>
      <c r="T44" s="131"/>
      <c r="U44" s="131"/>
      <c r="V44" s="132"/>
      <c r="W44" s="130"/>
      <c r="X44" s="131"/>
      <c r="AA44" s="169"/>
      <c r="AB44" s="162"/>
      <c r="AC44" s="162"/>
      <c r="AD44" s="108"/>
      <c r="AH44" s="169"/>
      <c r="AI44" s="162"/>
      <c r="AJ44" s="162"/>
      <c r="AK44" s="108"/>
      <c r="AO44" s="169"/>
    </row>
    <row r="45" spans="1:41" s="107" customFormat="1">
      <c r="B45" s="107" t="s">
        <v>37</v>
      </c>
      <c r="C45" s="107" t="s">
        <v>0</v>
      </c>
      <c r="E45" s="162"/>
      <c r="F45" s="130">
        <v>0</v>
      </c>
      <c r="G45" s="131">
        <v>0</v>
      </c>
      <c r="H45" s="131"/>
      <c r="I45" s="131"/>
      <c r="J45" s="131"/>
      <c r="K45" s="130"/>
      <c r="L45" s="131"/>
      <c r="M45" s="131"/>
      <c r="N45" s="131"/>
      <c r="O45" s="132"/>
      <c r="P45" s="161"/>
      <c r="Q45" s="161"/>
      <c r="R45" s="130">
        <v>1</v>
      </c>
      <c r="S45" s="131"/>
      <c r="T45" s="131"/>
      <c r="U45" s="131"/>
      <c r="V45" s="132"/>
      <c r="W45" s="130">
        <v>0.75</v>
      </c>
      <c r="X45" s="131"/>
      <c r="AA45" s="169"/>
      <c r="AB45" s="162"/>
      <c r="AC45" s="162"/>
      <c r="AD45" s="108"/>
      <c r="AH45" s="169"/>
      <c r="AI45" s="162"/>
      <c r="AJ45" s="162"/>
      <c r="AK45" s="108"/>
      <c r="AO45" s="169"/>
    </row>
    <row r="46" spans="1:41" s="107" customFormat="1">
      <c r="C46" s="108" t="s">
        <v>134</v>
      </c>
      <c r="D46" s="109">
        <v>350000</v>
      </c>
      <c r="E46" s="162"/>
      <c r="F46" s="133">
        <f>F45*D46</f>
        <v>0</v>
      </c>
      <c r="G46" s="134">
        <f>G45*D46*G8</f>
        <v>0</v>
      </c>
      <c r="H46" s="131"/>
      <c r="I46" s="131"/>
      <c r="J46" s="131"/>
      <c r="K46" s="130"/>
      <c r="L46" s="131"/>
      <c r="M46" s="131"/>
      <c r="N46" s="131"/>
      <c r="O46" s="132"/>
      <c r="P46" s="161"/>
      <c r="Q46" s="161"/>
      <c r="R46" s="130"/>
      <c r="S46" s="131"/>
      <c r="T46" s="131"/>
      <c r="U46" s="131"/>
      <c r="V46" s="132"/>
      <c r="W46" s="130"/>
      <c r="X46" s="131"/>
      <c r="AA46" s="169"/>
      <c r="AB46" s="162"/>
      <c r="AC46" s="162"/>
      <c r="AD46" s="108"/>
      <c r="AH46" s="169"/>
      <c r="AI46" s="162"/>
      <c r="AJ46" s="162"/>
      <c r="AK46" s="108"/>
      <c r="AO46" s="169"/>
    </row>
    <row r="47" spans="1:41" s="107" customFormat="1">
      <c r="E47" s="171"/>
      <c r="F47" s="133"/>
      <c r="G47" s="134"/>
      <c r="H47" s="131"/>
      <c r="I47" s="131"/>
      <c r="J47" s="131"/>
      <c r="K47" s="130"/>
      <c r="L47" s="131"/>
      <c r="M47" s="131"/>
      <c r="N47" s="131"/>
      <c r="O47" s="132"/>
      <c r="P47" s="161"/>
      <c r="Q47" s="161"/>
      <c r="R47" s="130"/>
      <c r="S47" s="131"/>
      <c r="T47" s="131"/>
      <c r="U47" s="131"/>
      <c r="V47" s="132"/>
      <c r="W47" s="130"/>
      <c r="X47" s="131"/>
      <c r="AA47" s="169"/>
      <c r="AB47" s="162"/>
      <c r="AC47" s="162"/>
      <c r="AD47" s="108"/>
      <c r="AH47" s="169"/>
      <c r="AI47" s="162"/>
      <c r="AJ47" s="162"/>
      <c r="AK47" s="108"/>
      <c r="AO47" s="169"/>
    </row>
    <row r="48" spans="1:41" s="107" customFormat="1">
      <c r="A48" s="110" t="s">
        <v>136</v>
      </c>
      <c r="B48" s="111"/>
      <c r="C48" s="111"/>
      <c r="D48" s="111"/>
      <c r="E48" s="164"/>
      <c r="F48" s="135">
        <f>F46</f>
        <v>0</v>
      </c>
      <c r="G48" s="112">
        <f>G46</f>
        <v>0</v>
      </c>
      <c r="H48" s="113"/>
      <c r="I48" s="113"/>
      <c r="J48" s="113"/>
      <c r="K48" s="158"/>
      <c r="L48" s="113"/>
      <c r="M48" s="113"/>
      <c r="N48" s="113"/>
      <c r="O48" s="114"/>
      <c r="P48" s="163"/>
      <c r="Q48" s="163"/>
      <c r="R48" s="158">
        <f>SUM(R38:R47)</f>
        <v>1</v>
      </c>
      <c r="S48" s="113"/>
      <c r="T48" s="113"/>
      <c r="U48" s="113"/>
      <c r="V48" s="114"/>
      <c r="W48" s="170">
        <f>SUM(W38:W47)</f>
        <v>0.75</v>
      </c>
      <c r="X48" s="113"/>
      <c r="Y48" s="111"/>
      <c r="Z48" s="111"/>
      <c r="AA48" s="115"/>
      <c r="AB48" s="162"/>
      <c r="AC48" s="162"/>
      <c r="AD48" s="108"/>
      <c r="AH48" s="169"/>
      <c r="AI48" s="162"/>
      <c r="AJ48" s="162"/>
      <c r="AK48" s="108"/>
      <c r="AO48" s="169"/>
    </row>
    <row r="49" spans="1:41">
      <c r="E49" s="162"/>
      <c r="F49" s="136"/>
      <c r="G49" s="106"/>
      <c r="H49" s="65"/>
      <c r="I49" s="65"/>
      <c r="J49" s="65"/>
      <c r="K49" s="63"/>
      <c r="L49" s="65"/>
      <c r="M49" s="65"/>
      <c r="N49" s="65"/>
      <c r="O49" s="64"/>
      <c r="P49" s="161"/>
      <c r="Q49" s="161"/>
      <c r="R49" s="63"/>
      <c r="S49" s="65"/>
      <c r="T49" s="65"/>
      <c r="U49" s="65"/>
      <c r="V49" s="64"/>
      <c r="W49" s="63"/>
      <c r="X49" s="65"/>
      <c r="AA49" s="62"/>
      <c r="AB49" s="162"/>
      <c r="AC49" s="162"/>
      <c r="AD49" s="61"/>
      <c r="AH49" s="62"/>
      <c r="AI49" s="162"/>
      <c r="AJ49" s="162"/>
      <c r="AK49" s="61"/>
      <c r="AO49" s="62"/>
    </row>
    <row r="50" spans="1:41" s="116" customFormat="1">
      <c r="A50" s="116" t="s">
        <v>113</v>
      </c>
      <c r="E50" s="162"/>
      <c r="F50" s="137"/>
      <c r="K50" s="137"/>
      <c r="O50" s="138"/>
      <c r="P50" s="162"/>
      <c r="Q50" s="162"/>
      <c r="R50" s="137"/>
      <c r="V50" s="138"/>
      <c r="W50" s="137"/>
      <c r="AA50" s="138"/>
      <c r="AB50" s="162"/>
      <c r="AC50" s="162"/>
      <c r="AD50" s="137"/>
      <c r="AH50" s="138"/>
      <c r="AI50" s="162"/>
      <c r="AJ50" s="162"/>
      <c r="AK50" s="137"/>
      <c r="AO50" s="138"/>
    </row>
    <row r="51" spans="1:41" s="116" customFormat="1">
      <c r="B51" s="116" t="s">
        <v>152</v>
      </c>
      <c r="E51" s="172"/>
      <c r="F51" s="139"/>
      <c r="G51" s="140"/>
      <c r="H51" s="140"/>
      <c r="I51" s="140"/>
      <c r="J51" s="140"/>
      <c r="K51" s="139"/>
      <c r="L51" s="140"/>
      <c r="M51" s="140"/>
      <c r="N51" s="140"/>
      <c r="O51" s="141"/>
      <c r="P51" s="162"/>
      <c r="Q51" s="162"/>
      <c r="R51" s="137"/>
      <c r="V51" s="138"/>
      <c r="W51" s="137"/>
      <c r="AA51" s="138"/>
      <c r="AB51" s="162"/>
      <c r="AC51" s="162"/>
      <c r="AD51" s="137"/>
      <c r="AH51" s="138"/>
      <c r="AI51" s="162"/>
      <c r="AJ51" s="162"/>
      <c r="AK51" s="137"/>
      <c r="AO51" s="138"/>
    </row>
    <row r="52" spans="1:41" s="116" customFormat="1">
      <c r="E52" s="172"/>
      <c r="F52" s="139"/>
      <c r="G52" s="140"/>
      <c r="H52" s="140"/>
      <c r="I52" s="140"/>
      <c r="J52" s="140"/>
      <c r="K52" s="139"/>
      <c r="L52" s="140"/>
      <c r="M52" s="140"/>
      <c r="N52" s="140"/>
      <c r="O52" s="141"/>
      <c r="P52" s="162"/>
      <c r="Q52" s="162"/>
      <c r="R52" s="137"/>
      <c r="V52" s="138"/>
      <c r="W52" s="137"/>
      <c r="AA52" s="138"/>
      <c r="AB52" s="162"/>
      <c r="AC52" s="162"/>
      <c r="AD52" s="137"/>
      <c r="AH52" s="138"/>
      <c r="AI52" s="162"/>
      <c r="AJ52" s="162"/>
      <c r="AK52" s="137"/>
      <c r="AO52" s="138"/>
    </row>
    <row r="53" spans="1:41" s="116" customFormat="1">
      <c r="E53" s="172"/>
      <c r="F53" s="139"/>
      <c r="G53" s="140"/>
      <c r="H53" s="140"/>
      <c r="I53" s="140"/>
      <c r="J53" s="140"/>
      <c r="K53" s="139"/>
      <c r="L53" s="140"/>
      <c r="M53" s="140"/>
      <c r="N53" s="140"/>
      <c r="O53" s="141"/>
      <c r="P53" s="162"/>
      <c r="Q53" s="162"/>
      <c r="R53" s="137"/>
      <c r="V53" s="138"/>
      <c r="W53" s="137"/>
      <c r="AA53" s="138"/>
      <c r="AB53" s="162"/>
      <c r="AC53" s="162"/>
      <c r="AD53" s="137"/>
      <c r="AH53" s="138"/>
      <c r="AI53" s="162"/>
      <c r="AJ53" s="162"/>
      <c r="AK53" s="137"/>
      <c r="AO53" s="138"/>
    </row>
    <row r="54" spans="1:41" s="116" customFormat="1">
      <c r="E54" s="172"/>
      <c r="F54" s="139"/>
      <c r="G54" s="140"/>
      <c r="H54" s="140"/>
      <c r="I54" s="140"/>
      <c r="J54" s="140"/>
      <c r="K54" s="139"/>
      <c r="L54" s="140"/>
      <c r="M54" s="140"/>
      <c r="N54" s="140"/>
      <c r="O54" s="141"/>
      <c r="P54" s="162"/>
      <c r="Q54" s="162"/>
      <c r="R54" s="137"/>
      <c r="V54" s="138"/>
      <c r="W54" s="137"/>
      <c r="AA54" s="138"/>
      <c r="AB54" s="162"/>
      <c r="AC54" s="162"/>
      <c r="AD54" s="137"/>
      <c r="AH54" s="138"/>
      <c r="AI54" s="162"/>
      <c r="AJ54" s="162"/>
      <c r="AK54" s="137"/>
      <c r="AO54" s="138"/>
    </row>
    <row r="55" spans="1:41" s="116" customFormat="1">
      <c r="A55" s="116" t="s">
        <v>136</v>
      </c>
      <c r="E55" s="162"/>
      <c r="F55" s="139">
        <f>SUM(F51:F54)</f>
        <v>0</v>
      </c>
      <c r="G55" s="140">
        <f t="shared" ref="G55:O55" si="0">SUM(G51:G54)</f>
        <v>0</v>
      </c>
      <c r="H55" s="140">
        <f t="shared" si="0"/>
        <v>0</v>
      </c>
      <c r="I55" s="140">
        <f t="shared" si="0"/>
        <v>0</v>
      </c>
      <c r="J55" s="140">
        <f t="shared" si="0"/>
        <v>0</v>
      </c>
      <c r="K55" s="139">
        <f t="shared" si="0"/>
        <v>0</v>
      </c>
      <c r="L55" s="140">
        <f t="shared" si="0"/>
        <v>0</v>
      </c>
      <c r="M55" s="140">
        <f t="shared" si="0"/>
        <v>0</v>
      </c>
      <c r="N55" s="140">
        <f t="shared" si="0"/>
        <v>0</v>
      </c>
      <c r="O55" s="141">
        <f t="shared" si="0"/>
        <v>0</v>
      </c>
      <c r="P55" s="162"/>
      <c r="Q55" s="162"/>
      <c r="R55" s="137"/>
      <c r="V55" s="138"/>
      <c r="W55" s="137"/>
      <c r="AA55" s="138"/>
      <c r="AB55" s="162"/>
      <c r="AC55" s="162"/>
      <c r="AD55" s="137"/>
      <c r="AH55" s="138"/>
      <c r="AI55" s="162"/>
      <c r="AJ55" s="162"/>
      <c r="AK55" s="137"/>
      <c r="AO55" s="138"/>
    </row>
    <row r="56" spans="1:41">
      <c r="E56" s="162"/>
      <c r="F56" s="66"/>
      <c r="G56" s="46"/>
      <c r="H56" s="46"/>
      <c r="I56" s="46"/>
      <c r="J56" s="46"/>
      <c r="K56" s="66"/>
      <c r="L56" s="46"/>
      <c r="M56" s="46"/>
      <c r="N56" s="46"/>
      <c r="O56" s="142"/>
      <c r="P56" s="162"/>
      <c r="Q56" s="162"/>
      <c r="R56" s="61"/>
      <c r="V56" s="62"/>
      <c r="W56" s="61"/>
      <c r="AA56" s="62"/>
      <c r="AB56" s="162"/>
      <c r="AC56" s="162"/>
      <c r="AD56" s="61"/>
      <c r="AH56" s="62"/>
      <c r="AI56" s="162"/>
      <c r="AJ56" s="162"/>
      <c r="AK56" s="61"/>
      <c r="AO56" s="62"/>
    </row>
    <row r="57" spans="1:41">
      <c r="A57" s="314" t="s">
        <v>184</v>
      </c>
      <c r="E57" s="162"/>
      <c r="F57" s="61"/>
      <c r="K57" s="61"/>
      <c r="O57" s="62"/>
      <c r="P57" s="162"/>
      <c r="Q57" s="162"/>
      <c r="R57" s="61"/>
      <c r="V57" s="62"/>
      <c r="W57" s="61"/>
      <c r="AA57" s="62"/>
      <c r="AB57" s="162"/>
      <c r="AC57" s="162"/>
      <c r="AD57" s="61"/>
      <c r="AH57" s="62"/>
      <c r="AI57" s="162"/>
      <c r="AJ57" s="162"/>
      <c r="AK57" s="61"/>
      <c r="AO57" s="62"/>
    </row>
    <row r="58" spans="1:41">
      <c r="A58" s="315"/>
      <c r="B58" t="s">
        <v>153</v>
      </c>
      <c r="C58" t="s">
        <v>132</v>
      </c>
      <c r="D58" s="35">
        <v>100</v>
      </c>
      <c r="E58" s="162"/>
      <c r="F58" s="66">
        <f>$D$58*F5*F9</f>
        <v>600</v>
      </c>
      <c r="G58" s="66">
        <f>$D$58*G5*G9</f>
        <v>525</v>
      </c>
      <c r="H58" s="66">
        <f>$D$58*H5*H9</f>
        <v>530</v>
      </c>
      <c r="I58" s="66">
        <f>$D$58*I5*I9</f>
        <v>321</v>
      </c>
      <c r="J58" s="66">
        <f>$D$58*J5*J9</f>
        <v>327</v>
      </c>
      <c r="K58" s="61"/>
      <c r="O58" s="62"/>
      <c r="P58" s="162"/>
      <c r="Q58" s="162"/>
      <c r="R58" s="61"/>
      <c r="V58" s="62"/>
      <c r="W58" s="61"/>
      <c r="AA58" s="62"/>
      <c r="AB58" s="162"/>
      <c r="AC58" s="162"/>
      <c r="AD58" s="61"/>
      <c r="AH58" s="62"/>
      <c r="AI58" s="162"/>
      <c r="AJ58" s="162"/>
      <c r="AK58" s="61"/>
      <c r="AO58" s="62"/>
    </row>
    <row r="59" spans="1:41">
      <c r="A59" s="315"/>
      <c r="B59" t="s">
        <v>154</v>
      </c>
      <c r="C59" t="s">
        <v>132</v>
      </c>
      <c r="D59" s="35">
        <v>2000</v>
      </c>
      <c r="E59" s="162"/>
      <c r="F59" s="66">
        <f>$D$59*F5*F9</f>
        <v>12000</v>
      </c>
      <c r="G59" s="66">
        <f>$D$59*G5*G9</f>
        <v>10500</v>
      </c>
      <c r="H59" s="66">
        <f>$D$59*H5*H9</f>
        <v>10600</v>
      </c>
      <c r="I59" s="66">
        <f>$D$59*I5*I9</f>
        <v>6420</v>
      </c>
      <c r="J59" s="66">
        <f>$D$59*J5*J9</f>
        <v>6540.0000000000009</v>
      </c>
      <c r="K59" s="61"/>
      <c r="O59" s="62"/>
      <c r="P59" s="162"/>
      <c r="Q59" s="162"/>
      <c r="R59" s="61"/>
      <c r="V59" s="62"/>
      <c r="W59" s="61"/>
      <c r="AA59" s="62"/>
      <c r="AB59" s="162"/>
      <c r="AC59" s="162"/>
      <c r="AD59" s="61"/>
      <c r="AH59" s="62"/>
      <c r="AI59" s="162"/>
      <c r="AJ59" s="162"/>
      <c r="AK59" s="61"/>
      <c r="AO59" s="62"/>
    </row>
    <row r="60" spans="1:41">
      <c r="A60" s="315"/>
      <c r="B60" t="s">
        <v>143</v>
      </c>
      <c r="C60" t="s">
        <v>145</v>
      </c>
      <c r="D60" s="35">
        <v>15000</v>
      </c>
      <c r="E60" s="162"/>
      <c r="F60" s="66">
        <f>D60*F9</f>
        <v>15000</v>
      </c>
      <c r="G60" s="46">
        <f>F60*G9</f>
        <v>15750</v>
      </c>
      <c r="H60" s="46">
        <f>G60*H9</f>
        <v>16695</v>
      </c>
      <c r="I60" s="46">
        <f>H60*I9</f>
        <v>17863.650000000001</v>
      </c>
      <c r="J60" s="46">
        <f>I60*J9</f>
        <v>19471.378500000003</v>
      </c>
      <c r="K60" s="61"/>
      <c r="O60" s="62"/>
      <c r="P60" s="162"/>
      <c r="Q60" s="162"/>
      <c r="R60" s="61"/>
      <c r="V60" s="62"/>
      <c r="W60" s="61"/>
      <c r="AA60" s="62"/>
      <c r="AB60" s="162"/>
      <c r="AC60" s="162"/>
      <c r="AD60" s="61"/>
      <c r="AH60" s="62"/>
      <c r="AI60" s="162"/>
      <c r="AJ60" s="162"/>
      <c r="AK60" s="61"/>
      <c r="AO60" s="62"/>
    </row>
    <row r="61" spans="1:41">
      <c r="A61" s="315"/>
      <c r="B61" t="s">
        <v>156</v>
      </c>
      <c r="C61" t="s">
        <v>157</v>
      </c>
      <c r="D61" s="35">
        <f>120*5500</f>
        <v>660000</v>
      </c>
      <c r="E61" s="172"/>
      <c r="F61" s="66">
        <f>D61</f>
        <v>660000</v>
      </c>
      <c r="G61" s="46"/>
      <c r="H61" s="46"/>
      <c r="I61" s="46"/>
      <c r="J61" s="46"/>
      <c r="K61" s="61"/>
      <c r="O61" s="62"/>
      <c r="P61" s="162"/>
      <c r="Q61" s="162"/>
      <c r="R61" s="61"/>
      <c r="V61" s="62"/>
      <c r="W61" s="61"/>
      <c r="AA61" s="62"/>
      <c r="AB61" s="162"/>
      <c r="AC61" s="162"/>
      <c r="AD61" s="61"/>
      <c r="AH61" s="62"/>
      <c r="AI61" s="162"/>
      <c r="AJ61" s="162"/>
      <c r="AK61" s="61"/>
      <c r="AO61" s="62"/>
    </row>
    <row r="62" spans="1:41">
      <c r="E62" s="162"/>
      <c r="F62" s="61"/>
      <c r="K62" s="61"/>
      <c r="O62" s="62"/>
      <c r="P62" s="162"/>
      <c r="Q62" s="162"/>
      <c r="R62" s="61"/>
      <c r="V62" s="62"/>
      <c r="W62" s="61"/>
      <c r="AA62" s="62"/>
      <c r="AB62" s="162"/>
      <c r="AC62" s="162"/>
      <c r="AD62" s="61"/>
      <c r="AH62" s="62"/>
      <c r="AI62" s="162"/>
      <c r="AJ62" s="162"/>
      <c r="AK62" s="61"/>
      <c r="AO62" s="62"/>
    </row>
    <row r="63" spans="1:41">
      <c r="E63" s="162"/>
      <c r="F63" s="61"/>
      <c r="K63" s="61"/>
      <c r="O63" s="62"/>
      <c r="P63" s="162"/>
      <c r="Q63" s="162"/>
      <c r="R63" s="61"/>
      <c r="V63" s="62"/>
      <c r="W63" s="61"/>
      <c r="AA63" s="62"/>
      <c r="AB63" s="162"/>
      <c r="AC63" s="162"/>
      <c r="AD63" s="61"/>
      <c r="AH63" s="62"/>
      <c r="AI63" s="162"/>
      <c r="AJ63" s="162"/>
      <c r="AK63" s="61"/>
      <c r="AO63" s="62"/>
    </row>
    <row r="64" spans="1:41" s="60" customFormat="1">
      <c r="A64" s="59" t="s">
        <v>136</v>
      </c>
      <c r="E64" s="164"/>
      <c r="F64" s="143">
        <f>SUM(F58:F61)</f>
        <v>687600</v>
      </c>
      <c r="G64" s="117">
        <f>SUM(G58:G61)</f>
        <v>26775</v>
      </c>
      <c r="H64" s="117">
        <f>SUM(H58:H61)</f>
        <v>27825</v>
      </c>
      <c r="I64" s="117">
        <f>SUM(I58:I61)</f>
        <v>24604.65</v>
      </c>
      <c r="J64" s="117">
        <f>SUM(J58:J61)</f>
        <v>26338.378500000003</v>
      </c>
      <c r="K64" s="59"/>
      <c r="O64" s="159"/>
      <c r="P64" s="164"/>
      <c r="Q64" s="164"/>
      <c r="R64" s="59"/>
      <c r="V64" s="159"/>
      <c r="W64" s="59"/>
      <c r="AA64" s="159"/>
      <c r="AB64" s="164"/>
      <c r="AC64" s="164"/>
      <c r="AD64" s="59"/>
      <c r="AH64" s="159"/>
      <c r="AI64" s="164"/>
      <c r="AJ64" s="164"/>
      <c r="AK64" s="59"/>
      <c r="AO64" s="159"/>
    </row>
    <row r="65" spans="1:41">
      <c r="E65" s="162"/>
      <c r="F65" s="61"/>
      <c r="K65" s="61"/>
      <c r="O65" s="62"/>
      <c r="P65" s="162"/>
      <c r="Q65" s="162"/>
      <c r="R65" s="61"/>
      <c r="V65" s="62"/>
      <c r="W65" s="61"/>
      <c r="AA65" s="62"/>
      <c r="AB65" s="162"/>
      <c r="AC65" s="162"/>
      <c r="AD65" s="61"/>
      <c r="AH65" s="62"/>
      <c r="AI65" s="162"/>
      <c r="AJ65" s="162"/>
      <c r="AK65" s="61"/>
      <c r="AO65" s="62"/>
    </row>
    <row r="66" spans="1:41">
      <c r="E66" s="162"/>
      <c r="F66" s="61"/>
      <c r="K66" s="61"/>
      <c r="O66" s="62"/>
      <c r="P66" s="162"/>
      <c r="Q66" s="162"/>
      <c r="R66" s="61"/>
      <c r="V66" s="62"/>
      <c r="W66" s="61"/>
      <c r="AA66" s="62"/>
      <c r="AB66" s="162"/>
      <c r="AC66" s="162"/>
      <c r="AD66" s="61"/>
      <c r="AH66" s="62"/>
      <c r="AI66" s="162"/>
      <c r="AJ66" s="162"/>
      <c r="AK66" s="61"/>
      <c r="AO66" s="62"/>
    </row>
    <row r="67" spans="1:41">
      <c r="A67" t="s">
        <v>129</v>
      </c>
      <c r="E67" s="162"/>
      <c r="F67" s="61"/>
      <c r="K67" s="61"/>
      <c r="O67" s="62"/>
      <c r="P67" s="162"/>
      <c r="Q67" s="162"/>
      <c r="R67" s="61"/>
      <c r="V67" s="62"/>
      <c r="W67" s="61"/>
      <c r="AA67" s="62"/>
      <c r="AB67" s="162"/>
      <c r="AC67" s="162"/>
      <c r="AD67" s="61"/>
      <c r="AH67" s="62"/>
      <c r="AI67" s="162"/>
      <c r="AJ67" s="162"/>
      <c r="AK67" s="61"/>
      <c r="AO67" s="62"/>
    </row>
    <row r="68" spans="1:41" ht="15" thickBot="1">
      <c r="C68" t="s">
        <v>146</v>
      </c>
      <c r="D68">
        <v>1E-3</v>
      </c>
      <c r="E68" s="162"/>
      <c r="F68" s="61"/>
      <c r="K68" s="61"/>
      <c r="O68" s="62"/>
      <c r="P68" s="162"/>
      <c r="Q68" s="162"/>
      <c r="R68" s="61"/>
      <c r="V68" s="62"/>
      <c r="W68" s="61"/>
      <c r="AA68" s="62"/>
      <c r="AB68" s="162"/>
      <c r="AC68" s="162"/>
      <c r="AD68" s="61"/>
      <c r="AH68" s="62"/>
      <c r="AI68" s="162"/>
      <c r="AJ68" s="162"/>
      <c r="AK68" s="61"/>
      <c r="AO68" s="62"/>
    </row>
    <row r="69" spans="1:41" ht="15" thickBot="1">
      <c r="C69" t="s">
        <v>147</v>
      </c>
      <c r="D69" t="s">
        <v>110</v>
      </c>
      <c r="E69" s="162"/>
      <c r="F69" s="149">
        <f>F64+F48+F42+F34+F17</f>
        <v>742600</v>
      </c>
      <c r="G69" s="150">
        <f>G64+G48+G42+G34+G17</f>
        <v>310025</v>
      </c>
      <c r="H69" s="150">
        <f>H64+H48+H42+H34+H17</f>
        <v>27825</v>
      </c>
      <c r="I69" s="150">
        <f>I64+I48+I42+I34+I17</f>
        <v>24604.65</v>
      </c>
      <c r="J69" s="150">
        <f>J64+J48+J42+J34+J17</f>
        <v>26338.378500000003</v>
      </c>
      <c r="K69" s="174"/>
      <c r="L69" s="175"/>
      <c r="M69" s="175"/>
      <c r="N69" s="175"/>
      <c r="O69" s="176"/>
      <c r="P69" s="162"/>
      <c r="Q69" s="162"/>
      <c r="R69" s="174"/>
      <c r="S69" s="175"/>
      <c r="T69" s="175"/>
      <c r="U69" s="175"/>
      <c r="V69" s="176"/>
      <c r="W69" s="174"/>
      <c r="X69" s="175"/>
      <c r="Y69" s="175"/>
      <c r="Z69" s="175"/>
      <c r="AA69" s="176"/>
      <c r="AB69" s="162"/>
      <c r="AC69" s="162"/>
      <c r="AD69" s="174"/>
      <c r="AE69" s="175"/>
      <c r="AF69" s="175"/>
      <c r="AG69" s="175"/>
      <c r="AH69" s="176"/>
      <c r="AI69" s="162"/>
      <c r="AJ69" s="162"/>
      <c r="AK69" s="174"/>
      <c r="AL69" s="175"/>
      <c r="AM69" s="175"/>
      <c r="AN69" s="175"/>
      <c r="AO69" s="176"/>
    </row>
    <row r="70" spans="1:41" ht="15" thickBot="1">
      <c r="E70" s="162"/>
      <c r="F70" s="66">
        <f>F69*$D$68</f>
        <v>742.6</v>
      </c>
      <c r="G70" s="46">
        <f>G69*$D$68</f>
        <v>310.02500000000003</v>
      </c>
      <c r="H70" s="46">
        <f>H69*$D$68</f>
        <v>27.824999999999999</v>
      </c>
      <c r="I70" s="46">
        <f>I69*$D$68</f>
        <v>24.604650000000003</v>
      </c>
      <c r="J70" s="46">
        <f>J69*$D$68</f>
        <v>26.338378500000005</v>
      </c>
      <c r="K70" s="61"/>
      <c r="O70" s="62"/>
      <c r="P70" s="162"/>
      <c r="Q70" s="162"/>
      <c r="R70" s="61"/>
      <c r="V70" s="62"/>
      <c r="W70" s="61"/>
      <c r="AA70" s="62"/>
      <c r="AB70" s="162"/>
      <c r="AC70" s="162"/>
      <c r="AD70" s="61"/>
      <c r="AH70" s="62"/>
      <c r="AI70" s="162"/>
      <c r="AJ70" s="162"/>
      <c r="AK70" s="61"/>
      <c r="AO70" s="62"/>
    </row>
    <row r="71" spans="1:41" ht="15.75" thickBot="1">
      <c r="C71" t="s">
        <v>133</v>
      </c>
      <c r="E71" s="162"/>
      <c r="F71" s="152">
        <f>F69+F70</f>
        <v>743342.6</v>
      </c>
      <c r="G71" s="153">
        <f t="shared" ref="G71:J71" si="1">G69+G70</f>
        <v>310335.02500000002</v>
      </c>
      <c r="H71" s="153">
        <f t="shared" si="1"/>
        <v>27852.825000000001</v>
      </c>
      <c r="I71" s="153">
        <f t="shared" si="1"/>
        <v>24629.254650000003</v>
      </c>
      <c r="J71" s="153">
        <f t="shared" si="1"/>
        <v>26364.716878500003</v>
      </c>
      <c r="K71" s="177"/>
      <c r="L71" s="178"/>
      <c r="M71" s="178"/>
      <c r="N71" s="178"/>
      <c r="O71" s="179"/>
      <c r="P71" s="162"/>
      <c r="Q71" s="162"/>
      <c r="R71" s="177"/>
      <c r="S71" s="178"/>
      <c r="T71" s="178"/>
      <c r="U71" s="178"/>
      <c r="V71" s="178"/>
      <c r="W71" s="177"/>
      <c r="X71" s="178"/>
      <c r="Y71" s="178"/>
      <c r="Z71" s="178"/>
      <c r="AA71" s="179"/>
      <c r="AB71" s="162"/>
      <c r="AC71" s="162"/>
      <c r="AD71" s="177"/>
      <c r="AE71" s="178"/>
      <c r="AF71" s="178"/>
      <c r="AG71" s="178"/>
      <c r="AH71" s="179"/>
      <c r="AI71" s="162"/>
      <c r="AJ71" s="162"/>
      <c r="AK71" s="174"/>
      <c r="AL71" s="175"/>
      <c r="AM71" s="175"/>
      <c r="AN71" s="175"/>
      <c r="AO71" s="176"/>
    </row>
  </sheetData>
  <mergeCells count="15">
    <mergeCell ref="A57:A61"/>
    <mergeCell ref="A1:N1"/>
    <mergeCell ref="F2:J2"/>
    <mergeCell ref="K2:O2"/>
    <mergeCell ref="R2:V2"/>
    <mergeCell ref="W2:AA2"/>
    <mergeCell ref="C4:D4"/>
    <mergeCell ref="AK2:AO2"/>
    <mergeCell ref="F3:J3"/>
    <mergeCell ref="K3:O3"/>
    <mergeCell ref="R3:V3"/>
    <mergeCell ref="W3:AA3"/>
    <mergeCell ref="AD3:AH3"/>
    <mergeCell ref="AK3:AO3"/>
    <mergeCell ref="AD2:AH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BF56B-AE09-4978-BC1E-A1AD03E81036}">
  <dimension ref="A1:J42"/>
  <sheetViews>
    <sheetView tabSelected="1" topLeftCell="A3" workbookViewId="0">
      <selection activeCell="A10" sqref="A10:E10"/>
    </sheetView>
  </sheetViews>
  <sheetFormatPr defaultRowHeight="14.25" outlineLevelRow="1" outlineLevelCol="1"/>
  <cols>
    <col min="1" max="1" width="13.875" bestFit="1" customWidth="1"/>
    <col min="2" max="2" width="17.875" bestFit="1" customWidth="1"/>
    <col min="3" max="3" width="19" bestFit="1" customWidth="1"/>
    <col min="4" max="4" width="14.625" bestFit="1" customWidth="1"/>
    <col min="5" max="5" width="14.625" customWidth="1" outlineLevel="1"/>
    <col min="6" max="10" width="14.75" customWidth="1" outlineLevel="1"/>
  </cols>
  <sheetData>
    <row r="1" spans="1:10" ht="78.75" customHeight="1">
      <c r="A1" s="344" t="s">
        <v>189</v>
      </c>
      <c r="B1" s="317"/>
      <c r="C1" s="317"/>
      <c r="D1" s="317"/>
      <c r="E1" s="317"/>
      <c r="F1" s="317"/>
      <c r="G1" s="317"/>
      <c r="H1" s="317"/>
      <c r="I1" s="317"/>
      <c r="J1" s="317"/>
    </row>
    <row r="2" spans="1:10" s="210" customFormat="1" ht="14.25" customHeight="1">
      <c r="A2" s="205"/>
      <c r="B2" s="205"/>
      <c r="C2" s="205"/>
      <c r="D2" s="206"/>
      <c r="E2" s="207" t="s">
        <v>208</v>
      </c>
      <c r="F2" s="345" t="s">
        <v>207</v>
      </c>
      <c r="G2" s="346"/>
      <c r="H2" s="346"/>
      <c r="I2" s="346"/>
      <c r="J2" s="346"/>
    </row>
    <row r="3" spans="1:10" s="210" customFormat="1" ht="14.25" customHeight="1">
      <c r="A3" s="205"/>
      <c r="B3" s="205"/>
      <c r="C3" s="205"/>
      <c r="D3" s="211"/>
      <c r="E3" s="212" t="s">
        <v>90</v>
      </c>
      <c r="F3" s="347"/>
      <c r="G3" s="348"/>
      <c r="H3" s="348"/>
      <c r="I3" s="348"/>
      <c r="J3" s="348"/>
    </row>
    <row r="4" spans="1:10" s="210" customFormat="1" ht="15">
      <c r="A4" s="213" t="s">
        <v>50</v>
      </c>
      <c r="B4" s="213" t="s">
        <v>165</v>
      </c>
      <c r="C4" s="343" t="s">
        <v>98</v>
      </c>
      <c r="D4" s="343"/>
      <c r="E4" s="196"/>
      <c r="F4" s="214" t="s">
        <v>83</v>
      </c>
      <c r="G4" s="215" t="s">
        <v>84</v>
      </c>
      <c r="H4" s="215" t="s">
        <v>85</v>
      </c>
      <c r="I4" s="215" t="s">
        <v>86</v>
      </c>
      <c r="J4" s="215" t="s">
        <v>87</v>
      </c>
    </row>
    <row r="5" spans="1:10">
      <c r="A5" s="61"/>
      <c r="B5" s="62"/>
      <c r="C5" s="61"/>
      <c r="E5" s="162"/>
      <c r="F5" s="63"/>
      <c r="G5" s="65"/>
      <c r="H5" s="65"/>
      <c r="I5" s="65"/>
      <c r="J5" s="65"/>
    </row>
    <row r="6" spans="1:10" s="72" customFormat="1" outlineLevel="1">
      <c r="A6" s="335" t="s">
        <v>226</v>
      </c>
      <c r="B6" s="337" t="s">
        <v>210</v>
      </c>
      <c r="C6" s="67" t="s">
        <v>116</v>
      </c>
      <c r="D6" s="72" t="s">
        <v>0</v>
      </c>
      <c r="E6" s="162"/>
      <c r="F6" s="220">
        <v>8</v>
      </c>
      <c r="G6" s="221">
        <v>8</v>
      </c>
      <c r="H6" s="221">
        <v>8</v>
      </c>
      <c r="I6" s="221">
        <v>8</v>
      </c>
      <c r="J6" s="221">
        <v>8</v>
      </c>
    </row>
    <row r="7" spans="1:10" s="72" customFormat="1" outlineLevel="1">
      <c r="A7" s="336"/>
      <c r="B7" s="337"/>
      <c r="C7" s="67" t="s">
        <v>167</v>
      </c>
      <c r="D7" s="233">
        <v>300000</v>
      </c>
      <c r="E7" s="162"/>
      <c r="F7" s="234">
        <f>D7*F6</f>
        <v>2400000</v>
      </c>
      <c r="G7" s="234">
        <f>D7*G6</f>
        <v>2400000</v>
      </c>
      <c r="H7" s="234">
        <f>D7*H6</f>
        <v>2400000</v>
      </c>
      <c r="I7" s="234">
        <f>D7*I6</f>
        <v>2400000</v>
      </c>
      <c r="J7" s="234">
        <f>D7*J6</f>
        <v>2400000</v>
      </c>
    </row>
    <row r="8" spans="1:10" s="72" customFormat="1" outlineLevel="1">
      <c r="A8" s="336"/>
      <c r="B8" s="338" t="s">
        <v>209</v>
      </c>
      <c r="C8" s="67" t="s">
        <v>116</v>
      </c>
      <c r="D8" s="72" t="s">
        <v>0</v>
      </c>
      <c r="E8" s="162"/>
      <c r="F8" s="220">
        <v>3</v>
      </c>
      <c r="G8" s="221">
        <v>3</v>
      </c>
      <c r="H8" s="221">
        <v>3</v>
      </c>
      <c r="I8" s="221">
        <v>3</v>
      </c>
      <c r="J8" s="221">
        <v>3</v>
      </c>
    </row>
    <row r="9" spans="1:10" s="72" customFormat="1" outlineLevel="1">
      <c r="A9" s="336"/>
      <c r="B9" s="339"/>
      <c r="C9" s="67" t="s">
        <v>167</v>
      </c>
      <c r="D9" s="233">
        <v>400000</v>
      </c>
      <c r="E9" s="162"/>
      <c r="F9" s="238">
        <f>F8*D9</f>
        <v>1200000</v>
      </c>
      <c r="G9" s="236">
        <f>G8*D9</f>
        <v>1200000</v>
      </c>
      <c r="H9" s="236">
        <f>H8*D9</f>
        <v>1200000</v>
      </c>
      <c r="I9" s="236">
        <f>I8*D9</f>
        <v>1200000</v>
      </c>
      <c r="J9" s="236">
        <f>J8*D9</f>
        <v>1200000</v>
      </c>
    </row>
    <row r="10" spans="1:10" s="72" customFormat="1" ht="15">
      <c r="A10" s="340" t="s">
        <v>136</v>
      </c>
      <c r="B10" s="341"/>
      <c r="C10" s="341"/>
      <c r="D10" s="341"/>
      <c r="E10" s="342"/>
      <c r="F10" s="120">
        <f>SUM(F7,F9)</f>
        <v>3600000</v>
      </c>
      <c r="G10" s="120">
        <f t="shared" ref="G10:J10" si="0">SUM(G7,G9)</f>
        <v>3600000</v>
      </c>
      <c r="H10" s="120">
        <f t="shared" si="0"/>
        <v>3600000</v>
      </c>
      <c r="I10" s="120">
        <f t="shared" si="0"/>
        <v>3600000</v>
      </c>
      <c r="J10" s="120">
        <f t="shared" si="0"/>
        <v>3600000</v>
      </c>
    </row>
    <row r="11" spans="1:10">
      <c r="E11" s="162"/>
      <c r="F11" s="63"/>
      <c r="G11" s="65"/>
      <c r="H11" s="65"/>
      <c r="I11" s="65"/>
      <c r="J11" s="65"/>
    </row>
    <row r="12" spans="1:10" s="96" customFormat="1" outlineLevel="1">
      <c r="A12" s="328" t="s">
        <v>225</v>
      </c>
      <c r="B12" s="328" t="s">
        <v>212</v>
      </c>
      <c r="C12" s="247" t="s">
        <v>116</v>
      </c>
      <c r="D12" s="247" t="s">
        <v>0</v>
      </c>
      <c r="E12" s="187"/>
      <c r="F12" s="248">
        <v>2</v>
      </c>
      <c r="G12" s="248">
        <v>2</v>
      </c>
      <c r="H12" s="248">
        <v>2</v>
      </c>
      <c r="I12" s="248">
        <v>2</v>
      </c>
      <c r="J12" s="248">
        <v>2</v>
      </c>
    </row>
    <row r="13" spans="1:10" s="96" customFormat="1" outlineLevel="1">
      <c r="A13" s="328"/>
      <c r="B13" s="328"/>
      <c r="C13" s="96" t="s">
        <v>167</v>
      </c>
      <c r="D13" s="236">
        <v>2500</v>
      </c>
      <c r="E13" s="162"/>
      <c r="F13" s="234">
        <f>F12*$D13</f>
        <v>5000</v>
      </c>
      <c r="G13" s="235">
        <f>G12*$D13</f>
        <v>5000</v>
      </c>
      <c r="H13" s="235">
        <f t="shared" ref="H13:J13" si="1">H12*$D13</f>
        <v>5000</v>
      </c>
      <c r="I13" s="235">
        <f t="shared" si="1"/>
        <v>5000</v>
      </c>
      <c r="J13" s="235">
        <f t="shared" si="1"/>
        <v>5000</v>
      </c>
    </row>
    <row r="14" spans="1:10" s="96" customFormat="1" outlineLevel="1">
      <c r="A14" s="328"/>
      <c r="B14" s="333" t="s">
        <v>213</v>
      </c>
      <c r="C14" s="247" t="s">
        <v>116</v>
      </c>
      <c r="D14" s="247" t="s">
        <v>0</v>
      </c>
      <c r="E14" s="162"/>
      <c r="F14" s="300">
        <v>2</v>
      </c>
      <c r="G14" s="300">
        <v>2</v>
      </c>
      <c r="H14" s="300">
        <v>2</v>
      </c>
      <c r="I14" s="300">
        <v>2</v>
      </c>
      <c r="J14" s="300">
        <v>2</v>
      </c>
    </row>
    <row r="15" spans="1:10" s="96" customFormat="1" outlineLevel="1">
      <c r="A15" s="328"/>
      <c r="B15" s="334"/>
      <c r="C15" s="96" t="s">
        <v>167</v>
      </c>
      <c r="D15" s="236">
        <v>7500</v>
      </c>
      <c r="E15" s="162"/>
      <c r="F15" s="234">
        <f>D15*F14</f>
        <v>15000</v>
      </c>
      <c r="G15" s="234">
        <f>D15*G14</f>
        <v>15000</v>
      </c>
      <c r="H15" s="234">
        <f>D15*H14</f>
        <v>15000</v>
      </c>
      <c r="I15" s="234">
        <f>D15*I14</f>
        <v>15000</v>
      </c>
      <c r="J15" s="234">
        <f>D15*J14</f>
        <v>15000</v>
      </c>
    </row>
    <row r="16" spans="1:10" s="96" customFormat="1" outlineLevel="1">
      <c r="A16" s="328"/>
      <c r="B16" s="329" t="s">
        <v>211</v>
      </c>
      <c r="C16" s="96" t="s">
        <v>116</v>
      </c>
      <c r="D16" s="96" t="s">
        <v>0</v>
      </c>
      <c r="E16" s="171"/>
      <c r="F16" s="220">
        <v>3</v>
      </c>
      <c r="G16" s="220">
        <v>3</v>
      </c>
      <c r="H16" s="220">
        <v>3</v>
      </c>
      <c r="I16" s="220">
        <v>3</v>
      </c>
      <c r="J16" s="220">
        <v>3</v>
      </c>
    </row>
    <row r="17" spans="1:10" s="96" customFormat="1" outlineLevel="1">
      <c r="A17" s="328"/>
      <c r="B17" s="329"/>
      <c r="C17" s="257" t="s">
        <v>167</v>
      </c>
      <c r="D17" s="239">
        <v>2500</v>
      </c>
      <c r="E17" s="200"/>
      <c r="F17" s="258">
        <f>F16*$D17</f>
        <v>7500</v>
      </c>
      <c r="G17" s="259">
        <f>G16*$D17</f>
        <v>7500</v>
      </c>
      <c r="H17" s="258">
        <f>H16*$D17</f>
        <v>7500</v>
      </c>
      <c r="I17" s="258">
        <f>I16*$D17</f>
        <v>7500</v>
      </c>
      <c r="J17" s="258">
        <f>J16*$D17</f>
        <v>7500</v>
      </c>
    </row>
    <row r="18" spans="1:10" s="96" customFormat="1" ht="15">
      <c r="A18" s="330" t="s">
        <v>136</v>
      </c>
      <c r="B18" s="331"/>
      <c r="C18" s="331"/>
      <c r="D18" s="331"/>
      <c r="E18" s="332"/>
      <c r="F18" s="260">
        <f>F13+F17</f>
        <v>12500</v>
      </c>
      <c r="G18" s="261">
        <f>G13+G17</f>
        <v>12500</v>
      </c>
      <c r="H18" s="261">
        <f>H13+H17</f>
        <v>12500</v>
      </c>
      <c r="I18" s="261">
        <f>I13+I17</f>
        <v>12500</v>
      </c>
      <c r="J18" s="261">
        <f>J13+J17</f>
        <v>12500</v>
      </c>
    </row>
    <row r="19" spans="1:10">
      <c r="E19" s="162"/>
      <c r="F19" s="63"/>
      <c r="G19" s="65"/>
      <c r="H19" s="65"/>
      <c r="I19" s="65"/>
      <c r="J19" s="65"/>
    </row>
    <row r="20" spans="1:10">
      <c r="E20" s="162"/>
      <c r="F20" s="63"/>
      <c r="G20" s="65"/>
      <c r="H20" s="65"/>
      <c r="I20" s="65"/>
      <c r="J20" s="65"/>
    </row>
    <row r="21" spans="1:10" s="96" customFormat="1" outlineLevel="1">
      <c r="A21" s="328" t="s">
        <v>224</v>
      </c>
      <c r="B21" s="329" t="s">
        <v>178</v>
      </c>
      <c r="C21" s="247" t="s">
        <v>116</v>
      </c>
      <c r="D21" s="247" t="s">
        <v>0</v>
      </c>
      <c r="E21" s="187"/>
      <c r="F21" s="248">
        <v>0.02</v>
      </c>
      <c r="G21" s="248">
        <v>0.02</v>
      </c>
      <c r="H21" s="248">
        <v>0.02</v>
      </c>
      <c r="I21" s="248">
        <v>0.02</v>
      </c>
      <c r="J21" s="248">
        <v>0.02</v>
      </c>
    </row>
    <row r="22" spans="1:10" s="96" customFormat="1" outlineLevel="1">
      <c r="A22" s="328"/>
      <c r="B22" s="329"/>
      <c r="C22" s="96" t="s">
        <v>167</v>
      </c>
      <c r="D22" s="236">
        <v>350000</v>
      </c>
      <c r="E22" s="162"/>
      <c r="F22" s="234">
        <f>F21*$D22</f>
        <v>7000</v>
      </c>
      <c r="G22" s="235">
        <f>G21*$D22</f>
        <v>7000</v>
      </c>
      <c r="H22" s="235">
        <f t="shared" ref="H22:J22" si="2">H21*$D22</f>
        <v>7000</v>
      </c>
      <c r="I22" s="235">
        <f t="shared" si="2"/>
        <v>7000</v>
      </c>
      <c r="J22" s="235">
        <f t="shared" si="2"/>
        <v>7000</v>
      </c>
    </row>
    <row r="23" spans="1:10" s="96" customFormat="1" ht="15">
      <c r="A23" s="330" t="s">
        <v>136</v>
      </c>
      <c r="B23" s="331"/>
      <c r="C23" s="331"/>
      <c r="D23" s="331"/>
      <c r="E23" s="332"/>
      <c r="F23" s="260">
        <f>F22</f>
        <v>7000</v>
      </c>
      <c r="G23" s="260">
        <f t="shared" ref="G23:J23" si="3">G22</f>
        <v>7000</v>
      </c>
      <c r="H23" s="260">
        <f t="shared" si="3"/>
        <v>7000</v>
      </c>
      <c r="I23" s="260">
        <f t="shared" si="3"/>
        <v>7000</v>
      </c>
      <c r="J23" s="260">
        <f t="shared" si="3"/>
        <v>7000</v>
      </c>
    </row>
    <row r="24" spans="1:10">
      <c r="E24" s="162"/>
      <c r="F24" s="63"/>
      <c r="G24" s="65"/>
      <c r="H24" s="65"/>
      <c r="I24" s="65"/>
      <c r="J24" s="65"/>
    </row>
    <row r="25" spans="1:10" s="107" customFormat="1" outlineLevel="1">
      <c r="A25" s="318" t="s">
        <v>223</v>
      </c>
      <c r="B25" s="319" t="s">
        <v>37</v>
      </c>
      <c r="C25" s="265" t="s">
        <v>116</v>
      </c>
      <c r="D25" s="265" t="s">
        <v>0</v>
      </c>
      <c r="E25" s="187"/>
      <c r="F25" s="248">
        <v>1</v>
      </c>
      <c r="G25" s="249">
        <v>1</v>
      </c>
      <c r="H25" s="249">
        <v>1</v>
      </c>
      <c r="I25" s="249">
        <v>1</v>
      </c>
      <c r="J25" s="249">
        <v>1</v>
      </c>
    </row>
    <row r="26" spans="1:10" s="107" customFormat="1" outlineLevel="1">
      <c r="A26" s="319"/>
      <c r="B26" s="319"/>
      <c r="C26" s="107" t="s">
        <v>167</v>
      </c>
      <c r="D26" s="233">
        <v>300000</v>
      </c>
      <c r="E26" s="162"/>
      <c r="F26" s="234">
        <f t="shared" ref="F26:J26" si="4">F25*$D26</f>
        <v>300000</v>
      </c>
      <c r="G26" s="235">
        <f t="shared" si="4"/>
        <v>300000</v>
      </c>
      <c r="H26" s="235">
        <f t="shared" si="4"/>
        <v>300000</v>
      </c>
      <c r="I26" s="235">
        <f t="shared" si="4"/>
        <v>300000</v>
      </c>
      <c r="J26" s="245">
        <f t="shared" si="4"/>
        <v>300000</v>
      </c>
    </row>
    <row r="27" spans="1:10" s="107" customFormat="1" ht="15">
      <c r="A27" s="320" t="s">
        <v>136</v>
      </c>
      <c r="B27" s="321"/>
      <c r="C27" s="321"/>
      <c r="D27" s="321"/>
      <c r="E27" s="322"/>
      <c r="F27" s="135">
        <f t="shared" ref="F27:J27" si="5">F26</f>
        <v>300000</v>
      </c>
      <c r="G27" s="112">
        <f t="shared" si="5"/>
        <v>300000</v>
      </c>
      <c r="H27" s="112">
        <f t="shared" si="5"/>
        <v>300000</v>
      </c>
      <c r="I27" s="112">
        <f t="shared" si="5"/>
        <v>300000</v>
      </c>
      <c r="J27" s="112">
        <f t="shared" si="5"/>
        <v>300000</v>
      </c>
    </row>
    <row r="28" spans="1:10">
      <c r="E28" s="162"/>
      <c r="F28" s="136"/>
      <c r="G28" s="106"/>
      <c r="H28" s="65"/>
      <c r="I28" s="65"/>
      <c r="J28" s="65"/>
    </row>
    <row r="29" spans="1:10" s="278" customFormat="1" outlineLevel="1">
      <c r="A29" s="323" t="s">
        <v>222</v>
      </c>
      <c r="B29" s="244" t="s">
        <v>119</v>
      </c>
      <c r="C29" s="247" t="s">
        <v>116</v>
      </c>
      <c r="D29" s="247" t="s">
        <v>0</v>
      </c>
      <c r="E29" s="187"/>
      <c r="F29" s="272" t="str">
        <f>$D29</f>
        <v>FTE</v>
      </c>
      <c r="G29" s="273" t="e">
        <f>$D29*#REF!</f>
        <v>#VALUE!</v>
      </c>
      <c r="H29" s="273" t="e">
        <f>$D29*#REF!</f>
        <v>#VALUE!</v>
      </c>
      <c r="I29" s="273" t="e">
        <f>$D29*#REF!</f>
        <v>#VALUE!</v>
      </c>
      <c r="J29" s="273" t="e">
        <f>$D29*#REF!</f>
        <v>#VALUE!</v>
      </c>
    </row>
    <row r="30" spans="1:10" s="116" customFormat="1" outlineLevel="1">
      <c r="A30" s="324"/>
      <c r="B30" s="244" t="s">
        <v>120</v>
      </c>
      <c r="C30" s="96" t="s">
        <v>167</v>
      </c>
      <c r="D30" s="236">
        <v>350000</v>
      </c>
      <c r="E30" s="172"/>
      <c r="F30" s="238" t="e">
        <f>$D30*#REF!</f>
        <v>#REF!</v>
      </c>
      <c r="G30" s="236" t="e">
        <f>$D30*#REF!</f>
        <v>#REF!</v>
      </c>
      <c r="H30" s="236" t="e">
        <f>$D30*#REF!</f>
        <v>#REF!</v>
      </c>
      <c r="I30" s="236" t="e">
        <f>$D30*#REF!</f>
        <v>#REF!</v>
      </c>
      <c r="J30" s="236" t="e">
        <f>$D30*#REF!</f>
        <v>#REF!</v>
      </c>
    </row>
    <row r="31" spans="1:10" s="116" customFormat="1" outlineLevel="1">
      <c r="A31" s="324"/>
      <c r="B31" s="244" t="s">
        <v>181</v>
      </c>
      <c r="C31" s="218"/>
      <c r="D31" s="223"/>
      <c r="E31" s="172"/>
      <c r="F31" s="238"/>
      <c r="G31" s="236"/>
      <c r="H31" s="236"/>
      <c r="I31" s="236"/>
      <c r="J31" s="236"/>
    </row>
    <row r="32" spans="1:10" s="116" customFormat="1" outlineLevel="1">
      <c r="A32" s="324"/>
      <c r="B32" s="244" t="s">
        <v>182</v>
      </c>
      <c r="C32" s="218"/>
      <c r="D32" s="223"/>
      <c r="E32" s="172"/>
      <c r="F32" s="238"/>
      <c r="G32" s="236"/>
      <c r="H32" s="236"/>
      <c r="I32" s="236"/>
      <c r="J32" s="236"/>
    </row>
    <row r="33" spans="1:10" s="116" customFormat="1" outlineLevel="1">
      <c r="A33" s="324"/>
      <c r="B33" s="280" t="s">
        <v>183</v>
      </c>
      <c r="C33" s="226"/>
      <c r="D33" s="231"/>
      <c r="E33" s="172"/>
      <c r="F33" s="238"/>
      <c r="G33" s="236"/>
      <c r="H33" s="236"/>
      <c r="I33" s="236"/>
      <c r="J33" s="236"/>
    </row>
    <row r="34" spans="1:10" s="285" customFormat="1" ht="15">
      <c r="A34" s="325" t="s">
        <v>136</v>
      </c>
      <c r="B34" s="326"/>
      <c r="C34" s="326"/>
      <c r="D34" s="326"/>
      <c r="E34" s="327"/>
      <c r="F34" s="283" t="e">
        <f t="shared" ref="F34:J34" si="6">SUM(F29:F33)</f>
        <v>#REF!</v>
      </c>
      <c r="G34" s="284" t="e">
        <f t="shared" si="6"/>
        <v>#VALUE!</v>
      </c>
      <c r="H34" s="284" t="e">
        <f t="shared" si="6"/>
        <v>#VALUE!</v>
      </c>
      <c r="I34" s="284" t="e">
        <f t="shared" si="6"/>
        <v>#VALUE!</v>
      </c>
      <c r="J34" s="284" t="e">
        <f t="shared" si="6"/>
        <v>#VALUE!</v>
      </c>
    </row>
    <row r="35" spans="1:10">
      <c r="E35" s="162"/>
      <c r="F35" s="66"/>
      <c r="G35" s="46"/>
      <c r="H35" s="46"/>
      <c r="I35" s="46"/>
      <c r="J35" s="46"/>
    </row>
    <row r="36" spans="1:10">
      <c r="E36" s="162"/>
      <c r="F36" s="61"/>
    </row>
    <row r="37" spans="1:10">
      <c r="E37" s="162"/>
      <c r="F37" s="61"/>
    </row>
    <row r="38" spans="1:10">
      <c r="E38" s="162"/>
      <c r="F38" s="61"/>
    </row>
    <row r="39" spans="1:10" ht="15" thickBot="1">
      <c r="C39" t="s">
        <v>146</v>
      </c>
      <c r="D39">
        <v>1E-3</v>
      </c>
      <c r="E39" s="162"/>
      <c r="F39" s="61"/>
    </row>
    <row r="40" spans="1:10" ht="15" thickBot="1">
      <c r="C40" t="s">
        <v>147</v>
      </c>
      <c r="D40" t="s">
        <v>110</v>
      </c>
      <c r="E40" s="162"/>
      <c r="F40" s="149" t="e">
        <f>#REF!+F27+F23+#REF!+F10</f>
        <v>#REF!</v>
      </c>
      <c r="G40" s="150" t="e">
        <f>#REF!+G27+G23+#REF!+G10</f>
        <v>#REF!</v>
      </c>
      <c r="H40" s="150" t="e">
        <f>#REF!+H27+H23+#REF!+H10</f>
        <v>#REF!</v>
      </c>
      <c r="I40" s="150" t="e">
        <f>#REF!+I27+I23+#REF!+I10</f>
        <v>#REF!</v>
      </c>
      <c r="J40" s="150" t="e">
        <f>#REF!+J27+J23+#REF!+J10</f>
        <v>#REF!</v>
      </c>
    </row>
    <row r="41" spans="1:10" ht="15" thickBot="1">
      <c r="E41" s="162"/>
      <c r="F41" s="66" t="e">
        <f>F40*$D$39</f>
        <v>#REF!</v>
      </c>
      <c r="G41" s="46" t="e">
        <f>G40*$D$39</f>
        <v>#REF!</v>
      </c>
      <c r="H41" s="46" t="e">
        <f>H40*$D$39</f>
        <v>#REF!</v>
      </c>
      <c r="I41" s="46" t="e">
        <f>I40*$D$39</f>
        <v>#REF!</v>
      </c>
      <c r="J41" s="46" t="e">
        <f>J40*$D$39</f>
        <v>#REF!</v>
      </c>
    </row>
    <row r="42" spans="1:10" ht="15.75" thickBot="1">
      <c r="C42" t="s">
        <v>133</v>
      </c>
      <c r="E42" s="162"/>
      <c r="F42" s="152">
        <f>F27+F23+F18+F10</f>
        <v>3919500</v>
      </c>
      <c r="G42" s="152">
        <f t="shared" ref="G42:J42" si="7">G27+G23+G18+G10</f>
        <v>3919500</v>
      </c>
      <c r="H42" s="152">
        <f t="shared" si="7"/>
        <v>3919500</v>
      </c>
      <c r="I42" s="152">
        <f t="shared" si="7"/>
        <v>3919500</v>
      </c>
      <c r="J42" s="152">
        <f t="shared" si="7"/>
        <v>3919500</v>
      </c>
    </row>
  </sheetData>
  <mergeCells count="21">
    <mergeCell ref="A1:J1"/>
    <mergeCell ref="F2:J2"/>
    <mergeCell ref="F3:J3"/>
    <mergeCell ref="A6:A9"/>
    <mergeCell ref="B6:B7"/>
    <mergeCell ref="B8:B9"/>
    <mergeCell ref="A10:E10"/>
    <mergeCell ref="C4:D4"/>
    <mergeCell ref="A21:A22"/>
    <mergeCell ref="B21:B22"/>
    <mergeCell ref="A23:E23"/>
    <mergeCell ref="A12:A17"/>
    <mergeCell ref="B12:B13"/>
    <mergeCell ref="B16:B17"/>
    <mergeCell ref="A18:E18"/>
    <mergeCell ref="B14:B15"/>
    <mergeCell ref="A25:A26"/>
    <mergeCell ref="B25:B26"/>
    <mergeCell ref="A27:E27"/>
    <mergeCell ref="A29:A33"/>
    <mergeCell ref="A34:E3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0C189-CE34-44D6-98F8-78DB1D6AE6EA}">
  <dimension ref="A1:AO65"/>
  <sheetViews>
    <sheetView workbookViewId="0">
      <selection sqref="A1:N1"/>
    </sheetView>
  </sheetViews>
  <sheetFormatPr defaultRowHeight="14.25" outlineLevelRow="1" outlineLevelCol="1"/>
  <cols>
    <col min="1" max="1" width="13.875" bestFit="1" customWidth="1"/>
    <col min="2" max="2" width="17.875" bestFit="1" customWidth="1"/>
    <col min="3" max="3" width="19" bestFit="1" customWidth="1"/>
    <col min="4" max="4" width="12.125" bestFit="1" customWidth="1"/>
    <col min="5" max="5" width="14.625" customWidth="1" outlineLevel="1"/>
    <col min="6" max="15" width="14.75" customWidth="1" outlineLevel="1"/>
    <col min="17" max="17" width="19.875" customWidth="1" outlineLevel="1"/>
    <col min="18" max="27" width="14.75" customWidth="1" outlineLevel="1"/>
    <col min="29" max="29" width="11.75" customWidth="1" outlineLevel="1"/>
    <col min="30" max="34" width="14.75" customWidth="1" outlineLevel="1"/>
    <col min="35" max="35" width="9" outlineLevel="1"/>
    <col min="36" max="36" width="7.25" bestFit="1" customWidth="1"/>
    <col min="37" max="41" width="14.75" customWidth="1"/>
  </cols>
  <sheetData>
    <row r="1" spans="1:41" ht="78.75" customHeight="1">
      <c r="A1" s="316" t="s">
        <v>189</v>
      </c>
      <c r="B1" s="317"/>
      <c r="C1" s="317"/>
      <c r="D1" s="317"/>
      <c r="E1" s="317"/>
      <c r="F1" s="317"/>
      <c r="G1" s="317"/>
      <c r="H1" s="317"/>
      <c r="I1" s="317"/>
      <c r="J1" s="317"/>
      <c r="K1" s="317"/>
      <c r="L1" s="317"/>
      <c r="M1" s="317"/>
      <c r="N1" s="317"/>
    </row>
    <row r="2" spans="1:41" s="210" customFormat="1" ht="14.25" customHeight="1">
      <c r="A2" s="205"/>
      <c r="B2" s="205"/>
      <c r="C2" s="205"/>
      <c r="D2" s="206"/>
      <c r="E2" s="207" t="s">
        <v>162</v>
      </c>
      <c r="F2" s="345" t="s">
        <v>96</v>
      </c>
      <c r="G2" s="346"/>
      <c r="H2" s="346"/>
      <c r="I2" s="346"/>
      <c r="J2" s="346"/>
      <c r="K2" s="345" t="s">
        <v>97</v>
      </c>
      <c r="L2" s="346"/>
      <c r="M2" s="346"/>
      <c r="N2" s="346"/>
      <c r="O2" s="357"/>
      <c r="P2" s="208"/>
      <c r="Q2" s="209" t="s">
        <v>163</v>
      </c>
      <c r="R2" s="345" t="s">
        <v>93</v>
      </c>
      <c r="S2" s="346"/>
      <c r="T2" s="346"/>
      <c r="U2" s="346"/>
      <c r="V2" s="357"/>
      <c r="W2" s="345" t="s">
        <v>95</v>
      </c>
      <c r="X2" s="346"/>
      <c r="Y2" s="346"/>
      <c r="Z2" s="346"/>
      <c r="AA2" s="357"/>
      <c r="AB2" s="205"/>
      <c r="AC2" s="205" t="s">
        <v>127</v>
      </c>
      <c r="AD2" s="358"/>
      <c r="AE2" s="359"/>
      <c r="AF2" s="359"/>
      <c r="AG2" s="359"/>
      <c r="AH2" s="360"/>
      <c r="AI2" s="205"/>
      <c r="AJ2" s="205" t="s">
        <v>29</v>
      </c>
      <c r="AK2" s="358"/>
      <c r="AL2" s="359"/>
      <c r="AM2" s="359"/>
      <c r="AN2" s="359"/>
      <c r="AO2" s="360"/>
    </row>
    <row r="3" spans="1:41" s="210" customFormat="1" ht="14.25" customHeight="1">
      <c r="A3" s="205"/>
      <c r="B3" s="205"/>
      <c r="C3" s="205"/>
      <c r="D3" s="211"/>
      <c r="E3" s="212" t="s">
        <v>90</v>
      </c>
      <c r="F3" s="347" t="s">
        <v>91</v>
      </c>
      <c r="G3" s="348"/>
      <c r="H3" s="348"/>
      <c r="I3" s="348"/>
      <c r="J3" s="348"/>
      <c r="K3" s="347" t="s">
        <v>100</v>
      </c>
      <c r="L3" s="348"/>
      <c r="M3" s="348"/>
      <c r="N3" s="348"/>
      <c r="O3" s="361"/>
      <c r="P3" s="208"/>
      <c r="Q3" s="209" t="s">
        <v>164</v>
      </c>
      <c r="R3" s="347" t="s">
        <v>92</v>
      </c>
      <c r="S3" s="348"/>
      <c r="T3" s="348"/>
      <c r="U3" s="348"/>
      <c r="V3" s="361"/>
      <c r="W3" s="347" t="s">
        <v>94</v>
      </c>
      <c r="X3" s="348"/>
      <c r="Y3" s="348"/>
      <c r="Z3" s="348"/>
      <c r="AA3" s="361"/>
      <c r="AB3" s="205"/>
      <c r="AC3" s="205" t="s">
        <v>126</v>
      </c>
      <c r="AD3" s="362"/>
      <c r="AE3" s="363"/>
      <c r="AF3" s="363"/>
      <c r="AG3" s="363"/>
      <c r="AH3" s="364"/>
      <c r="AI3" s="205"/>
      <c r="AJ3" s="205" t="s">
        <v>128</v>
      </c>
      <c r="AK3" s="362"/>
      <c r="AL3" s="363"/>
      <c r="AM3" s="363"/>
      <c r="AN3" s="363"/>
      <c r="AO3" s="364"/>
    </row>
    <row r="4" spans="1:41" s="210" customFormat="1" ht="15">
      <c r="A4" s="213" t="s">
        <v>50</v>
      </c>
      <c r="B4" s="213" t="s">
        <v>165</v>
      </c>
      <c r="C4" s="343" t="s">
        <v>98</v>
      </c>
      <c r="D4" s="343"/>
      <c r="E4" s="196"/>
      <c r="F4" s="214" t="s">
        <v>83</v>
      </c>
      <c r="G4" s="215" t="s">
        <v>84</v>
      </c>
      <c r="H4" s="215" t="s">
        <v>85</v>
      </c>
      <c r="I4" s="215" t="s">
        <v>86</v>
      </c>
      <c r="J4" s="215" t="s">
        <v>87</v>
      </c>
      <c r="K4" s="214" t="s">
        <v>83</v>
      </c>
      <c r="L4" s="215" t="s">
        <v>84</v>
      </c>
      <c r="M4" s="215" t="s">
        <v>85</v>
      </c>
      <c r="N4" s="215" t="s">
        <v>86</v>
      </c>
      <c r="O4" s="216" t="s">
        <v>87</v>
      </c>
      <c r="P4" s="217"/>
      <c r="Q4" s="217"/>
      <c r="R4" s="214" t="s">
        <v>83</v>
      </c>
      <c r="S4" s="215" t="s">
        <v>84</v>
      </c>
      <c r="T4" s="215" t="s">
        <v>85</v>
      </c>
      <c r="U4" s="215" t="s">
        <v>86</v>
      </c>
      <c r="V4" s="216" t="s">
        <v>87</v>
      </c>
      <c r="W4" s="214" t="s">
        <v>83</v>
      </c>
      <c r="X4" s="215" t="s">
        <v>84</v>
      </c>
      <c r="Y4" s="215" t="s">
        <v>85</v>
      </c>
      <c r="Z4" s="215" t="s">
        <v>86</v>
      </c>
      <c r="AA4" s="216" t="s">
        <v>87</v>
      </c>
      <c r="AB4" s="205"/>
      <c r="AC4" s="217"/>
      <c r="AD4" s="214" t="s">
        <v>83</v>
      </c>
      <c r="AE4" s="215" t="s">
        <v>84</v>
      </c>
      <c r="AF4" s="215" t="s">
        <v>85</v>
      </c>
      <c r="AG4" s="215" t="s">
        <v>86</v>
      </c>
      <c r="AH4" s="216" t="s">
        <v>87</v>
      </c>
      <c r="AI4" s="205"/>
      <c r="AJ4" s="217"/>
      <c r="AK4" s="214" t="s">
        <v>83</v>
      </c>
      <c r="AL4" s="215" t="s">
        <v>84</v>
      </c>
      <c r="AM4" s="215" t="s">
        <v>85</v>
      </c>
      <c r="AN4" s="215" t="s">
        <v>86</v>
      </c>
      <c r="AO4" s="216" t="s">
        <v>87</v>
      </c>
    </row>
    <row r="5" spans="1:41" s="58" customFormat="1">
      <c r="A5" s="144"/>
      <c r="B5" s="145"/>
      <c r="C5" s="218" t="s">
        <v>117</v>
      </c>
      <c r="D5" s="219" t="s">
        <v>0</v>
      </c>
      <c r="E5" s="162"/>
      <c r="F5" s="220">
        <v>6</v>
      </c>
      <c r="G5" s="221">
        <v>5</v>
      </c>
      <c r="H5" s="221">
        <v>5</v>
      </c>
      <c r="I5" s="221">
        <v>3</v>
      </c>
      <c r="J5" s="221">
        <v>3</v>
      </c>
      <c r="K5" s="220">
        <v>5</v>
      </c>
      <c r="L5" s="221">
        <v>5</v>
      </c>
      <c r="M5" s="221">
        <v>5</v>
      </c>
      <c r="N5" s="221">
        <v>5</v>
      </c>
      <c r="O5" s="222">
        <v>5</v>
      </c>
      <c r="P5" s="161"/>
      <c r="Q5" s="161"/>
      <c r="R5" s="220"/>
      <c r="S5" s="221"/>
      <c r="T5" s="221"/>
      <c r="U5" s="221"/>
      <c r="V5" s="222"/>
      <c r="W5" s="220"/>
      <c r="X5" s="221"/>
      <c r="Y5" s="221"/>
      <c r="Z5" s="221"/>
      <c r="AA5" s="222"/>
      <c r="AB5" s="162"/>
      <c r="AC5" s="162"/>
      <c r="AD5" s="218"/>
      <c r="AE5" s="219"/>
      <c r="AF5" s="219"/>
      <c r="AG5" s="219"/>
      <c r="AH5" s="223"/>
      <c r="AI5" s="162"/>
      <c r="AJ5" s="162"/>
      <c r="AK5" s="144"/>
      <c r="AO5" s="145"/>
    </row>
    <row r="6" spans="1:41" s="58" customFormat="1">
      <c r="A6" s="144"/>
      <c r="B6" s="145"/>
      <c r="C6" s="218" t="s">
        <v>118</v>
      </c>
      <c r="D6" s="219" t="s">
        <v>125</v>
      </c>
      <c r="E6" s="162"/>
      <c r="F6" s="220">
        <v>3</v>
      </c>
      <c r="G6" s="221">
        <v>3</v>
      </c>
      <c r="H6" s="221">
        <v>3</v>
      </c>
      <c r="I6" s="221">
        <v>3</v>
      </c>
      <c r="J6" s="221">
        <v>3</v>
      </c>
      <c r="K6" s="220">
        <v>6</v>
      </c>
      <c r="L6" s="221">
        <v>6</v>
      </c>
      <c r="M6" s="221">
        <v>6</v>
      </c>
      <c r="N6" s="221">
        <v>6</v>
      </c>
      <c r="O6" s="222">
        <v>6</v>
      </c>
      <c r="P6" s="161"/>
      <c r="Q6" s="161"/>
      <c r="R6" s="220"/>
      <c r="S6" s="221"/>
      <c r="T6" s="221"/>
      <c r="U6" s="221"/>
      <c r="V6" s="222"/>
      <c r="W6" s="220"/>
      <c r="X6" s="221"/>
      <c r="Y6" s="221"/>
      <c r="Z6" s="221"/>
      <c r="AA6" s="222"/>
      <c r="AB6" s="162"/>
      <c r="AC6" s="162"/>
      <c r="AD6" s="218"/>
      <c r="AE6" s="219"/>
      <c r="AF6" s="219"/>
      <c r="AG6" s="219"/>
      <c r="AH6" s="223"/>
      <c r="AI6" s="162"/>
      <c r="AJ6" s="162"/>
      <c r="AK6" s="144"/>
      <c r="AO6" s="145"/>
    </row>
    <row r="7" spans="1:41" s="58" customFormat="1">
      <c r="A7" s="144"/>
      <c r="B7" s="145"/>
      <c r="C7" s="218" t="s">
        <v>123</v>
      </c>
      <c r="D7" s="219" t="s">
        <v>124</v>
      </c>
      <c r="E7" s="162"/>
      <c r="F7" s="220">
        <v>100</v>
      </c>
      <c r="G7" s="221">
        <v>120</v>
      </c>
      <c r="H7" s="221">
        <v>140</v>
      </c>
      <c r="I7" s="221">
        <v>160</v>
      </c>
      <c r="J7" s="221">
        <v>200</v>
      </c>
      <c r="K7" s="220">
        <v>20</v>
      </c>
      <c r="L7" s="221">
        <v>22</v>
      </c>
      <c r="M7" s="221">
        <v>24</v>
      </c>
      <c r="N7" s="221">
        <v>26</v>
      </c>
      <c r="O7" s="222">
        <v>30</v>
      </c>
      <c r="P7" s="161"/>
      <c r="Q7" s="161"/>
      <c r="R7" s="220"/>
      <c r="S7" s="221"/>
      <c r="T7" s="221"/>
      <c r="U7" s="221"/>
      <c r="V7" s="222"/>
      <c r="W7" s="220"/>
      <c r="X7" s="221"/>
      <c r="Y7" s="221"/>
      <c r="Z7" s="221"/>
      <c r="AA7" s="222"/>
      <c r="AB7" s="162"/>
      <c r="AC7" s="162"/>
      <c r="AD7" s="218"/>
      <c r="AE7" s="219"/>
      <c r="AF7" s="219"/>
      <c r="AG7" s="219"/>
      <c r="AH7" s="223"/>
      <c r="AI7" s="162"/>
      <c r="AJ7" s="162"/>
      <c r="AK7" s="144"/>
      <c r="AO7" s="145"/>
    </row>
    <row r="8" spans="1:41" s="58" customFormat="1">
      <c r="A8" s="144"/>
      <c r="B8" s="145"/>
      <c r="C8" s="218" t="s">
        <v>135</v>
      </c>
      <c r="D8" s="219"/>
      <c r="E8" s="162"/>
      <c r="F8" s="220">
        <v>1</v>
      </c>
      <c r="G8" s="221">
        <v>1.03</v>
      </c>
      <c r="H8" s="221">
        <v>1.04</v>
      </c>
      <c r="I8" s="221">
        <v>1.04</v>
      </c>
      <c r="J8" s="221">
        <v>1.04</v>
      </c>
      <c r="K8" s="220">
        <v>1</v>
      </c>
      <c r="L8" s="221">
        <v>1.03</v>
      </c>
      <c r="M8" s="221">
        <v>1.04</v>
      </c>
      <c r="N8" s="221">
        <v>1.04</v>
      </c>
      <c r="O8" s="222">
        <v>1.04</v>
      </c>
      <c r="P8" s="161"/>
      <c r="Q8" s="161"/>
      <c r="R8" s="220"/>
      <c r="S8" s="221"/>
      <c r="T8" s="221"/>
      <c r="U8" s="221"/>
      <c r="V8" s="222"/>
      <c r="W8" s="220"/>
      <c r="X8" s="221"/>
      <c r="Y8" s="221"/>
      <c r="Z8" s="221"/>
      <c r="AA8" s="222"/>
      <c r="AB8" s="162"/>
      <c r="AC8" s="162"/>
      <c r="AD8" s="218"/>
      <c r="AE8" s="219"/>
      <c r="AF8" s="219"/>
      <c r="AG8" s="219"/>
      <c r="AH8" s="223"/>
      <c r="AI8" s="162"/>
      <c r="AJ8" s="162"/>
      <c r="AK8" s="144"/>
      <c r="AO8" s="145"/>
    </row>
    <row r="9" spans="1:41" s="232" customFormat="1">
      <c r="A9" s="224"/>
      <c r="B9" s="225"/>
      <c r="C9" s="226" t="s">
        <v>188</v>
      </c>
      <c r="D9" s="227"/>
      <c r="E9" s="200"/>
      <c r="F9" s="228">
        <v>1</v>
      </c>
      <c r="G9" s="229">
        <v>1.05</v>
      </c>
      <c r="H9" s="229">
        <v>1.06</v>
      </c>
      <c r="I9" s="229">
        <v>1.07</v>
      </c>
      <c r="J9" s="229">
        <v>1.0900000000000001</v>
      </c>
      <c r="K9" s="228">
        <v>1</v>
      </c>
      <c r="L9" s="229">
        <v>1.05</v>
      </c>
      <c r="M9" s="229">
        <v>1.06</v>
      </c>
      <c r="N9" s="229">
        <v>1.07</v>
      </c>
      <c r="O9" s="230">
        <v>1.0900000000000001</v>
      </c>
      <c r="P9" s="185"/>
      <c r="Q9" s="185"/>
      <c r="R9" s="228"/>
      <c r="S9" s="229"/>
      <c r="T9" s="229"/>
      <c r="U9" s="229"/>
      <c r="V9" s="230"/>
      <c r="W9" s="228"/>
      <c r="X9" s="229"/>
      <c r="Y9" s="229"/>
      <c r="Z9" s="229"/>
      <c r="AA9" s="230"/>
      <c r="AB9" s="200"/>
      <c r="AC9" s="200"/>
      <c r="AD9" s="226"/>
      <c r="AE9" s="227"/>
      <c r="AF9" s="227"/>
      <c r="AG9" s="227"/>
      <c r="AH9" s="231"/>
      <c r="AI9" s="200"/>
      <c r="AJ9" s="200"/>
      <c r="AK9" s="224"/>
      <c r="AO9" s="225"/>
    </row>
    <row r="10" spans="1:41">
      <c r="A10" s="61"/>
      <c r="B10" s="62"/>
      <c r="C10" s="61"/>
      <c r="E10" s="162"/>
      <c r="F10" s="63"/>
      <c r="G10" s="65"/>
      <c r="H10" s="65"/>
      <c r="I10" s="65"/>
      <c r="J10" s="65"/>
      <c r="K10" s="63"/>
      <c r="L10" s="65"/>
      <c r="M10" s="65"/>
      <c r="N10" s="65"/>
      <c r="O10" s="64"/>
      <c r="P10" s="161"/>
      <c r="Q10" s="161"/>
      <c r="R10" s="63"/>
      <c r="S10" s="65"/>
      <c r="T10" s="65"/>
      <c r="U10" s="65"/>
      <c r="V10" s="64"/>
      <c r="W10" s="63"/>
      <c r="X10" s="65"/>
      <c r="AA10" s="62"/>
      <c r="AB10" s="162"/>
      <c r="AC10" s="162"/>
      <c r="AD10" s="61"/>
      <c r="AH10" s="62"/>
      <c r="AI10" s="162"/>
      <c r="AJ10" s="162"/>
      <c r="AK10" s="61"/>
      <c r="AO10" s="62"/>
    </row>
    <row r="11" spans="1:41" s="72" customFormat="1" outlineLevel="1">
      <c r="A11" s="335" t="s">
        <v>166</v>
      </c>
      <c r="B11" s="337" t="s">
        <v>93</v>
      </c>
      <c r="C11" s="67" t="s">
        <v>116</v>
      </c>
      <c r="D11" s="72" t="s">
        <v>0</v>
      </c>
      <c r="E11" s="162"/>
      <c r="F11" s="220"/>
      <c r="G11" s="221"/>
      <c r="H11" s="221"/>
      <c r="I11" s="221"/>
      <c r="J11" s="221"/>
      <c r="K11" s="220"/>
      <c r="L11" s="221"/>
      <c r="M11" s="221"/>
      <c r="N11" s="221"/>
      <c r="O11" s="222"/>
      <c r="P11" s="161"/>
      <c r="Q11" s="161"/>
      <c r="R11" s="220"/>
      <c r="S11" s="221"/>
      <c r="T11" s="221"/>
      <c r="U11" s="221"/>
      <c r="V11" s="222"/>
      <c r="W11" s="220"/>
      <c r="X11" s="221"/>
      <c r="Y11" s="219"/>
      <c r="Z11" s="219"/>
      <c r="AA11" s="223"/>
      <c r="AB11" s="162"/>
      <c r="AC11" s="162"/>
      <c r="AD11" s="220"/>
      <c r="AE11" s="221"/>
      <c r="AF11" s="219"/>
      <c r="AG11" s="219"/>
      <c r="AH11" s="223"/>
      <c r="AI11" s="162"/>
      <c r="AJ11" s="162"/>
      <c r="AK11" s="220">
        <f t="shared" ref="AK11:AO16" si="0">F11+K11+R11+W11+AD11</f>
        <v>0</v>
      </c>
      <c r="AL11" s="221">
        <f t="shared" si="0"/>
        <v>0</v>
      </c>
      <c r="AM11" s="221">
        <f t="shared" si="0"/>
        <v>0</v>
      </c>
      <c r="AN11" s="221">
        <f t="shared" si="0"/>
        <v>0</v>
      </c>
      <c r="AO11" s="222">
        <f t="shared" si="0"/>
        <v>0</v>
      </c>
    </row>
    <row r="12" spans="1:41" s="72" customFormat="1" outlineLevel="1">
      <c r="A12" s="336"/>
      <c r="B12" s="337"/>
      <c r="C12" s="67" t="s">
        <v>167</v>
      </c>
      <c r="D12" s="233"/>
      <c r="E12" s="162"/>
      <c r="F12" s="234"/>
      <c r="G12" s="235"/>
      <c r="H12" s="221"/>
      <c r="I12" s="221"/>
      <c r="J12" s="221"/>
      <c r="K12" s="220"/>
      <c r="L12" s="221"/>
      <c r="M12" s="221"/>
      <c r="N12" s="221"/>
      <c r="O12" s="222"/>
      <c r="P12" s="161"/>
      <c r="Q12" s="161"/>
      <c r="R12" s="220"/>
      <c r="S12" s="221"/>
      <c r="T12" s="221"/>
      <c r="U12" s="221"/>
      <c r="V12" s="222"/>
      <c r="W12" s="220"/>
      <c r="X12" s="221"/>
      <c r="Y12" s="219"/>
      <c r="Z12" s="219"/>
      <c r="AA12" s="223"/>
      <c r="AB12" s="162"/>
      <c r="AC12" s="162"/>
      <c r="AD12" s="220"/>
      <c r="AE12" s="221"/>
      <c r="AF12" s="219"/>
      <c r="AG12" s="219"/>
      <c r="AH12" s="223"/>
      <c r="AI12" s="162"/>
      <c r="AJ12" s="162"/>
      <c r="AK12" s="234">
        <f t="shared" si="0"/>
        <v>0</v>
      </c>
      <c r="AL12" s="235">
        <f t="shared" si="0"/>
        <v>0</v>
      </c>
      <c r="AM12" s="236">
        <f t="shared" si="0"/>
        <v>0</v>
      </c>
      <c r="AN12" s="236">
        <f t="shared" si="0"/>
        <v>0</v>
      </c>
      <c r="AO12" s="237">
        <f t="shared" si="0"/>
        <v>0</v>
      </c>
    </row>
    <row r="13" spans="1:41" s="72" customFormat="1" outlineLevel="1">
      <c r="A13" s="336"/>
      <c r="B13" s="338" t="s">
        <v>38</v>
      </c>
      <c r="C13" s="67" t="s">
        <v>116</v>
      </c>
      <c r="D13" s="72" t="s">
        <v>0</v>
      </c>
      <c r="E13" s="162"/>
      <c r="F13" s="220">
        <v>0.1</v>
      </c>
      <c r="G13" s="221">
        <v>0.5</v>
      </c>
      <c r="H13" s="221"/>
      <c r="I13" s="221"/>
      <c r="J13" s="221"/>
      <c r="K13" s="220"/>
      <c r="L13" s="221"/>
      <c r="M13" s="221"/>
      <c r="N13" s="221"/>
      <c r="O13" s="222"/>
      <c r="P13" s="161"/>
      <c r="Q13" s="161"/>
      <c r="R13" s="220">
        <v>0.6</v>
      </c>
      <c r="S13" s="221"/>
      <c r="T13" s="221"/>
      <c r="U13" s="221"/>
      <c r="V13" s="222"/>
      <c r="W13" s="220">
        <v>0.2</v>
      </c>
      <c r="X13" s="221"/>
      <c r="Y13" s="219"/>
      <c r="Z13" s="219"/>
      <c r="AA13" s="223"/>
      <c r="AB13" s="162"/>
      <c r="AC13" s="162"/>
      <c r="AD13" s="220">
        <v>0.2</v>
      </c>
      <c r="AE13" s="221"/>
      <c r="AF13" s="219"/>
      <c r="AG13" s="219"/>
      <c r="AH13" s="223"/>
      <c r="AI13" s="162"/>
      <c r="AJ13" s="162"/>
      <c r="AK13" s="220">
        <f t="shared" si="0"/>
        <v>1.0999999999999999</v>
      </c>
      <c r="AL13" s="221">
        <f t="shared" si="0"/>
        <v>0.5</v>
      </c>
      <c r="AM13" s="221">
        <f t="shared" si="0"/>
        <v>0</v>
      </c>
      <c r="AN13" s="221">
        <f t="shared" si="0"/>
        <v>0</v>
      </c>
      <c r="AO13" s="222">
        <f t="shared" si="0"/>
        <v>0</v>
      </c>
    </row>
    <row r="14" spans="1:41" s="72" customFormat="1" outlineLevel="1">
      <c r="A14" s="336"/>
      <c r="B14" s="339"/>
      <c r="C14" s="67" t="s">
        <v>167</v>
      </c>
      <c r="D14" s="233">
        <v>550000</v>
      </c>
      <c r="E14" s="162"/>
      <c r="F14" s="238">
        <f>F13*D14</f>
        <v>55000</v>
      </c>
      <c r="G14" s="236">
        <f>G13*G8*D14</f>
        <v>283250</v>
      </c>
      <c r="H14" s="219"/>
      <c r="I14" s="219"/>
      <c r="J14" s="219"/>
      <c r="K14" s="218"/>
      <c r="L14" s="219"/>
      <c r="M14" s="219"/>
      <c r="N14" s="219"/>
      <c r="O14" s="223"/>
      <c r="P14" s="162"/>
      <c r="Q14" s="162"/>
      <c r="R14" s="238">
        <f>R13*$D14</f>
        <v>330000</v>
      </c>
      <c r="S14" s="219"/>
      <c r="T14" s="219"/>
      <c r="U14" s="219"/>
      <c r="V14" s="223"/>
      <c r="W14" s="238">
        <f>W13*$D14</f>
        <v>110000</v>
      </c>
      <c r="X14" s="221"/>
      <c r="Y14" s="219"/>
      <c r="Z14" s="219"/>
      <c r="AA14" s="223"/>
      <c r="AB14" s="162"/>
      <c r="AC14" s="162"/>
      <c r="AD14" s="238">
        <f>AD13*$D14</f>
        <v>110000</v>
      </c>
      <c r="AE14" s="221"/>
      <c r="AF14" s="219"/>
      <c r="AG14" s="219"/>
      <c r="AH14" s="223"/>
      <c r="AI14" s="162"/>
      <c r="AJ14" s="162"/>
      <c r="AK14" s="238">
        <f t="shared" si="0"/>
        <v>605000</v>
      </c>
      <c r="AL14" s="235">
        <f t="shared" si="0"/>
        <v>283250</v>
      </c>
      <c r="AM14" s="236">
        <f t="shared" si="0"/>
        <v>0</v>
      </c>
      <c r="AN14" s="236">
        <f t="shared" si="0"/>
        <v>0</v>
      </c>
      <c r="AO14" s="237">
        <f t="shared" si="0"/>
        <v>0</v>
      </c>
    </row>
    <row r="15" spans="1:41" s="72" customFormat="1" outlineLevel="1">
      <c r="A15" s="336"/>
      <c r="B15" s="338"/>
      <c r="C15" s="67" t="s">
        <v>116</v>
      </c>
      <c r="D15" s="72" t="s">
        <v>0</v>
      </c>
      <c r="E15" s="162"/>
      <c r="F15" s="238"/>
      <c r="G15" s="236"/>
      <c r="H15" s="219"/>
      <c r="I15" s="219"/>
      <c r="J15" s="219"/>
      <c r="K15" s="218"/>
      <c r="L15" s="219"/>
      <c r="M15" s="219"/>
      <c r="N15" s="219"/>
      <c r="O15" s="223"/>
      <c r="P15" s="162"/>
      <c r="Q15" s="162"/>
      <c r="R15" s="218"/>
      <c r="S15" s="219"/>
      <c r="T15" s="219"/>
      <c r="U15" s="219"/>
      <c r="V15" s="223"/>
      <c r="W15" s="218"/>
      <c r="X15" s="221"/>
      <c r="Y15" s="219"/>
      <c r="Z15" s="219"/>
      <c r="AA15" s="223"/>
      <c r="AB15" s="162"/>
      <c r="AC15" s="162"/>
      <c r="AD15" s="218"/>
      <c r="AE15" s="221"/>
      <c r="AF15" s="219"/>
      <c r="AG15" s="219"/>
      <c r="AH15" s="223"/>
      <c r="AI15" s="162"/>
      <c r="AJ15" s="162"/>
      <c r="AK15" s="220">
        <f t="shared" si="0"/>
        <v>0</v>
      </c>
      <c r="AL15" s="221">
        <f t="shared" si="0"/>
        <v>0</v>
      </c>
      <c r="AM15" s="221">
        <f t="shared" si="0"/>
        <v>0</v>
      </c>
      <c r="AN15" s="221">
        <f t="shared" si="0"/>
        <v>0</v>
      </c>
      <c r="AO15" s="222">
        <f t="shared" si="0"/>
        <v>0</v>
      </c>
    </row>
    <row r="16" spans="1:41" s="72" customFormat="1" outlineLevel="1">
      <c r="A16" s="336"/>
      <c r="B16" s="339"/>
      <c r="C16" s="67" t="s">
        <v>167</v>
      </c>
      <c r="D16" s="239"/>
      <c r="E16" s="162"/>
      <c r="F16" s="228"/>
      <c r="G16" s="229"/>
      <c r="H16" s="229"/>
      <c r="I16" s="229"/>
      <c r="J16" s="229"/>
      <c r="K16" s="228"/>
      <c r="L16" s="229"/>
      <c r="M16" s="229"/>
      <c r="N16" s="229"/>
      <c r="O16" s="230"/>
      <c r="P16" s="161"/>
      <c r="Q16" s="161"/>
      <c r="R16" s="220"/>
      <c r="S16" s="221"/>
      <c r="T16" s="221"/>
      <c r="U16" s="221"/>
      <c r="V16" s="222"/>
      <c r="W16" s="220"/>
      <c r="X16" s="221"/>
      <c r="Y16" s="219"/>
      <c r="Z16" s="219"/>
      <c r="AA16" s="223"/>
      <c r="AB16" s="162"/>
      <c r="AC16" s="162"/>
      <c r="AD16" s="220"/>
      <c r="AE16" s="221"/>
      <c r="AF16" s="219"/>
      <c r="AG16" s="219"/>
      <c r="AH16" s="223"/>
      <c r="AI16" s="162"/>
      <c r="AJ16" s="162"/>
      <c r="AK16" s="234">
        <f t="shared" si="0"/>
        <v>0</v>
      </c>
      <c r="AL16" s="235">
        <f t="shared" si="0"/>
        <v>0</v>
      </c>
      <c r="AM16" s="236">
        <f t="shared" si="0"/>
        <v>0</v>
      </c>
      <c r="AN16" s="236">
        <f t="shared" si="0"/>
        <v>0</v>
      </c>
      <c r="AO16" s="237">
        <f t="shared" si="0"/>
        <v>0</v>
      </c>
    </row>
    <row r="17" spans="1:41" s="72" customFormat="1" ht="15">
      <c r="A17" s="340" t="s">
        <v>136</v>
      </c>
      <c r="B17" s="341"/>
      <c r="C17" s="341"/>
      <c r="D17" s="341"/>
      <c r="E17" s="342"/>
      <c r="F17" s="120">
        <f>SUM(F12,F14,F16)</f>
        <v>55000</v>
      </c>
      <c r="G17" s="84">
        <f>SUM(G12,G14,G16)</f>
        <v>283250</v>
      </c>
      <c r="H17" s="84">
        <f>SUM(H12,H14,H16)</f>
        <v>0</v>
      </c>
      <c r="I17" s="84">
        <f>SUM(I12,I14,I16)</f>
        <v>0</v>
      </c>
      <c r="J17" s="84">
        <f>SUM(J12,J14,J16)</f>
        <v>0</v>
      </c>
      <c r="K17" s="84"/>
      <c r="L17" s="84"/>
      <c r="M17" s="84"/>
      <c r="N17" s="84"/>
      <c r="O17" s="84"/>
      <c r="P17" s="163"/>
      <c r="Q17" s="163"/>
      <c r="R17" s="84">
        <f t="shared" ref="R17:AA17" si="1">SUM(R11:R16)</f>
        <v>330000.59999999998</v>
      </c>
      <c r="S17" s="84">
        <f t="shared" si="1"/>
        <v>0</v>
      </c>
      <c r="T17" s="84">
        <f t="shared" si="1"/>
        <v>0</v>
      </c>
      <c r="U17" s="84">
        <f t="shared" si="1"/>
        <v>0</v>
      </c>
      <c r="V17" s="84">
        <f t="shared" si="1"/>
        <v>0</v>
      </c>
      <c r="W17" s="84">
        <f t="shared" si="1"/>
        <v>110000.2</v>
      </c>
      <c r="X17" s="84">
        <f t="shared" si="1"/>
        <v>0</v>
      </c>
      <c r="Y17" s="84">
        <f t="shared" si="1"/>
        <v>0</v>
      </c>
      <c r="Z17" s="84">
        <f t="shared" si="1"/>
        <v>0</v>
      </c>
      <c r="AA17" s="84">
        <f t="shared" si="1"/>
        <v>0</v>
      </c>
      <c r="AB17" s="162"/>
      <c r="AC17" s="162"/>
      <c r="AD17" s="84">
        <f>SUM(AD11:AD16)</f>
        <v>110000.2</v>
      </c>
      <c r="AE17" s="84">
        <f>SUM(AE11:AE16)</f>
        <v>0</v>
      </c>
      <c r="AF17" s="84">
        <f>SUM(AF11:AF16)</f>
        <v>0</v>
      </c>
      <c r="AG17" s="84">
        <f>SUM(AG11:AG16)</f>
        <v>0</v>
      </c>
      <c r="AH17" s="84">
        <f>SUM(AH11:AH16)</f>
        <v>0</v>
      </c>
      <c r="AI17" s="162"/>
      <c r="AJ17" s="162"/>
      <c r="AK17" s="84">
        <f>SUM(AK11:AK16)</f>
        <v>605001.1</v>
      </c>
      <c r="AL17" s="84">
        <f>SUM(AL11:AL16)</f>
        <v>283250.5</v>
      </c>
      <c r="AM17" s="84">
        <f>SUM(AM11:AM16)</f>
        <v>0</v>
      </c>
      <c r="AN17" s="84">
        <f>SUM(AN11:AN16)</f>
        <v>0</v>
      </c>
      <c r="AO17" s="240">
        <f>SUM(AO11:AO16)</f>
        <v>0</v>
      </c>
    </row>
    <row r="18" spans="1:41">
      <c r="E18" s="162"/>
      <c r="F18" s="61"/>
      <c r="K18" s="61"/>
      <c r="O18" s="62"/>
      <c r="P18" s="162"/>
      <c r="Q18" s="162"/>
      <c r="R18" s="61"/>
      <c r="V18" s="62"/>
      <c r="W18" s="61"/>
      <c r="AA18" s="62"/>
      <c r="AB18" s="162"/>
      <c r="AC18" s="162"/>
      <c r="AD18" s="61"/>
      <c r="AH18" s="62"/>
      <c r="AI18" s="162"/>
      <c r="AJ18" s="162"/>
      <c r="AK18" s="61"/>
      <c r="AO18" s="62"/>
    </row>
    <row r="19" spans="1:41" s="88" customFormat="1" outlineLevel="1">
      <c r="A19" s="355" t="s">
        <v>168</v>
      </c>
      <c r="B19" s="166" t="s">
        <v>169</v>
      </c>
      <c r="D19" s="89" t="s">
        <v>110</v>
      </c>
      <c r="E19" s="162"/>
      <c r="F19" s="234">
        <v>1000</v>
      </c>
      <c r="G19" s="241" t="s">
        <v>170</v>
      </c>
      <c r="H19" s="241" t="s">
        <v>170</v>
      </c>
      <c r="I19" s="241" t="s">
        <v>170</v>
      </c>
      <c r="J19" s="242" t="s">
        <v>170</v>
      </c>
      <c r="K19" s="234">
        <v>1000</v>
      </c>
      <c r="L19" s="241" t="s">
        <v>170</v>
      </c>
      <c r="M19" s="241" t="s">
        <v>170</v>
      </c>
      <c r="N19" s="241" t="s">
        <v>170</v>
      </c>
      <c r="O19" s="242" t="s">
        <v>170</v>
      </c>
      <c r="P19" s="162"/>
      <c r="Q19" s="162"/>
      <c r="R19" s="234">
        <v>1000</v>
      </c>
      <c r="S19" s="241" t="s">
        <v>170</v>
      </c>
      <c r="T19" s="241" t="s">
        <v>170</v>
      </c>
      <c r="U19" s="241" t="s">
        <v>170</v>
      </c>
      <c r="V19" s="242" t="s">
        <v>170</v>
      </c>
      <c r="W19" s="234">
        <v>1000</v>
      </c>
      <c r="X19" s="241" t="s">
        <v>170</v>
      </c>
      <c r="Y19" s="241" t="s">
        <v>170</v>
      </c>
      <c r="Z19" s="241" t="s">
        <v>170</v>
      </c>
      <c r="AA19" s="242" t="s">
        <v>170</v>
      </c>
      <c r="AB19" s="162"/>
      <c r="AC19" s="162"/>
      <c r="AD19" s="234">
        <v>1000</v>
      </c>
      <c r="AE19" s="241" t="s">
        <v>170</v>
      </c>
      <c r="AF19" s="241" t="s">
        <v>170</v>
      </c>
      <c r="AG19" s="241" t="s">
        <v>170</v>
      </c>
      <c r="AH19" s="242" t="s">
        <v>170</v>
      </c>
      <c r="AI19" s="162"/>
      <c r="AJ19" s="162"/>
      <c r="AK19" s="243">
        <f>SUM(F19,K19,R19,W19,AD19)</f>
        <v>5000</v>
      </c>
      <c r="AL19" s="241" t="s">
        <v>170</v>
      </c>
      <c r="AM19" s="241" t="s">
        <v>170</v>
      </c>
      <c r="AN19" s="241" t="s">
        <v>170</v>
      </c>
      <c r="AO19" s="242" t="s">
        <v>170</v>
      </c>
    </row>
    <row r="20" spans="1:41" s="88" customFormat="1" outlineLevel="1">
      <c r="A20" s="356"/>
      <c r="B20" s="244" t="s">
        <v>171</v>
      </c>
      <c r="D20" s="89" t="s">
        <v>110</v>
      </c>
      <c r="E20" s="162"/>
      <c r="F20" s="234"/>
      <c r="G20" s="241" t="s">
        <v>170</v>
      </c>
      <c r="H20" s="241" t="s">
        <v>170</v>
      </c>
      <c r="I20" s="241" t="s">
        <v>170</v>
      </c>
      <c r="J20" s="242" t="s">
        <v>170</v>
      </c>
      <c r="K20" s="234"/>
      <c r="L20" s="241" t="s">
        <v>170</v>
      </c>
      <c r="M20" s="241" t="s">
        <v>170</v>
      </c>
      <c r="N20" s="241" t="s">
        <v>170</v>
      </c>
      <c r="O20" s="242" t="s">
        <v>170</v>
      </c>
      <c r="P20" s="162"/>
      <c r="Q20" s="162"/>
      <c r="R20" s="234"/>
      <c r="S20" s="241" t="s">
        <v>170</v>
      </c>
      <c r="T20" s="241" t="s">
        <v>170</v>
      </c>
      <c r="U20" s="241" t="s">
        <v>170</v>
      </c>
      <c r="V20" s="242" t="s">
        <v>170</v>
      </c>
      <c r="W20" s="234"/>
      <c r="X20" s="241" t="s">
        <v>170</v>
      </c>
      <c r="Y20" s="241" t="s">
        <v>170</v>
      </c>
      <c r="Z20" s="241" t="s">
        <v>170</v>
      </c>
      <c r="AA20" s="242" t="s">
        <v>170</v>
      </c>
      <c r="AB20" s="162"/>
      <c r="AC20" s="162"/>
      <c r="AD20" s="234"/>
      <c r="AE20" s="241" t="s">
        <v>170</v>
      </c>
      <c r="AF20" s="241" t="s">
        <v>170</v>
      </c>
      <c r="AG20" s="241" t="s">
        <v>170</v>
      </c>
      <c r="AH20" s="242" t="s">
        <v>170</v>
      </c>
      <c r="AI20" s="162"/>
      <c r="AJ20" s="162"/>
      <c r="AK20" s="243">
        <f>SUM(F20,K20,R20,W20,AD20)</f>
        <v>0</v>
      </c>
      <c r="AL20" s="241" t="s">
        <v>170</v>
      </c>
      <c r="AM20" s="241" t="s">
        <v>170</v>
      </c>
      <c r="AN20" s="241" t="s">
        <v>170</v>
      </c>
      <c r="AO20" s="242" t="s">
        <v>170</v>
      </c>
    </row>
    <row r="21" spans="1:41" s="88" customFormat="1" outlineLevel="1">
      <c r="A21" s="356"/>
      <c r="B21" s="244" t="s">
        <v>172</v>
      </c>
      <c r="D21" s="89" t="s">
        <v>110</v>
      </c>
      <c r="E21" s="162"/>
      <c r="F21" s="234"/>
      <c r="G21" s="241" t="s">
        <v>170</v>
      </c>
      <c r="H21" s="241" t="s">
        <v>170</v>
      </c>
      <c r="I21" s="241" t="s">
        <v>170</v>
      </c>
      <c r="J21" s="242" t="s">
        <v>170</v>
      </c>
      <c r="K21" s="234"/>
      <c r="L21" s="241" t="s">
        <v>170</v>
      </c>
      <c r="M21" s="241" t="s">
        <v>170</v>
      </c>
      <c r="N21" s="241" t="s">
        <v>170</v>
      </c>
      <c r="O21" s="242" t="s">
        <v>170</v>
      </c>
      <c r="P21" s="162"/>
      <c r="Q21" s="162"/>
      <c r="R21" s="234"/>
      <c r="S21" s="241" t="s">
        <v>170</v>
      </c>
      <c r="T21" s="241" t="s">
        <v>170</v>
      </c>
      <c r="U21" s="241" t="s">
        <v>170</v>
      </c>
      <c r="V21" s="242" t="s">
        <v>170</v>
      </c>
      <c r="W21" s="234"/>
      <c r="X21" s="241" t="s">
        <v>170</v>
      </c>
      <c r="Y21" s="241" t="s">
        <v>170</v>
      </c>
      <c r="Z21" s="241" t="s">
        <v>170</v>
      </c>
      <c r="AA21" s="242" t="s">
        <v>170</v>
      </c>
      <c r="AB21" s="162"/>
      <c r="AC21" s="162"/>
      <c r="AD21" s="234"/>
      <c r="AE21" s="241" t="s">
        <v>170</v>
      </c>
      <c r="AF21" s="241" t="s">
        <v>170</v>
      </c>
      <c r="AG21" s="241" t="s">
        <v>170</v>
      </c>
      <c r="AH21" s="242" t="s">
        <v>170</v>
      </c>
      <c r="AI21" s="162"/>
      <c r="AJ21" s="162"/>
      <c r="AK21" s="243">
        <f>SUM(F21,K21,R21,W21,AD21)</f>
        <v>0</v>
      </c>
      <c r="AL21" s="241" t="s">
        <v>170</v>
      </c>
      <c r="AM21" s="241" t="s">
        <v>170</v>
      </c>
      <c r="AN21" s="241" t="s">
        <v>170</v>
      </c>
      <c r="AO21" s="242" t="s">
        <v>170</v>
      </c>
    </row>
    <row r="22" spans="1:41" s="88" customFormat="1" outlineLevel="1">
      <c r="A22" s="355" t="s">
        <v>173</v>
      </c>
      <c r="B22" s="166" t="s">
        <v>169</v>
      </c>
      <c r="D22" s="89" t="s">
        <v>110</v>
      </c>
      <c r="E22" s="162"/>
      <c r="F22" s="243" t="s">
        <v>170</v>
      </c>
      <c r="G22" s="235"/>
      <c r="H22" s="241" t="s">
        <v>170</v>
      </c>
      <c r="I22" s="241" t="s">
        <v>170</v>
      </c>
      <c r="J22" s="242" t="s">
        <v>170</v>
      </c>
      <c r="K22" s="243" t="s">
        <v>170</v>
      </c>
      <c r="L22" s="235"/>
      <c r="M22" s="241" t="s">
        <v>170</v>
      </c>
      <c r="N22" s="241" t="s">
        <v>170</v>
      </c>
      <c r="O22" s="242" t="s">
        <v>170</v>
      </c>
      <c r="P22" s="162"/>
      <c r="Q22" s="162"/>
      <c r="R22" s="243" t="s">
        <v>170</v>
      </c>
      <c r="S22" s="235"/>
      <c r="T22" s="241" t="s">
        <v>170</v>
      </c>
      <c r="U22" s="241" t="s">
        <v>170</v>
      </c>
      <c r="V22" s="242" t="s">
        <v>170</v>
      </c>
      <c r="W22" s="243" t="s">
        <v>170</v>
      </c>
      <c r="X22" s="235"/>
      <c r="Y22" s="241" t="s">
        <v>170</v>
      </c>
      <c r="Z22" s="241" t="s">
        <v>170</v>
      </c>
      <c r="AA22" s="242" t="s">
        <v>170</v>
      </c>
      <c r="AB22" s="162"/>
      <c r="AC22" s="162"/>
      <c r="AD22" s="243" t="s">
        <v>170</v>
      </c>
      <c r="AE22" s="235"/>
      <c r="AF22" s="241" t="s">
        <v>170</v>
      </c>
      <c r="AG22" s="241" t="s">
        <v>170</v>
      </c>
      <c r="AH22" s="242" t="s">
        <v>170</v>
      </c>
      <c r="AI22" s="162"/>
      <c r="AJ22" s="162"/>
      <c r="AK22" s="243" t="s">
        <v>170</v>
      </c>
      <c r="AL22" s="241">
        <f>SUM(G22,L22,S22,X22,AE22)</f>
        <v>0</v>
      </c>
      <c r="AM22" s="241" t="s">
        <v>170</v>
      </c>
      <c r="AN22" s="241" t="s">
        <v>170</v>
      </c>
      <c r="AO22" s="242" t="s">
        <v>170</v>
      </c>
    </row>
    <row r="23" spans="1:41" s="88" customFormat="1" outlineLevel="1">
      <c r="A23" s="356"/>
      <c r="B23" s="244" t="s">
        <v>171</v>
      </c>
      <c r="D23" s="89" t="s">
        <v>110</v>
      </c>
      <c r="E23" s="162"/>
      <c r="F23" s="243" t="s">
        <v>170</v>
      </c>
      <c r="G23" s="235"/>
      <c r="H23" s="241" t="s">
        <v>170</v>
      </c>
      <c r="I23" s="241" t="s">
        <v>170</v>
      </c>
      <c r="J23" s="242" t="s">
        <v>170</v>
      </c>
      <c r="K23" s="243" t="s">
        <v>170</v>
      </c>
      <c r="L23" s="235"/>
      <c r="M23" s="241" t="s">
        <v>170</v>
      </c>
      <c r="N23" s="241" t="s">
        <v>170</v>
      </c>
      <c r="O23" s="242" t="s">
        <v>170</v>
      </c>
      <c r="P23" s="162"/>
      <c r="Q23" s="162"/>
      <c r="R23" s="243" t="s">
        <v>170</v>
      </c>
      <c r="S23" s="235"/>
      <c r="T23" s="241" t="s">
        <v>170</v>
      </c>
      <c r="U23" s="241" t="s">
        <v>170</v>
      </c>
      <c r="V23" s="242" t="s">
        <v>170</v>
      </c>
      <c r="W23" s="243" t="s">
        <v>170</v>
      </c>
      <c r="X23" s="235"/>
      <c r="Y23" s="241" t="s">
        <v>170</v>
      </c>
      <c r="Z23" s="241" t="s">
        <v>170</v>
      </c>
      <c r="AA23" s="242" t="s">
        <v>170</v>
      </c>
      <c r="AB23" s="162"/>
      <c r="AC23" s="162"/>
      <c r="AD23" s="243" t="s">
        <v>170</v>
      </c>
      <c r="AE23" s="235"/>
      <c r="AF23" s="241" t="s">
        <v>170</v>
      </c>
      <c r="AG23" s="241" t="s">
        <v>170</v>
      </c>
      <c r="AH23" s="242" t="s">
        <v>170</v>
      </c>
      <c r="AI23" s="162"/>
      <c r="AJ23" s="162"/>
      <c r="AK23" s="243" t="s">
        <v>170</v>
      </c>
      <c r="AL23" s="241">
        <f>SUM(G23,L23,S23,X23,AE23)</f>
        <v>0</v>
      </c>
      <c r="AM23" s="241" t="s">
        <v>170</v>
      </c>
      <c r="AN23" s="241" t="s">
        <v>170</v>
      </c>
      <c r="AO23" s="242" t="s">
        <v>170</v>
      </c>
    </row>
    <row r="24" spans="1:41" s="88" customFormat="1" outlineLevel="1">
      <c r="A24" s="356"/>
      <c r="B24" s="244" t="s">
        <v>172</v>
      </c>
      <c r="D24" s="89" t="s">
        <v>110</v>
      </c>
      <c r="E24" s="162"/>
      <c r="F24" s="243" t="s">
        <v>170</v>
      </c>
      <c r="G24" s="235"/>
      <c r="H24" s="241" t="s">
        <v>170</v>
      </c>
      <c r="I24" s="241" t="s">
        <v>170</v>
      </c>
      <c r="J24" s="242" t="s">
        <v>170</v>
      </c>
      <c r="K24" s="243" t="s">
        <v>170</v>
      </c>
      <c r="L24" s="235"/>
      <c r="M24" s="241" t="s">
        <v>170</v>
      </c>
      <c r="N24" s="241" t="s">
        <v>170</v>
      </c>
      <c r="O24" s="242" t="s">
        <v>170</v>
      </c>
      <c r="P24" s="162"/>
      <c r="Q24" s="162"/>
      <c r="R24" s="243" t="s">
        <v>170</v>
      </c>
      <c r="S24" s="235"/>
      <c r="T24" s="241" t="s">
        <v>170</v>
      </c>
      <c r="U24" s="241" t="s">
        <v>170</v>
      </c>
      <c r="V24" s="242" t="s">
        <v>170</v>
      </c>
      <c r="W24" s="243" t="s">
        <v>170</v>
      </c>
      <c r="X24" s="235"/>
      <c r="Y24" s="241" t="s">
        <v>170</v>
      </c>
      <c r="Z24" s="241" t="s">
        <v>170</v>
      </c>
      <c r="AA24" s="242" t="s">
        <v>170</v>
      </c>
      <c r="AB24" s="162"/>
      <c r="AC24" s="162"/>
      <c r="AD24" s="243" t="s">
        <v>170</v>
      </c>
      <c r="AE24" s="235"/>
      <c r="AF24" s="241" t="s">
        <v>170</v>
      </c>
      <c r="AG24" s="241" t="s">
        <v>170</v>
      </c>
      <c r="AH24" s="242" t="s">
        <v>170</v>
      </c>
      <c r="AI24" s="162"/>
      <c r="AJ24" s="162"/>
      <c r="AK24" s="243" t="s">
        <v>170</v>
      </c>
      <c r="AL24" s="241">
        <f>SUM(G24,L24,S24,X24,AE24)</f>
        <v>0</v>
      </c>
      <c r="AM24" s="241" t="s">
        <v>170</v>
      </c>
      <c r="AN24" s="241" t="s">
        <v>170</v>
      </c>
      <c r="AO24" s="242" t="s">
        <v>170</v>
      </c>
    </row>
    <row r="25" spans="1:41" s="88" customFormat="1" outlineLevel="1">
      <c r="A25" s="355" t="s">
        <v>174</v>
      </c>
      <c r="B25" s="166" t="s">
        <v>169</v>
      </c>
      <c r="D25" s="89" t="s">
        <v>110</v>
      </c>
      <c r="E25" s="162"/>
      <c r="F25" s="243" t="s">
        <v>170</v>
      </c>
      <c r="G25" s="241" t="s">
        <v>170</v>
      </c>
      <c r="H25" s="235"/>
      <c r="I25" s="241" t="s">
        <v>170</v>
      </c>
      <c r="J25" s="242" t="s">
        <v>170</v>
      </c>
      <c r="K25" s="243" t="s">
        <v>170</v>
      </c>
      <c r="L25" s="241" t="s">
        <v>170</v>
      </c>
      <c r="M25" s="235"/>
      <c r="N25" s="241" t="s">
        <v>170</v>
      </c>
      <c r="O25" s="242" t="s">
        <v>170</v>
      </c>
      <c r="P25" s="162"/>
      <c r="Q25" s="162"/>
      <c r="R25" s="243" t="s">
        <v>170</v>
      </c>
      <c r="S25" s="241" t="s">
        <v>170</v>
      </c>
      <c r="T25" s="235"/>
      <c r="U25" s="241" t="s">
        <v>170</v>
      </c>
      <c r="V25" s="242" t="s">
        <v>170</v>
      </c>
      <c r="W25" s="243" t="s">
        <v>170</v>
      </c>
      <c r="X25" s="241" t="s">
        <v>170</v>
      </c>
      <c r="Y25" s="235"/>
      <c r="Z25" s="241" t="s">
        <v>170</v>
      </c>
      <c r="AA25" s="242" t="s">
        <v>170</v>
      </c>
      <c r="AB25" s="162"/>
      <c r="AC25" s="162"/>
      <c r="AD25" s="243" t="s">
        <v>170</v>
      </c>
      <c r="AE25" s="241" t="s">
        <v>170</v>
      </c>
      <c r="AF25" s="235"/>
      <c r="AG25" s="241" t="s">
        <v>170</v>
      </c>
      <c r="AH25" s="242" t="s">
        <v>170</v>
      </c>
      <c r="AI25" s="162"/>
      <c r="AJ25" s="162"/>
      <c r="AK25" s="243" t="s">
        <v>170</v>
      </c>
      <c r="AL25" s="241" t="s">
        <v>170</v>
      </c>
      <c r="AM25" s="241">
        <f>SUM(H25,M25,T25,Y25,AF25)</f>
        <v>0</v>
      </c>
      <c r="AN25" s="241" t="s">
        <v>170</v>
      </c>
      <c r="AO25" s="242" t="s">
        <v>170</v>
      </c>
    </row>
    <row r="26" spans="1:41" s="88" customFormat="1" outlineLevel="1">
      <c r="A26" s="356"/>
      <c r="B26" s="244" t="s">
        <v>171</v>
      </c>
      <c r="D26" s="89" t="s">
        <v>110</v>
      </c>
      <c r="E26" s="162"/>
      <c r="F26" s="243" t="s">
        <v>170</v>
      </c>
      <c r="G26" s="241" t="s">
        <v>170</v>
      </c>
      <c r="H26" s="235"/>
      <c r="I26" s="241" t="s">
        <v>170</v>
      </c>
      <c r="J26" s="242" t="s">
        <v>170</v>
      </c>
      <c r="K26" s="243" t="s">
        <v>170</v>
      </c>
      <c r="L26" s="241" t="s">
        <v>170</v>
      </c>
      <c r="M26" s="235"/>
      <c r="N26" s="241" t="s">
        <v>170</v>
      </c>
      <c r="O26" s="242" t="s">
        <v>170</v>
      </c>
      <c r="P26" s="162"/>
      <c r="Q26" s="162"/>
      <c r="R26" s="243" t="s">
        <v>170</v>
      </c>
      <c r="S26" s="241" t="s">
        <v>170</v>
      </c>
      <c r="T26" s="235"/>
      <c r="U26" s="241" t="s">
        <v>170</v>
      </c>
      <c r="V26" s="242" t="s">
        <v>170</v>
      </c>
      <c r="W26" s="243" t="s">
        <v>170</v>
      </c>
      <c r="X26" s="241" t="s">
        <v>170</v>
      </c>
      <c r="Y26" s="235"/>
      <c r="Z26" s="241" t="s">
        <v>170</v>
      </c>
      <c r="AA26" s="242" t="s">
        <v>170</v>
      </c>
      <c r="AB26" s="162"/>
      <c r="AC26" s="162"/>
      <c r="AD26" s="243" t="s">
        <v>170</v>
      </c>
      <c r="AE26" s="241" t="s">
        <v>170</v>
      </c>
      <c r="AF26" s="235"/>
      <c r="AG26" s="241" t="s">
        <v>170</v>
      </c>
      <c r="AH26" s="242" t="s">
        <v>170</v>
      </c>
      <c r="AI26" s="162"/>
      <c r="AJ26" s="162"/>
      <c r="AK26" s="243" t="s">
        <v>170</v>
      </c>
      <c r="AL26" s="241" t="s">
        <v>170</v>
      </c>
      <c r="AM26" s="241">
        <f>SUM(H26,M26,T26,Y26,AF26)</f>
        <v>0</v>
      </c>
      <c r="AN26" s="241" t="s">
        <v>170</v>
      </c>
      <c r="AO26" s="242" t="s">
        <v>170</v>
      </c>
    </row>
    <row r="27" spans="1:41" s="88" customFormat="1" outlineLevel="1">
      <c r="A27" s="356"/>
      <c r="B27" s="244" t="s">
        <v>172</v>
      </c>
      <c r="D27" s="89" t="s">
        <v>110</v>
      </c>
      <c r="E27" s="162"/>
      <c r="F27" s="243" t="s">
        <v>170</v>
      </c>
      <c r="G27" s="241" t="s">
        <v>170</v>
      </c>
      <c r="H27" s="235"/>
      <c r="I27" s="241" t="s">
        <v>170</v>
      </c>
      <c r="J27" s="242" t="s">
        <v>170</v>
      </c>
      <c r="K27" s="243" t="s">
        <v>170</v>
      </c>
      <c r="L27" s="241" t="s">
        <v>170</v>
      </c>
      <c r="M27" s="235"/>
      <c r="N27" s="241" t="s">
        <v>170</v>
      </c>
      <c r="O27" s="242" t="s">
        <v>170</v>
      </c>
      <c r="P27" s="162"/>
      <c r="Q27" s="162"/>
      <c r="R27" s="243" t="s">
        <v>170</v>
      </c>
      <c r="S27" s="241" t="s">
        <v>170</v>
      </c>
      <c r="T27" s="235"/>
      <c r="U27" s="241" t="s">
        <v>170</v>
      </c>
      <c r="V27" s="242" t="s">
        <v>170</v>
      </c>
      <c r="W27" s="243" t="s">
        <v>170</v>
      </c>
      <c r="X27" s="241" t="s">
        <v>170</v>
      </c>
      <c r="Y27" s="235"/>
      <c r="Z27" s="241" t="s">
        <v>170</v>
      </c>
      <c r="AA27" s="242" t="s">
        <v>170</v>
      </c>
      <c r="AB27" s="162"/>
      <c r="AC27" s="162"/>
      <c r="AD27" s="243" t="s">
        <v>170</v>
      </c>
      <c r="AE27" s="241" t="s">
        <v>170</v>
      </c>
      <c r="AF27" s="235"/>
      <c r="AG27" s="241" t="s">
        <v>170</v>
      </c>
      <c r="AH27" s="242" t="s">
        <v>170</v>
      </c>
      <c r="AI27" s="162"/>
      <c r="AJ27" s="162"/>
      <c r="AK27" s="243" t="s">
        <v>170</v>
      </c>
      <c r="AL27" s="241" t="s">
        <v>170</v>
      </c>
      <c r="AM27" s="241">
        <f>SUM(H27,M27,T27,Y27,AF27)</f>
        <v>0</v>
      </c>
      <c r="AN27" s="241" t="s">
        <v>170</v>
      </c>
      <c r="AO27" s="242" t="s">
        <v>170</v>
      </c>
    </row>
    <row r="28" spans="1:41" s="88" customFormat="1" outlineLevel="1">
      <c r="A28" s="355" t="s">
        <v>175</v>
      </c>
      <c r="B28" s="166" t="s">
        <v>169</v>
      </c>
      <c r="D28" s="89" t="s">
        <v>110</v>
      </c>
      <c r="E28" s="162"/>
      <c r="F28" s="243" t="s">
        <v>170</v>
      </c>
      <c r="G28" s="241" t="s">
        <v>170</v>
      </c>
      <c r="H28" s="241" t="s">
        <v>170</v>
      </c>
      <c r="I28" s="235"/>
      <c r="J28" s="242" t="s">
        <v>170</v>
      </c>
      <c r="K28" s="243" t="s">
        <v>170</v>
      </c>
      <c r="L28" s="241" t="s">
        <v>170</v>
      </c>
      <c r="M28" s="241" t="s">
        <v>170</v>
      </c>
      <c r="N28" s="235"/>
      <c r="O28" s="242" t="s">
        <v>170</v>
      </c>
      <c r="P28" s="162"/>
      <c r="Q28" s="162"/>
      <c r="R28" s="243" t="s">
        <v>170</v>
      </c>
      <c r="S28" s="241" t="s">
        <v>170</v>
      </c>
      <c r="T28" s="241" t="s">
        <v>170</v>
      </c>
      <c r="U28" s="235"/>
      <c r="V28" s="242" t="s">
        <v>170</v>
      </c>
      <c r="W28" s="243" t="s">
        <v>170</v>
      </c>
      <c r="X28" s="241" t="s">
        <v>170</v>
      </c>
      <c r="Y28" s="241" t="s">
        <v>170</v>
      </c>
      <c r="Z28" s="235"/>
      <c r="AA28" s="242" t="s">
        <v>170</v>
      </c>
      <c r="AB28" s="162"/>
      <c r="AC28" s="162"/>
      <c r="AD28" s="243" t="s">
        <v>170</v>
      </c>
      <c r="AE28" s="241" t="s">
        <v>170</v>
      </c>
      <c r="AF28" s="241" t="s">
        <v>170</v>
      </c>
      <c r="AG28" s="235"/>
      <c r="AH28" s="242" t="s">
        <v>170</v>
      </c>
      <c r="AI28" s="162"/>
      <c r="AJ28" s="162"/>
      <c r="AK28" s="243" t="s">
        <v>170</v>
      </c>
      <c r="AL28" s="241" t="s">
        <v>170</v>
      </c>
      <c r="AM28" s="241" t="s">
        <v>170</v>
      </c>
      <c r="AN28" s="241">
        <f>SUM(I28,N28,U28,Z28,AG28)</f>
        <v>0</v>
      </c>
      <c r="AO28" s="242" t="s">
        <v>170</v>
      </c>
    </row>
    <row r="29" spans="1:41" s="88" customFormat="1" outlineLevel="1">
      <c r="A29" s="356"/>
      <c r="B29" s="244" t="s">
        <v>171</v>
      </c>
      <c r="D29" s="89" t="s">
        <v>110</v>
      </c>
      <c r="E29" s="162"/>
      <c r="F29" s="243" t="s">
        <v>170</v>
      </c>
      <c r="G29" s="241" t="s">
        <v>170</v>
      </c>
      <c r="H29" s="241" t="s">
        <v>170</v>
      </c>
      <c r="I29" s="235"/>
      <c r="J29" s="242" t="s">
        <v>170</v>
      </c>
      <c r="K29" s="243" t="s">
        <v>170</v>
      </c>
      <c r="L29" s="241" t="s">
        <v>170</v>
      </c>
      <c r="M29" s="241" t="s">
        <v>170</v>
      </c>
      <c r="N29" s="235"/>
      <c r="O29" s="242" t="s">
        <v>170</v>
      </c>
      <c r="P29" s="162"/>
      <c r="Q29" s="162"/>
      <c r="R29" s="243" t="s">
        <v>170</v>
      </c>
      <c r="S29" s="241" t="s">
        <v>170</v>
      </c>
      <c r="T29" s="241" t="s">
        <v>170</v>
      </c>
      <c r="U29" s="235"/>
      <c r="V29" s="242" t="s">
        <v>170</v>
      </c>
      <c r="W29" s="243" t="s">
        <v>170</v>
      </c>
      <c r="X29" s="241" t="s">
        <v>170</v>
      </c>
      <c r="Y29" s="241" t="s">
        <v>170</v>
      </c>
      <c r="Z29" s="235"/>
      <c r="AA29" s="242" t="s">
        <v>170</v>
      </c>
      <c r="AB29" s="162"/>
      <c r="AC29" s="162"/>
      <c r="AD29" s="243" t="s">
        <v>170</v>
      </c>
      <c r="AE29" s="241" t="s">
        <v>170</v>
      </c>
      <c r="AF29" s="241" t="s">
        <v>170</v>
      </c>
      <c r="AG29" s="235"/>
      <c r="AH29" s="242" t="s">
        <v>170</v>
      </c>
      <c r="AI29" s="162"/>
      <c r="AJ29" s="162"/>
      <c r="AK29" s="243" t="s">
        <v>170</v>
      </c>
      <c r="AL29" s="241" t="s">
        <v>170</v>
      </c>
      <c r="AM29" s="241" t="s">
        <v>170</v>
      </c>
      <c r="AN29" s="241">
        <f>SUM(I29,N29,U29,Z29,AG29)</f>
        <v>0</v>
      </c>
      <c r="AO29" s="242" t="s">
        <v>170</v>
      </c>
    </row>
    <row r="30" spans="1:41" s="88" customFormat="1" outlineLevel="1">
      <c r="A30" s="356"/>
      <c r="B30" s="244" t="s">
        <v>172</v>
      </c>
      <c r="D30" s="89" t="s">
        <v>110</v>
      </c>
      <c r="E30" s="162"/>
      <c r="F30" s="243" t="s">
        <v>170</v>
      </c>
      <c r="G30" s="241" t="s">
        <v>170</v>
      </c>
      <c r="H30" s="241" t="s">
        <v>170</v>
      </c>
      <c r="I30" s="235"/>
      <c r="J30" s="242" t="s">
        <v>170</v>
      </c>
      <c r="K30" s="243" t="s">
        <v>170</v>
      </c>
      <c r="L30" s="241" t="s">
        <v>170</v>
      </c>
      <c r="M30" s="241" t="s">
        <v>170</v>
      </c>
      <c r="N30" s="235"/>
      <c r="O30" s="242" t="s">
        <v>170</v>
      </c>
      <c r="P30" s="162"/>
      <c r="Q30" s="162"/>
      <c r="R30" s="243" t="s">
        <v>170</v>
      </c>
      <c r="S30" s="241" t="s">
        <v>170</v>
      </c>
      <c r="T30" s="241" t="s">
        <v>170</v>
      </c>
      <c r="U30" s="235"/>
      <c r="V30" s="242" t="s">
        <v>170</v>
      </c>
      <c r="W30" s="243" t="s">
        <v>170</v>
      </c>
      <c r="X30" s="241" t="s">
        <v>170</v>
      </c>
      <c r="Y30" s="241" t="s">
        <v>170</v>
      </c>
      <c r="Z30" s="235"/>
      <c r="AA30" s="242" t="s">
        <v>170</v>
      </c>
      <c r="AB30" s="162"/>
      <c r="AC30" s="162"/>
      <c r="AD30" s="243" t="s">
        <v>170</v>
      </c>
      <c r="AE30" s="241" t="s">
        <v>170</v>
      </c>
      <c r="AF30" s="241" t="s">
        <v>170</v>
      </c>
      <c r="AG30" s="235"/>
      <c r="AH30" s="242" t="s">
        <v>170</v>
      </c>
      <c r="AI30" s="162"/>
      <c r="AJ30" s="162"/>
      <c r="AK30" s="243" t="s">
        <v>170</v>
      </c>
      <c r="AL30" s="241" t="s">
        <v>170</v>
      </c>
      <c r="AM30" s="241" t="s">
        <v>170</v>
      </c>
      <c r="AN30" s="241">
        <f>SUM(I30,N30,U30,Z30,AG30)</f>
        <v>0</v>
      </c>
      <c r="AO30" s="242" t="s">
        <v>170</v>
      </c>
    </row>
    <row r="31" spans="1:41" s="88" customFormat="1" outlineLevel="1">
      <c r="A31" s="355" t="s">
        <v>176</v>
      </c>
      <c r="B31" s="166" t="s">
        <v>169</v>
      </c>
      <c r="D31" s="89" t="s">
        <v>110</v>
      </c>
      <c r="E31" s="162"/>
      <c r="F31" s="243" t="s">
        <v>170</v>
      </c>
      <c r="G31" s="241" t="s">
        <v>170</v>
      </c>
      <c r="H31" s="241" t="s">
        <v>170</v>
      </c>
      <c r="I31" s="241" t="s">
        <v>170</v>
      </c>
      <c r="J31" s="245"/>
      <c r="K31" s="243" t="s">
        <v>170</v>
      </c>
      <c r="L31" s="241" t="s">
        <v>170</v>
      </c>
      <c r="M31" s="241" t="s">
        <v>170</v>
      </c>
      <c r="N31" s="241" t="s">
        <v>170</v>
      </c>
      <c r="O31" s="245"/>
      <c r="P31" s="162"/>
      <c r="Q31" s="162"/>
      <c r="R31" s="243" t="s">
        <v>170</v>
      </c>
      <c r="S31" s="241" t="s">
        <v>170</v>
      </c>
      <c r="T31" s="241" t="s">
        <v>170</v>
      </c>
      <c r="U31" s="241" t="s">
        <v>170</v>
      </c>
      <c r="V31" s="245"/>
      <c r="W31" s="243" t="s">
        <v>170</v>
      </c>
      <c r="X31" s="241" t="s">
        <v>170</v>
      </c>
      <c r="Y31" s="241" t="s">
        <v>170</v>
      </c>
      <c r="Z31" s="241" t="s">
        <v>170</v>
      </c>
      <c r="AA31" s="245"/>
      <c r="AB31" s="162"/>
      <c r="AC31" s="162"/>
      <c r="AD31" s="243" t="s">
        <v>170</v>
      </c>
      <c r="AE31" s="241" t="s">
        <v>170</v>
      </c>
      <c r="AF31" s="241" t="s">
        <v>170</v>
      </c>
      <c r="AG31" s="241" t="s">
        <v>170</v>
      </c>
      <c r="AH31" s="245"/>
      <c r="AI31" s="162"/>
      <c r="AJ31" s="162"/>
      <c r="AK31" s="243" t="s">
        <v>170</v>
      </c>
      <c r="AL31" s="241" t="s">
        <v>170</v>
      </c>
      <c r="AM31" s="241" t="s">
        <v>170</v>
      </c>
      <c r="AN31" s="241" t="s">
        <v>170</v>
      </c>
      <c r="AO31" s="242">
        <f>SUM(J31,O31,V31,AA31,AH31)</f>
        <v>0</v>
      </c>
    </row>
    <row r="32" spans="1:41" s="88" customFormat="1" outlineLevel="1">
      <c r="A32" s="356"/>
      <c r="B32" s="244" t="s">
        <v>171</v>
      </c>
      <c r="D32" s="89" t="s">
        <v>110</v>
      </c>
      <c r="E32" s="162"/>
      <c r="F32" s="243" t="s">
        <v>170</v>
      </c>
      <c r="G32" s="241" t="s">
        <v>170</v>
      </c>
      <c r="H32" s="241" t="s">
        <v>170</v>
      </c>
      <c r="I32" s="241" t="s">
        <v>170</v>
      </c>
      <c r="J32" s="245"/>
      <c r="K32" s="243" t="s">
        <v>170</v>
      </c>
      <c r="L32" s="241" t="s">
        <v>170</v>
      </c>
      <c r="M32" s="241" t="s">
        <v>170</v>
      </c>
      <c r="N32" s="241" t="s">
        <v>170</v>
      </c>
      <c r="O32" s="245"/>
      <c r="P32" s="161"/>
      <c r="Q32" s="161"/>
      <c r="R32" s="243" t="s">
        <v>170</v>
      </c>
      <c r="S32" s="241" t="s">
        <v>170</v>
      </c>
      <c r="T32" s="241" t="s">
        <v>170</v>
      </c>
      <c r="U32" s="241" t="s">
        <v>170</v>
      </c>
      <c r="V32" s="245"/>
      <c r="W32" s="243" t="s">
        <v>170</v>
      </c>
      <c r="X32" s="241" t="s">
        <v>170</v>
      </c>
      <c r="Y32" s="241" t="s">
        <v>170</v>
      </c>
      <c r="Z32" s="241" t="s">
        <v>170</v>
      </c>
      <c r="AA32" s="245"/>
      <c r="AB32" s="162"/>
      <c r="AC32" s="162"/>
      <c r="AD32" s="243" t="s">
        <v>170</v>
      </c>
      <c r="AE32" s="241" t="s">
        <v>170</v>
      </c>
      <c r="AF32" s="241" t="s">
        <v>170</v>
      </c>
      <c r="AG32" s="241" t="s">
        <v>170</v>
      </c>
      <c r="AH32" s="245"/>
      <c r="AI32" s="162"/>
      <c r="AJ32" s="162"/>
      <c r="AK32" s="243" t="s">
        <v>170</v>
      </c>
      <c r="AL32" s="241" t="s">
        <v>170</v>
      </c>
      <c r="AM32" s="241" t="s">
        <v>170</v>
      </c>
      <c r="AN32" s="241" t="s">
        <v>170</v>
      </c>
      <c r="AO32" s="242">
        <f>SUM(J32,O32,V32,AA32,AH32)</f>
        <v>0</v>
      </c>
    </row>
    <row r="33" spans="1:41" s="88" customFormat="1" outlineLevel="1">
      <c r="A33" s="356"/>
      <c r="B33" s="244" t="s">
        <v>172</v>
      </c>
      <c r="D33" s="89" t="s">
        <v>110</v>
      </c>
      <c r="E33" s="162"/>
      <c r="F33" s="243" t="s">
        <v>170</v>
      </c>
      <c r="G33" s="241" t="s">
        <v>170</v>
      </c>
      <c r="H33" s="241" t="s">
        <v>170</v>
      </c>
      <c r="I33" s="241" t="s">
        <v>170</v>
      </c>
      <c r="J33" s="245"/>
      <c r="K33" s="243" t="s">
        <v>170</v>
      </c>
      <c r="L33" s="241" t="s">
        <v>170</v>
      </c>
      <c r="M33" s="241" t="s">
        <v>170</v>
      </c>
      <c r="N33" s="241" t="s">
        <v>170</v>
      </c>
      <c r="O33" s="245"/>
      <c r="P33" s="162"/>
      <c r="Q33" s="162"/>
      <c r="R33" s="243" t="s">
        <v>170</v>
      </c>
      <c r="S33" s="241" t="s">
        <v>170</v>
      </c>
      <c r="T33" s="241" t="s">
        <v>170</v>
      </c>
      <c r="U33" s="241" t="s">
        <v>170</v>
      </c>
      <c r="V33" s="245"/>
      <c r="W33" s="243" t="s">
        <v>170</v>
      </c>
      <c r="X33" s="241" t="s">
        <v>170</v>
      </c>
      <c r="Y33" s="241" t="s">
        <v>170</v>
      </c>
      <c r="Z33" s="241" t="s">
        <v>170</v>
      </c>
      <c r="AA33" s="245"/>
      <c r="AB33" s="162"/>
      <c r="AC33" s="162"/>
      <c r="AD33" s="243" t="s">
        <v>170</v>
      </c>
      <c r="AE33" s="241" t="s">
        <v>170</v>
      </c>
      <c r="AF33" s="241" t="s">
        <v>170</v>
      </c>
      <c r="AG33" s="241" t="s">
        <v>170</v>
      </c>
      <c r="AH33" s="245"/>
      <c r="AI33" s="162"/>
      <c r="AJ33" s="162"/>
      <c r="AK33" s="243" t="s">
        <v>170</v>
      </c>
      <c r="AL33" s="241" t="s">
        <v>170</v>
      </c>
      <c r="AM33" s="241" t="s">
        <v>170</v>
      </c>
      <c r="AN33" s="241" t="s">
        <v>170</v>
      </c>
      <c r="AO33" s="242">
        <f>SUM(J33,O33,V33,AA33,AH33)</f>
        <v>0</v>
      </c>
    </row>
    <row r="34" spans="1:41" s="88" customFormat="1" ht="15">
      <c r="A34" s="352" t="s">
        <v>136</v>
      </c>
      <c r="B34" s="353"/>
      <c r="C34" s="353"/>
      <c r="D34" s="353"/>
      <c r="E34" s="354"/>
      <c r="F34" s="125">
        <f t="shared" ref="F34:O34" si="2">SUM(F19:F33)</f>
        <v>1000</v>
      </c>
      <c r="G34" s="92">
        <f t="shared" si="2"/>
        <v>0</v>
      </c>
      <c r="H34" s="92">
        <f t="shared" si="2"/>
        <v>0</v>
      </c>
      <c r="I34" s="92">
        <f t="shared" si="2"/>
        <v>0</v>
      </c>
      <c r="J34" s="92">
        <f t="shared" si="2"/>
        <v>0</v>
      </c>
      <c r="K34" s="125">
        <f t="shared" si="2"/>
        <v>1000</v>
      </c>
      <c r="L34" s="92">
        <f t="shared" si="2"/>
        <v>0</v>
      </c>
      <c r="M34" s="92">
        <f t="shared" si="2"/>
        <v>0</v>
      </c>
      <c r="N34" s="92">
        <f t="shared" si="2"/>
        <v>0</v>
      </c>
      <c r="O34" s="246">
        <f t="shared" si="2"/>
        <v>0</v>
      </c>
      <c r="P34" s="163"/>
      <c r="Q34" s="163"/>
      <c r="R34" s="125">
        <f t="shared" ref="R34:AA34" si="3">SUM(R19:R33)</f>
        <v>1000</v>
      </c>
      <c r="S34" s="92">
        <f t="shared" si="3"/>
        <v>0</v>
      </c>
      <c r="T34" s="92">
        <f t="shared" si="3"/>
        <v>0</v>
      </c>
      <c r="U34" s="92">
        <f t="shared" si="3"/>
        <v>0</v>
      </c>
      <c r="V34" s="92">
        <f t="shared" si="3"/>
        <v>0</v>
      </c>
      <c r="W34" s="125">
        <f t="shared" si="3"/>
        <v>1000</v>
      </c>
      <c r="X34" s="92">
        <f t="shared" si="3"/>
        <v>0</v>
      </c>
      <c r="Y34" s="92">
        <f t="shared" si="3"/>
        <v>0</v>
      </c>
      <c r="Z34" s="92">
        <f t="shared" si="3"/>
        <v>0</v>
      </c>
      <c r="AA34" s="246">
        <f t="shared" si="3"/>
        <v>0</v>
      </c>
      <c r="AB34" s="162"/>
      <c r="AC34" s="162"/>
      <c r="AD34" s="125">
        <f>SUM(AD19:AD33)</f>
        <v>1000</v>
      </c>
      <c r="AE34" s="92">
        <f>SUM(AE19:AE33)</f>
        <v>0</v>
      </c>
      <c r="AF34" s="92">
        <f>SUM(AF19:AF33)</f>
        <v>0</v>
      </c>
      <c r="AG34" s="92">
        <f>SUM(AG19:AG33)</f>
        <v>0</v>
      </c>
      <c r="AH34" s="246">
        <f>SUM(AH19:AH33)</f>
        <v>0</v>
      </c>
      <c r="AI34" s="162"/>
      <c r="AJ34" s="162"/>
      <c r="AK34" s="125">
        <f>SUM(AK19:AK33)</f>
        <v>5000</v>
      </c>
      <c r="AL34" s="92">
        <f>SUM(AL19:AL33)</f>
        <v>0</v>
      </c>
      <c r="AM34" s="92">
        <f>SUM(AM19:AM33)</f>
        <v>0</v>
      </c>
      <c r="AN34" s="92">
        <f>SUM(AN19:AN33)</f>
        <v>0</v>
      </c>
      <c r="AO34" s="246">
        <f>SUM(AO19:AO33)</f>
        <v>0</v>
      </c>
    </row>
    <row r="35" spans="1:41">
      <c r="E35" s="162"/>
      <c r="F35" s="63"/>
      <c r="G35" s="65"/>
      <c r="H35" s="65"/>
      <c r="I35" s="65"/>
      <c r="J35" s="65"/>
      <c r="K35" s="63"/>
      <c r="L35" s="65"/>
      <c r="M35" s="65"/>
      <c r="N35" s="65"/>
      <c r="O35" s="64"/>
      <c r="P35" s="161"/>
      <c r="Q35" s="161"/>
      <c r="R35" s="63"/>
      <c r="S35" s="65"/>
      <c r="T35" s="65"/>
      <c r="U35" s="65"/>
      <c r="V35" s="64"/>
      <c r="W35" s="63"/>
      <c r="X35" s="65"/>
      <c r="AA35" s="62"/>
      <c r="AB35" s="162"/>
      <c r="AC35" s="162"/>
      <c r="AD35" s="61"/>
      <c r="AH35" s="62"/>
      <c r="AI35" s="162"/>
      <c r="AJ35" s="162"/>
      <c r="AK35" s="61"/>
      <c r="AO35" s="62"/>
    </row>
    <row r="36" spans="1:41" s="96" customFormat="1" outlineLevel="1">
      <c r="A36" s="328" t="s">
        <v>177</v>
      </c>
      <c r="B36" s="329" t="s">
        <v>178</v>
      </c>
      <c r="C36" s="247" t="s">
        <v>116</v>
      </c>
      <c r="D36" s="247" t="s">
        <v>0</v>
      </c>
      <c r="E36" s="187"/>
      <c r="F36" s="248">
        <v>0.02</v>
      </c>
      <c r="G36" s="249">
        <v>0.04</v>
      </c>
      <c r="H36" s="249"/>
      <c r="I36" s="249"/>
      <c r="J36" s="250"/>
      <c r="K36" s="248">
        <v>0.02</v>
      </c>
      <c r="L36" s="249">
        <v>0.04</v>
      </c>
      <c r="M36" s="249"/>
      <c r="N36" s="249"/>
      <c r="O36" s="250"/>
      <c r="P36" s="181"/>
      <c r="Q36" s="181"/>
      <c r="R36" s="248"/>
      <c r="S36" s="249"/>
      <c r="T36" s="249"/>
      <c r="U36" s="249"/>
      <c r="V36" s="250"/>
      <c r="W36" s="248"/>
      <c r="X36" s="249"/>
      <c r="Y36" s="249"/>
      <c r="Z36" s="249"/>
      <c r="AA36" s="250"/>
      <c r="AB36" s="187"/>
      <c r="AC36" s="187"/>
      <c r="AD36" s="248"/>
      <c r="AE36" s="249"/>
      <c r="AF36" s="249"/>
      <c r="AG36" s="249"/>
      <c r="AH36" s="250"/>
      <c r="AI36" s="187"/>
      <c r="AJ36" s="187"/>
      <c r="AK36" s="251">
        <f t="shared" ref="AK36:AO39" si="4">F36+K36+R36+W36+AD36</f>
        <v>0.04</v>
      </c>
      <c r="AL36" s="252">
        <f t="shared" si="4"/>
        <v>0.08</v>
      </c>
      <c r="AM36" s="252">
        <f t="shared" si="4"/>
        <v>0</v>
      </c>
      <c r="AN36" s="252">
        <f t="shared" si="4"/>
        <v>0</v>
      </c>
      <c r="AO36" s="253">
        <f t="shared" si="4"/>
        <v>0</v>
      </c>
    </row>
    <row r="37" spans="1:41" s="96" customFormat="1" outlineLevel="1">
      <c r="A37" s="328"/>
      <c r="B37" s="329"/>
      <c r="C37" s="96" t="s">
        <v>167</v>
      </c>
      <c r="D37" s="236">
        <v>350000</v>
      </c>
      <c r="E37" s="162"/>
      <c r="F37" s="234">
        <f>F36*$D37</f>
        <v>7000</v>
      </c>
      <c r="G37" s="235">
        <f>G36*$D37</f>
        <v>14000</v>
      </c>
      <c r="H37" s="221"/>
      <c r="I37" s="221"/>
      <c r="J37" s="222"/>
      <c r="K37" s="234">
        <f>K36*$D37</f>
        <v>7000</v>
      </c>
      <c r="L37" s="235">
        <f>L36*$D37</f>
        <v>14000</v>
      </c>
      <c r="M37" s="221"/>
      <c r="N37" s="221"/>
      <c r="O37" s="222"/>
      <c r="P37" s="161"/>
      <c r="Q37" s="161"/>
      <c r="R37" s="234"/>
      <c r="S37" s="235"/>
      <c r="T37" s="221"/>
      <c r="U37" s="221"/>
      <c r="V37" s="222"/>
      <c r="W37" s="234"/>
      <c r="X37" s="235"/>
      <c r="Y37" s="221"/>
      <c r="Z37" s="221"/>
      <c r="AA37" s="222"/>
      <c r="AB37" s="162"/>
      <c r="AC37" s="162"/>
      <c r="AD37" s="234"/>
      <c r="AE37" s="235"/>
      <c r="AF37" s="221"/>
      <c r="AG37" s="221"/>
      <c r="AH37" s="222"/>
      <c r="AI37" s="162"/>
      <c r="AJ37" s="162"/>
      <c r="AK37" s="254">
        <f t="shared" si="4"/>
        <v>14000</v>
      </c>
      <c r="AL37" s="104">
        <f t="shared" si="4"/>
        <v>28000</v>
      </c>
      <c r="AM37" s="255">
        <f t="shared" si="4"/>
        <v>0</v>
      </c>
      <c r="AN37" s="255">
        <f t="shared" si="4"/>
        <v>0</v>
      </c>
      <c r="AO37" s="256">
        <f t="shared" si="4"/>
        <v>0</v>
      </c>
    </row>
    <row r="38" spans="1:41" s="96" customFormat="1" outlineLevel="1">
      <c r="A38" s="328"/>
      <c r="B38" s="329" t="s">
        <v>107</v>
      </c>
      <c r="C38" s="96" t="s">
        <v>116</v>
      </c>
      <c r="D38" s="96" t="s">
        <v>0</v>
      </c>
      <c r="E38" s="171"/>
      <c r="F38" s="220">
        <v>0.02</v>
      </c>
      <c r="G38" s="221">
        <v>0.04</v>
      </c>
      <c r="H38" s="221"/>
      <c r="I38" s="221"/>
      <c r="J38" s="222"/>
      <c r="K38" s="220">
        <v>0.02</v>
      </c>
      <c r="L38" s="221">
        <v>0.04</v>
      </c>
      <c r="M38" s="221"/>
      <c r="N38" s="221"/>
      <c r="O38" s="222"/>
      <c r="P38" s="161"/>
      <c r="Q38" s="161"/>
      <c r="R38" s="220"/>
      <c r="S38" s="221"/>
      <c r="T38" s="221"/>
      <c r="U38" s="221"/>
      <c r="V38" s="222"/>
      <c r="W38" s="220"/>
      <c r="X38" s="221"/>
      <c r="Y38" s="221"/>
      <c r="Z38" s="221"/>
      <c r="AA38" s="222"/>
      <c r="AB38" s="162"/>
      <c r="AC38" s="162"/>
      <c r="AD38" s="220"/>
      <c r="AE38" s="221"/>
      <c r="AF38" s="221"/>
      <c r="AG38" s="221"/>
      <c r="AH38" s="222"/>
      <c r="AI38" s="162"/>
      <c r="AJ38" s="162"/>
      <c r="AK38" s="126">
        <f t="shared" si="4"/>
        <v>0.04</v>
      </c>
      <c r="AL38" s="105">
        <f t="shared" si="4"/>
        <v>0.08</v>
      </c>
      <c r="AM38" s="105">
        <f t="shared" si="4"/>
        <v>0</v>
      </c>
      <c r="AN38" s="105">
        <f t="shared" si="4"/>
        <v>0</v>
      </c>
      <c r="AO38" s="127">
        <f t="shared" si="4"/>
        <v>0</v>
      </c>
    </row>
    <row r="39" spans="1:41" s="96" customFormat="1" outlineLevel="1">
      <c r="A39" s="328"/>
      <c r="B39" s="329"/>
      <c r="C39" s="257" t="s">
        <v>167</v>
      </c>
      <c r="D39" s="239"/>
      <c r="E39" s="200"/>
      <c r="F39" s="258">
        <f>F38*$D39</f>
        <v>0</v>
      </c>
      <c r="G39" s="259">
        <f>G38*$D39</f>
        <v>0</v>
      </c>
      <c r="H39" s="229"/>
      <c r="I39" s="229"/>
      <c r="J39" s="230"/>
      <c r="K39" s="258">
        <f>K38*$D39</f>
        <v>0</v>
      </c>
      <c r="L39" s="259">
        <f>L38*$D39</f>
        <v>0</v>
      </c>
      <c r="M39" s="229"/>
      <c r="N39" s="229"/>
      <c r="O39" s="230"/>
      <c r="P39" s="185"/>
      <c r="Q39" s="185"/>
      <c r="R39" s="258"/>
      <c r="S39" s="259"/>
      <c r="T39" s="229"/>
      <c r="U39" s="229"/>
      <c r="V39" s="230"/>
      <c r="W39" s="258"/>
      <c r="X39" s="259"/>
      <c r="Y39" s="229"/>
      <c r="Z39" s="229"/>
      <c r="AA39" s="230"/>
      <c r="AB39" s="200"/>
      <c r="AC39" s="200"/>
      <c r="AD39" s="258"/>
      <c r="AE39" s="259"/>
      <c r="AF39" s="229"/>
      <c r="AG39" s="229"/>
      <c r="AH39" s="230"/>
      <c r="AI39" s="200"/>
      <c r="AJ39" s="200"/>
      <c r="AK39" s="260">
        <f t="shared" si="4"/>
        <v>0</v>
      </c>
      <c r="AL39" s="261">
        <f t="shared" si="4"/>
        <v>0</v>
      </c>
      <c r="AM39" s="262">
        <f t="shared" si="4"/>
        <v>0</v>
      </c>
      <c r="AN39" s="262">
        <f t="shared" si="4"/>
        <v>0</v>
      </c>
      <c r="AO39" s="263">
        <f t="shared" si="4"/>
        <v>0</v>
      </c>
    </row>
    <row r="40" spans="1:41" s="96" customFormat="1" ht="15">
      <c r="A40" s="330" t="s">
        <v>136</v>
      </c>
      <c r="B40" s="331"/>
      <c r="C40" s="331"/>
      <c r="D40" s="331"/>
      <c r="E40" s="332"/>
      <c r="F40" s="260">
        <f t="shared" ref="F40:O40" si="5">F37+F39</f>
        <v>7000</v>
      </c>
      <c r="G40" s="261">
        <f t="shared" si="5"/>
        <v>14000</v>
      </c>
      <c r="H40" s="261">
        <f t="shared" si="5"/>
        <v>0</v>
      </c>
      <c r="I40" s="261">
        <f t="shared" si="5"/>
        <v>0</v>
      </c>
      <c r="J40" s="261">
        <f t="shared" si="5"/>
        <v>0</v>
      </c>
      <c r="K40" s="260">
        <f t="shared" si="5"/>
        <v>7000</v>
      </c>
      <c r="L40" s="261">
        <f t="shared" si="5"/>
        <v>14000</v>
      </c>
      <c r="M40" s="261">
        <f t="shared" si="5"/>
        <v>0</v>
      </c>
      <c r="N40" s="261">
        <f t="shared" si="5"/>
        <v>0</v>
      </c>
      <c r="O40" s="261">
        <f t="shared" si="5"/>
        <v>0</v>
      </c>
      <c r="P40" s="185"/>
      <c r="Q40" s="185"/>
      <c r="R40" s="260">
        <f t="shared" ref="R40:AA40" si="6">R37+R39</f>
        <v>0</v>
      </c>
      <c r="S40" s="261">
        <f t="shared" si="6"/>
        <v>0</v>
      </c>
      <c r="T40" s="261">
        <f t="shared" si="6"/>
        <v>0</v>
      </c>
      <c r="U40" s="261">
        <f t="shared" si="6"/>
        <v>0</v>
      </c>
      <c r="V40" s="261">
        <f t="shared" si="6"/>
        <v>0</v>
      </c>
      <c r="W40" s="260">
        <f t="shared" si="6"/>
        <v>0</v>
      </c>
      <c r="X40" s="261">
        <f t="shared" si="6"/>
        <v>0</v>
      </c>
      <c r="Y40" s="261">
        <f t="shared" si="6"/>
        <v>0</v>
      </c>
      <c r="Z40" s="261">
        <f t="shared" si="6"/>
        <v>0</v>
      </c>
      <c r="AA40" s="261">
        <f t="shared" si="6"/>
        <v>0</v>
      </c>
      <c r="AB40" s="162"/>
      <c r="AC40" s="162"/>
      <c r="AD40" s="260">
        <f>AD37+AD39</f>
        <v>0</v>
      </c>
      <c r="AE40" s="261">
        <f>AE37+AE39</f>
        <v>0</v>
      </c>
      <c r="AF40" s="261">
        <f>AF37+AF39</f>
        <v>0</v>
      </c>
      <c r="AG40" s="261">
        <f>AG37+AG39</f>
        <v>0</v>
      </c>
      <c r="AH40" s="261">
        <f>AH37+AH39</f>
        <v>0</v>
      </c>
      <c r="AI40" s="162"/>
      <c r="AJ40" s="162"/>
      <c r="AK40" s="260">
        <f>AK37+AK39</f>
        <v>14000</v>
      </c>
      <c r="AL40" s="261">
        <f>AL37+AL39</f>
        <v>28000</v>
      </c>
      <c r="AM40" s="261">
        <f>AM37+AM39</f>
        <v>0</v>
      </c>
      <c r="AN40" s="261">
        <f>AN37+AN39</f>
        <v>0</v>
      </c>
      <c r="AO40" s="264">
        <f>AO37+AO39</f>
        <v>0</v>
      </c>
    </row>
    <row r="41" spans="1:41">
      <c r="E41" s="162"/>
      <c r="F41" s="63"/>
      <c r="G41" s="65"/>
      <c r="H41" s="65"/>
      <c r="I41" s="65"/>
      <c r="J41" s="65"/>
      <c r="K41" s="63"/>
      <c r="L41" s="65"/>
      <c r="M41" s="65"/>
      <c r="N41" s="65"/>
      <c r="O41" s="64"/>
      <c r="P41" s="161"/>
      <c r="Q41" s="161"/>
      <c r="R41" s="63"/>
      <c r="S41" s="65"/>
      <c r="T41" s="65"/>
      <c r="U41" s="65"/>
      <c r="V41" s="64"/>
      <c r="W41" s="63"/>
      <c r="X41" s="65"/>
      <c r="AA41" s="62"/>
      <c r="AB41" s="162"/>
      <c r="AC41" s="162"/>
      <c r="AD41" s="61"/>
      <c r="AH41" s="62"/>
      <c r="AI41" s="162"/>
      <c r="AJ41" s="162"/>
      <c r="AK41" s="61"/>
      <c r="AO41" s="62"/>
    </row>
    <row r="42" spans="1:41" s="107" customFormat="1" outlineLevel="1">
      <c r="A42" s="318" t="s">
        <v>179</v>
      </c>
      <c r="B42" s="319" t="s">
        <v>37</v>
      </c>
      <c r="C42" s="265" t="s">
        <v>116</v>
      </c>
      <c r="D42" s="265" t="s">
        <v>0</v>
      </c>
      <c r="E42" s="187"/>
      <c r="F42" s="248"/>
      <c r="G42" s="249"/>
      <c r="H42" s="249"/>
      <c r="I42" s="249"/>
      <c r="J42" s="249"/>
      <c r="K42" s="248"/>
      <c r="L42" s="249"/>
      <c r="M42" s="249"/>
      <c r="N42" s="249"/>
      <c r="O42" s="249"/>
      <c r="P42" s="181"/>
      <c r="Q42" s="181"/>
      <c r="R42" s="248">
        <v>1</v>
      </c>
      <c r="S42" s="249"/>
      <c r="T42" s="249"/>
      <c r="U42" s="249"/>
      <c r="V42" s="249"/>
      <c r="W42" s="248">
        <v>0.75</v>
      </c>
      <c r="X42" s="249"/>
      <c r="Y42" s="249"/>
      <c r="Z42" s="249"/>
      <c r="AA42" s="249"/>
      <c r="AB42" s="187"/>
      <c r="AC42" s="187"/>
      <c r="AD42" s="248"/>
      <c r="AE42" s="249"/>
      <c r="AF42" s="249"/>
      <c r="AG42" s="249"/>
      <c r="AH42" s="250"/>
      <c r="AI42" s="187"/>
      <c r="AJ42" s="187"/>
      <c r="AK42" s="266">
        <f t="shared" ref="AK42:AO43" si="7">F42+K42+R42+W42+AD42</f>
        <v>1.75</v>
      </c>
      <c r="AL42" s="267">
        <f t="shared" si="7"/>
        <v>0</v>
      </c>
      <c r="AM42" s="267">
        <f t="shared" si="7"/>
        <v>0</v>
      </c>
      <c r="AN42" s="267">
        <f t="shared" si="7"/>
        <v>0</v>
      </c>
      <c r="AO42" s="267">
        <f t="shared" si="7"/>
        <v>0</v>
      </c>
    </row>
    <row r="43" spans="1:41" s="107" customFormat="1" outlineLevel="1">
      <c r="A43" s="319"/>
      <c r="B43" s="319"/>
      <c r="C43" s="107" t="s">
        <v>167</v>
      </c>
      <c r="D43" s="233">
        <v>350000</v>
      </c>
      <c r="E43" s="162"/>
      <c r="F43" s="234">
        <f t="shared" ref="F43:O43" si="8">F42*$D43</f>
        <v>0</v>
      </c>
      <c r="G43" s="235">
        <f t="shared" si="8"/>
        <v>0</v>
      </c>
      <c r="H43" s="235">
        <f t="shared" si="8"/>
        <v>0</v>
      </c>
      <c r="I43" s="235">
        <f t="shared" si="8"/>
        <v>0</v>
      </c>
      <c r="J43" s="245">
        <f t="shared" si="8"/>
        <v>0</v>
      </c>
      <c r="K43" s="234">
        <f t="shared" si="8"/>
        <v>0</v>
      </c>
      <c r="L43" s="235">
        <f t="shared" si="8"/>
        <v>0</v>
      </c>
      <c r="M43" s="235">
        <f t="shared" si="8"/>
        <v>0</v>
      </c>
      <c r="N43" s="235">
        <f t="shared" si="8"/>
        <v>0</v>
      </c>
      <c r="O43" s="245">
        <f t="shared" si="8"/>
        <v>0</v>
      </c>
      <c r="P43" s="161"/>
      <c r="Q43" s="161"/>
      <c r="R43" s="234">
        <f t="shared" ref="R43:AA43" si="9">R42*$D43</f>
        <v>350000</v>
      </c>
      <c r="S43" s="235">
        <f t="shared" si="9"/>
        <v>0</v>
      </c>
      <c r="T43" s="235">
        <f t="shared" si="9"/>
        <v>0</v>
      </c>
      <c r="U43" s="235">
        <f t="shared" si="9"/>
        <v>0</v>
      </c>
      <c r="V43" s="245">
        <f t="shared" si="9"/>
        <v>0</v>
      </c>
      <c r="W43" s="234">
        <f t="shared" si="9"/>
        <v>262500</v>
      </c>
      <c r="X43" s="235">
        <f t="shared" si="9"/>
        <v>0</v>
      </c>
      <c r="Y43" s="235">
        <f t="shared" si="9"/>
        <v>0</v>
      </c>
      <c r="Z43" s="235">
        <f t="shared" si="9"/>
        <v>0</v>
      </c>
      <c r="AA43" s="245">
        <f t="shared" si="9"/>
        <v>0</v>
      </c>
      <c r="AB43" s="162"/>
      <c r="AC43" s="162"/>
      <c r="AD43" s="258">
        <f>AD42*$D43</f>
        <v>0</v>
      </c>
      <c r="AE43" s="259">
        <f>AE42*$D43</f>
        <v>0</v>
      </c>
      <c r="AF43" s="259">
        <f>AF42*$D43</f>
        <v>0</v>
      </c>
      <c r="AG43" s="259">
        <f>AG42*$D43</f>
        <v>0</v>
      </c>
      <c r="AH43" s="268">
        <f>AH42*$D43</f>
        <v>0</v>
      </c>
      <c r="AI43" s="162"/>
      <c r="AJ43" s="162"/>
      <c r="AK43" s="133">
        <f t="shared" si="7"/>
        <v>612500</v>
      </c>
      <c r="AL43" s="134">
        <f t="shared" si="7"/>
        <v>0</v>
      </c>
      <c r="AM43" s="134">
        <f t="shared" si="7"/>
        <v>0</v>
      </c>
      <c r="AN43" s="134">
        <f t="shared" si="7"/>
        <v>0</v>
      </c>
      <c r="AO43" s="269">
        <f t="shared" si="7"/>
        <v>0</v>
      </c>
    </row>
    <row r="44" spans="1:41" s="107" customFormat="1" ht="15">
      <c r="A44" s="320" t="s">
        <v>136</v>
      </c>
      <c r="B44" s="321"/>
      <c r="C44" s="321"/>
      <c r="D44" s="321"/>
      <c r="E44" s="322"/>
      <c r="F44" s="135">
        <f t="shared" ref="F44:O44" si="10">F43</f>
        <v>0</v>
      </c>
      <c r="G44" s="112">
        <f t="shared" si="10"/>
        <v>0</v>
      </c>
      <c r="H44" s="112">
        <f t="shared" si="10"/>
        <v>0</v>
      </c>
      <c r="I44" s="112">
        <f t="shared" si="10"/>
        <v>0</v>
      </c>
      <c r="J44" s="112">
        <f t="shared" si="10"/>
        <v>0</v>
      </c>
      <c r="K44" s="135">
        <f t="shared" si="10"/>
        <v>0</v>
      </c>
      <c r="L44" s="112">
        <f t="shared" si="10"/>
        <v>0</v>
      </c>
      <c r="M44" s="112">
        <f t="shared" si="10"/>
        <v>0</v>
      </c>
      <c r="N44" s="112">
        <f t="shared" si="10"/>
        <v>0</v>
      </c>
      <c r="O44" s="112">
        <f t="shared" si="10"/>
        <v>0</v>
      </c>
      <c r="P44" s="163"/>
      <c r="Q44" s="163"/>
      <c r="R44" s="135">
        <f t="shared" ref="R44:AA44" si="11">R43</f>
        <v>350000</v>
      </c>
      <c r="S44" s="112">
        <f t="shared" si="11"/>
        <v>0</v>
      </c>
      <c r="T44" s="112">
        <f t="shared" si="11"/>
        <v>0</v>
      </c>
      <c r="U44" s="112">
        <f t="shared" si="11"/>
        <v>0</v>
      </c>
      <c r="V44" s="112">
        <f t="shared" si="11"/>
        <v>0</v>
      </c>
      <c r="W44" s="135">
        <f t="shared" si="11"/>
        <v>262500</v>
      </c>
      <c r="X44" s="112">
        <f t="shared" si="11"/>
        <v>0</v>
      </c>
      <c r="Y44" s="112">
        <f t="shared" si="11"/>
        <v>0</v>
      </c>
      <c r="Z44" s="112">
        <f t="shared" si="11"/>
        <v>0</v>
      </c>
      <c r="AA44" s="112">
        <f t="shared" si="11"/>
        <v>0</v>
      </c>
      <c r="AB44" s="162"/>
      <c r="AC44" s="162"/>
      <c r="AD44" s="135">
        <f>AD43</f>
        <v>0</v>
      </c>
      <c r="AE44" s="112">
        <f>AE43</f>
        <v>0</v>
      </c>
      <c r="AF44" s="112">
        <f>AF43</f>
        <v>0</v>
      </c>
      <c r="AG44" s="112">
        <f>AG43</f>
        <v>0</v>
      </c>
      <c r="AH44" s="112">
        <f>AH43</f>
        <v>0</v>
      </c>
      <c r="AI44" s="162"/>
      <c r="AJ44" s="162"/>
      <c r="AK44" s="135">
        <f>AK43</f>
        <v>612500</v>
      </c>
      <c r="AL44" s="112">
        <f>AL43</f>
        <v>0</v>
      </c>
      <c r="AM44" s="112">
        <f>AM43</f>
        <v>0</v>
      </c>
      <c r="AN44" s="112">
        <f>AN43</f>
        <v>0</v>
      </c>
      <c r="AO44" s="112">
        <f>AO43</f>
        <v>0</v>
      </c>
    </row>
    <row r="45" spans="1:41">
      <c r="E45" s="162"/>
      <c r="F45" s="136"/>
      <c r="G45" s="106"/>
      <c r="H45" s="65"/>
      <c r="I45" s="65"/>
      <c r="J45" s="65"/>
      <c r="K45" s="63"/>
      <c r="L45" s="65"/>
      <c r="M45" s="65"/>
      <c r="N45" s="65"/>
      <c r="O45" s="64"/>
      <c r="P45" s="161"/>
      <c r="Q45" s="161"/>
      <c r="R45" s="63"/>
      <c r="S45" s="65"/>
      <c r="T45" s="65"/>
      <c r="U45" s="65"/>
      <c r="V45" s="64"/>
      <c r="W45" s="63"/>
      <c r="X45" s="65"/>
      <c r="AA45" s="62"/>
      <c r="AB45" s="162"/>
      <c r="AC45" s="162"/>
      <c r="AD45" s="61"/>
      <c r="AH45" s="62"/>
      <c r="AI45" s="162"/>
      <c r="AJ45" s="162"/>
      <c r="AK45" s="61"/>
      <c r="AO45" s="62"/>
    </row>
    <row r="46" spans="1:41" s="278" customFormat="1" outlineLevel="1">
      <c r="A46" s="323" t="s">
        <v>180</v>
      </c>
      <c r="B46" s="244" t="s">
        <v>119</v>
      </c>
      <c r="C46" s="270" t="s">
        <v>122</v>
      </c>
      <c r="D46" s="271">
        <v>3000</v>
      </c>
      <c r="E46" s="187"/>
      <c r="F46" s="272">
        <f t="shared" ref="F46:O47" si="12">$D46*F6</f>
        <v>9000</v>
      </c>
      <c r="G46" s="273">
        <f t="shared" si="12"/>
        <v>9000</v>
      </c>
      <c r="H46" s="273">
        <f t="shared" si="12"/>
        <v>9000</v>
      </c>
      <c r="I46" s="273">
        <f t="shared" si="12"/>
        <v>9000</v>
      </c>
      <c r="J46" s="273">
        <f t="shared" si="12"/>
        <v>9000</v>
      </c>
      <c r="K46" s="272">
        <f t="shared" si="12"/>
        <v>18000</v>
      </c>
      <c r="L46" s="273">
        <f t="shared" si="12"/>
        <v>18000</v>
      </c>
      <c r="M46" s="273">
        <f t="shared" si="12"/>
        <v>18000</v>
      </c>
      <c r="N46" s="273">
        <f t="shared" si="12"/>
        <v>18000</v>
      </c>
      <c r="O46" s="273">
        <f t="shared" si="12"/>
        <v>18000</v>
      </c>
      <c r="P46" s="187"/>
      <c r="Q46" s="187"/>
      <c r="R46" s="272">
        <f t="shared" ref="R46:AA47" si="13">$D46*R6</f>
        <v>0</v>
      </c>
      <c r="S46" s="273">
        <f t="shared" si="13"/>
        <v>0</v>
      </c>
      <c r="T46" s="273">
        <f t="shared" si="13"/>
        <v>0</v>
      </c>
      <c r="U46" s="273">
        <f t="shared" si="13"/>
        <v>0</v>
      </c>
      <c r="V46" s="273">
        <f t="shared" si="13"/>
        <v>0</v>
      </c>
      <c r="W46" s="272">
        <f t="shared" si="13"/>
        <v>0</v>
      </c>
      <c r="X46" s="273">
        <f t="shared" si="13"/>
        <v>0</v>
      </c>
      <c r="Y46" s="273">
        <f t="shared" si="13"/>
        <v>0</v>
      </c>
      <c r="Z46" s="273">
        <f t="shared" si="13"/>
        <v>0</v>
      </c>
      <c r="AA46" s="273">
        <f t="shared" si="13"/>
        <v>0</v>
      </c>
      <c r="AB46" s="187"/>
      <c r="AC46" s="187"/>
      <c r="AD46" s="272">
        <f t="shared" ref="AD46:AH47" si="14">$D46*AD6</f>
        <v>0</v>
      </c>
      <c r="AE46" s="273">
        <f t="shared" si="14"/>
        <v>0</v>
      </c>
      <c r="AF46" s="273">
        <f t="shared" si="14"/>
        <v>0</v>
      </c>
      <c r="AG46" s="273">
        <f t="shared" si="14"/>
        <v>0</v>
      </c>
      <c r="AH46" s="274">
        <f t="shared" si="14"/>
        <v>0</v>
      </c>
      <c r="AI46" s="187"/>
      <c r="AJ46" s="187"/>
      <c r="AK46" s="275">
        <f t="shared" ref="AK46:AO50" si="15">F46+K46+R46+W46+AD46</f>
        <v>27000</v>
      </c>
      <c r="AL46" s="276">
        <f t="shared" si="15"/>
        <v>27000</v>
      </c>
      <c r="AM46" s="276">
        <f t="shared" si="15"/>
        <v>27000</v>
      </c>
      <c r="AN46" s="276">
        <f t="shared" si="15"/>
        <v>27000</v>
      </c>
      <c r="AO46" s="277">
        <f t="shared" si="15"/>
        <v>27000</v>
      </c>
    </row>
    <row r="47" spans="1:41" s="116" customFormat="1" outlineLevel="1">
      <c r="A47" s="324"/>
      <c r="B47" s="244" t="s">
        <v>120</v>
      </c>
      <c r="C47" s="218" t="s">
        <v>121</v>
      </c>
      <c r="D47" s="279">
        <v>50</v>
      </c>
      <c r="E47" s="172"/>
      <c r="F47" s="238">
        <f t="shared" si="12"/>
        <v>5000</v>
      </c>
      <c r="G47" s="236">
        <f t="shared" si="12"/>
        <v>6000</v>
      </c>
      <c r="H47" s="236">
        <f t="shared" si="12"/>
        <v>7000</v>
      </c>
      <c r="I47" s="236">
        <f t="shared" si="12"/>
        <v>8000</v>
      </c>
      <c r="J47" s="236">
        <f t="shared" si="12"/>
        <v>10000</v>
      </c>
      <c r="K47" s="238">
        <f t="shared" si="12"/>
        <v>1000</v>
      </c>
      <c r="L47" s="236">
        <f t="shared" si="12"/>
        <v>1100</v>
      </c>
      <c r="M47" s="236">
        <f t="shared" si="12"/>
        <v>1200</v>
      </c>
      <c r="N47" s="236">
        <f t="shared" si="12"/>
        <v>1300</v>
      </c>
      <c r="O47" s="236">
        <f t="shared" si="12"/>
        <v>1500</v>
      </c>
      <c r="P47" s="162"/>
      <c r="Q47" s="162"/>
      <c r="R47" s="238">
        <f t="shared" si="13"/>
        <v>0</v>
      </c>
      <c r="S47" s="236">
        <f t="shared" si="13"/>
        <v>0</v>
      </c>
      <c r="T47" s="236">
        <f t="shared" si="13"/>
        <v>0</v>
      </c>
      <c r="U47" s="236">
        <f t="shared" si="13"/>
        <v>0</v>
      </c>
      <c r="V47" s="236">
        <f t="shared" si="13"/>
        <v>0</v>
      </c>
      <c r="W47" s="238">
        <f t="shared" si="13"/>
        <v>0</v>
      </c>
      <c r="X47" s="236">
        <f t="shared" si="13"/>
        <v>0</v>
      </c>
      <c r="Y47" s="236">
        <f t="shared" si="13"/>
        <v>0</v>
      </c>
      <c r="Z47" s="236">
        <f t="shared" si="13"/>
        <v>0</v>
      </c>
      <c r="AA47" s="236">
        <f t="shared" si="13"/>
        <v>0</v>
      </c>
      <c r="AB47" s="162"/>
      <c r="AC47" s="162"/>
      <c r="AD47" s="238">
        <f t="shared" si="14"/>
        <v>0</v>
      </c>
      <c r="AE47" s="236">
        <f t="shared" si="14"/>
        <v>0</v>
      </c>
      <c r="AF47" s="236">
        <f t="shared" si="14"/>
        <v>0</v>
      </c>
      <c r="AG47" s="236">
        <f t="shared" si="14"/>
        <v>0</v>
      </c>
      <c r="AH47" s="237">
        <f t="shared" si="14"/>
        <v>0</v>
      </c>
      <c r="AI47" s="162"/>
      <c r="AJ47" s="162"/>
      <c r="AK47" s="139">
        <f t="shared" si="15"/>
        <v>6000</v>
      </c>
      <c r="AL47" s="140">
        <f t="shared" si="15"/>
        <v>7100</v>
      </c>
      <c r="AM47" s="140">
        <f t="shared" si="15"/>
        <v>8200</v>
      </c>
      <c r="AN47" s="140">
        <f t="shared" si="15"/>
        <v>9300</v>
      </c>
      <c r="AO47" s="141">
        <f t="shared" si="15"/>
        <v>11500</v>
      </c>
    </row>
    <row r="48" spans="1:41" s="116" customFormat="1" outlineLevel="1">
      <c r="A48" s="324"/>
      <c r="B48" s="244" t="s">
        <v>181</v>
      </c>
      <c r="C48" s="218"/>
      <c r="D48" s="223"/>
      <c r="E48" s="172"/>
      <c r="F48" s="238"/>
      <c r="G48" s="236"/>
      <c r="H48" s="236"/>
      <c r="I48" s="236"/>
      <c r="J48" s="236"/>
      <c r="K48" s="238"/>
      <c r="L48" s="236"/>
      <c r="M48" s="236"/>
      <c r="N48" s="236"/>
      <c r="O48" s="236"/>
      <c r="P48" s="162"/>
      <c r="Q48" s="162"/>
      <c r="R48" s="238"/>
      <c r="S48" s="236"/>
      <c r="T48" s="236"/>
      <c r="U48" s="236"/>
      <c r="V48" s="236"/>
      <c r="W48" s="238"/>
      <c r="X48" s="236"/>
      <c r="Y48" s="236"/>
      <c r="Z48" s="236"/>
      <c r="AA48" s="236"/>
      <c r="AB48" s="162"/>
      <c r="AC48" s="162"/>
      <c r="AD48" s="238"/>
      <c r="AE48" s="236"/>
      <c r="AF48" s="236"/>
      <c r="AG48" s="236"/>
      <c r="AH48" s="237"/>
      <c r="AI48" s="162"/>
      <c r="AJ48" s="162"/>
      <c r="AK48" s="139">
        <f t="shared" si="15"/>
        <v>0</v>
      </c>
      <c r="AL48" s="140">
        <f t="shared" si="15"/>
        <v>0</v>
      </c>
      <c r="AM48" s="140">
        <f t="shared" si="15"/>
        <v>0</v>
      </c>
      <c r="AN48" s="140">
        <f t="shared" si="15"/>
        <v>0</v>
      </c>
      <c r="AO48" s="141">
        <f t="shared" si="15"/>
        <v>0</v>
      </c>
    </row>
    <row r="49" spans="1:41" s="116" customFormat="1" outlineLevel="1">
      <c r="A49" s="324"/>
      <c r="B49" s="244" t="s">
        <v>182</v>
      </c>
      <c r="C49" s="218"/>
      <c r="D49" s="223"/>
      <c r="E49" s="172"/>
      <c r="F49" s="238"/>
      <c r="G49" s="236"/>
      <c r="H49" s="236"/>
      <c r="I49" s="236"/>
      <c r="J49" s="236"/>
      <c r="K49" s="238"/>
      <c r="L49" s="236"/>
      <c r="M49" s="236"/>
      <c r="N49" s="236"/>
      <c r="O49" s="236"/>
      <c r="P49" s="162"/>
      <c r="Q49" s="162"/>
      <c r="R49" s="238"/>
      <c r="S49" s="236"/>
      <c r="T49" s="236"/>
      <c r="U49" s="236"/>
      <c r="V49" s="236"/>
      <c r="W49" s="238"/>
      <c r="X49" s="236"/>
      <c r="Y49" s="236"/>
      <c r="Z49" s="236"/>
      <c r="AA49" s="236"/>
      <c r="AB49" s="162"/>
      <c r="AC49" s="162"/>
      <c r="AD49" s="238"/>
      <c r="AE49" s="236"/>
      <c r="AF49" s="236"/>
      <c r="AG49" s="236"/>
      <c r="AH49" s="237"/>
      <c r="AI49" s="162"/>
      <c r="AJ49" s="162"/>
      <c r="AK49" s="139">
        <f t="shared" si="15"/>
        <v>0</v>
      </c>
      <c r="AL49" s="140">
        <f t="shared" si="15"/>
        <v>0</v>
      </c>
      <c r="AM49" s="140">
        <f t="shared" si="15"/>
        <v>0</v>
      </c>
      <c r="AN49" s="140">
        <f t="shared" si="15"/>
        <v>0</v>
      </c>
      <c r="AO49" s="141">
        <f t="shared" si="15"/>
        <v>0</v>
      </c>
    </row>
    <row r="50" spans="1:41" s="116" customFormat="1" outlineLevel="1">
      <c r="A50" s="324"/>
      <c r="B50" s="280" t="s">
        <v>183</v>
      </c>
      <c r="C50" s="226"/>
      <c r="D50" s="231"/>
      <c r="E50" s="172"/>
      <c r="F50" s="238"/>
      <c r="G50" s="236"/>
      <c r="H50" s="236"/>
      <c r="I50" s="236"/>
      <c r="J50" s="236"/>
      <c r="K50" s="238"/>
      <c r="L50" s="236"/>
      <c r="M50" s="236"/>
      <c r="N50" s="236"/>
      <c r="O50" s="236"/>
      <c r="P50" s="162"/>
      <c r="Q50" s="162"/>
      <c r="R50" s="238"/>
      <c r="S50" s="236"/>
      <c r="T50" s="236"/>
      <c r="U50" s="236"/>
      <c r="V50" s="236"/>
      <c r="W50" s="238"/>
      <c r="X50" s="236"/>
      <c r="Y50" s="236"/>
      <c r="Z50" s="236"/>
      <c r="AA50" s="236"/>
      <c r="AB50" s="162"/>
      <c r="AC50" s="162"/>
      <c r="AD50" s="281"/>
      <c r="AE50" s="239"/>
      <c r="AF50" s="239"/>
      <c r="AG50" s="239"/>
      <c r="AH50" s="282"/>
      <c r="AI50" s="162"/>
      <c r="AJ50" s="162"/>
      <c r="AK50" s="139">
        <f t="shared" si="15"/>
        <v>0</v>
      </c>
      <c r="AL50" s="140">
        <f t="shared" si="15"/>
        <v>0</v>
      </c>
      <c r="AM50" s="140">
        <f t="shared" si="15"/>
        <v>0</v>
      </c>
      <c r="AN50" s="140">
        <f t="shared" si="15"/>
        <v>0</v>
      </c>
      <c r="AO50" s="141">
        <f t="shared" si="15"/>
        <v>0</v>
      </c>
    </row>
    <row r="51" spans="1:41" s="285" customFormat="1" ht="15">
      <c r="A51" s="325" t="s">
        <v>136</v>
      </c>
      <c r="B51" s="326"/>
      <c r="C51" s="326"/>
      <c r="D51" s="326"/>
      <c r="E51" s="327"/>
      <c r="F51" s="283">
        <f t="shared" ref="F51:O51" si="16">SUM(F46:F50)</f>
        <v>14000</v>
      </c>
      <c r="G51" s="284">
        <f t="shared" si="16"/>
        <v>15000</v>
      </c>
      <c r="H51" s="284">
        <f t="shared" si="16"/>
        <v>16000</v>
      </c>
      <c r="I51" s="284">
        <f t="shared" si="16"/>
        <v>17000</v>
      </c>
      <c r="J51" s="284">
        <f t="shared" si="16"/>
        <v>19000</v>
      </c>
      <c r="K51" s="283">
        <f t="shared" si="16"/>
        <v>19000</v>
      </c>
      <c r="L51" s="284">
        <f t="shared" si="16"/>
        <v>19100</v>
      </c>
      <c r="M51" s="284">
        <f t="shared" si="16"/>
        <v>19200</v>
      </c>
      <c r="N51" s="284">
        <f t="shared" si="16"/>
        <v>19300</v>
      </c>
      <c r="O51" s="284">
        <f t="shared" si="16"/>
        <v>19500</v>
      </c>
      <c r="P51" s="164"/>
      <c r="Q51" s="164"/>
      <c r="R51" s="283">
        <f t="shared" ref="R51:AA51" si="17">SUM(R46:R50)</f>
        <v>0</v>
      </c>
      <c r="S51" s="284">
        <f t="shared" si="17"/>
        <v>0</v>
      </c>
      <c r="T51" s="284">
        <f t="shared" si="17"/>
        <v>0</v>
      </c>
      <c r="U51" s="284">
        <f t="shared" si="17"/>
        <v>0</v>
      </c>
      <c r="V51" s="284">
        <f t="shared" si="17"/>
        <v>0</v>
      </c>
      <c r="W51" s="283">
        <f t="shared" si="17"/>
        <v>0</v>
      </c>
      <c r="X51" s="284">
        <f t="shared" si="17"/>
        <v>0</v>
      </c>
      <c r="Y51" s="284">
        <f t="shared" si="17"/>
        <v>0</v>
      </c>
      <c r="Z51" s="284">
        <f t="shared" si="17"/>
        <v>0</v>
      </c>
      <c r="AA51" s="284">
        <f t="shared" si="17"/>
        <v>0</v>
      </c>
      <c r="AB51" s="164"/>
      <c r="AC51" s="164"/>
      <c r="AD51" s="283">
        <f>SUM(AD46:AD50)</f>
        <v>0</v>
      </c>
      <c r="AE51" s="284">
        <f>SUM(AE46:AE50)</f>
        <v>0</v>
      </c>
      <c r="AF51" s="284">
        <f>SUM(AF46:AF50)</f>
        <v>0</v>
      </c>
      <c r="AG51" s="284">
        <f>SUM(AG46:AG50)</f>
        <v>0</v>
      </c>
      <c r="AH51" s="284">
        <f>SUM(AH46:AH50)</f>
        <v>0</v>
      </c>
      <c r="AI51" s="164"/>
      <c r="AJ51" s="164"/>
      <c r="AK51" s="283">
        <f>SUM(AK46:AK50)</f>
        <v>33000</v>
      </c>
      <c r="AL51" s="284">
        <f>SUM(AL46:AL50)</f>
        <v>34100</v>
      </c>
      <c r="AM51" s="284">
        <f>SUM(AM46:AM50)</f>
        <v>35200</v>
      </c>
      <c r="AN51" s="284">
        <f>SUM(AN46:AN50)</f>
        <v>36300</v>
      </c>
      <c r="AO51" s="284">
        <f>SUM(AO46:AO50)</f>
        <v>38500</v>
      </c>
    </row>
    <row r="52" spans="1:41">
      <c r="E52" s="162"/>
      <c r="F52" s="66"/>
      <c r="G52" s="46"/>
      <c r="H52" s="46"/>
      <c r="I52" s="46"/>
      <c r="J52" s="46"/>
      <c r="K52" s="66"/>
      <c r="L52" s="46"/>
      <c r="M52" s="46"/>
      <c r="N52" s="46"/>
      <c r="O52" s="142"/>
      <c r="P52" s="162"/>
      <c r="Q52" s="162"/>
      <c r="R52" s="61"/>
      <c r="V52" s="62"/>
      <c r="W52" s="61"/>
      <c r="AA52" s="62"/>
      <c r="AB52" s="162"/>
      <c r="AC52" s="162"/>
      <c r="AD52" s="61"/>
      <c r="AH52" s="62"/>
      <c r="AI52" s="162"/>
      <c r="AJ52" s="162"/>
      <c r="AK52" s="61"/>
      <c r="AO52" s="62"/>
    </row>
    <row r="53" spans="1:41" s="292" customFormat="1" ht="14.25" customHeight="1" outlineLevel="1">
      <c r="A53" s="314" t="s">
        <v>184</v>
      </c>
      <c r="B53" s="286" t="s">
        <v>153</v>
      </c>
      <c r="C53" s="287" t="s">
        <v>132</v>
      </c>
      <c r="D53" s="288">
        <v>100</v>
      </c>
      <c r="E53" s="187"/>
      <c r="F53" s="272">
        <f t="shared" ref="F53:O53" si="18">$D$53*F5*F9</f>
        <v>600</v>
      </c>
      <c r="G53" s="273">
        <f t="shared" si="18"/>
        <v>525</v>
      </c>
      <c r="H53" s="273">
        <f t="shared" si="18"/>
        <v>530</v>
      </c>
      <c r="I53" s="273">
        <f t="shared" si="18"/>
        <v>321</v>
      </c>
      <c r="J53" s="274">
        <f t="shared" si="18"/>
        <v>327</v>
      </c>
      <c r="K53" s="272">
        <f t="shared" si="18"/>
        <v>500</v>
      </c>
      <c r="L53" s="273">
        <f t="shared" si="18"/>
        <v>525</v>
      </c>
      <c r="M53" s="273">
        <f t="shared" si="18"/>
        <v>530</v>
      </c>
      <c r="N53" s="273">
        <f t="shared" si="18"/>
        <v>535</v>
      </c>
      <c r="O53" s="274">
        <f t="shared" si="18"/>
        <v>545</v>
      </c>
      <c r="P53" s="187"/>
      <c r="Q53" s="187"/>
      <c r="R53" s="272">
        <f t="shared" ref="R53:AA53" si="19">$D$53*R5*R9</f>
        <v>0</v>
      </c>
      <c r="S53" s="273">
        <f t="shared" si="19"/>
        <v>0</v>
      </c>
      <c r="T53" s="273">
        <f t="shared" si="19"/>
        <v>0</v>
      </c>
      <c r="U53" s="273">
        <f t="shared" si="19"/>
        <v>0</v>
      </c>
      <c r="V53" s="274">
        <f t="shared" si="19"/>
        <v>0</v>
      </c>
      <c r="W53" s="272">
        <f t="shared" si="19"/>
        <v>0</v>
      </c>
      <c r="X53" s="273">
        <f t="shared" si="19"/>
        <v>0</v>
      </c>
      <c r="Y53" s="273">
        <f t="shared" si="19"/>
        <v>0</v>
      </c>
      <c r="Z53" s="273">
        <f t="shared" si="19"/>
        <v>0</v>
      </c>
      <c r="AA53" s="274">
        <f t="shared" si="19"/>
        <v>0</v>
      </c>
      <c r="AB53" s="187"/>
      <c r="AC53" s="187"/>
      <c r="AD53" s="272">
        <f>$D$53*AD5*AD9</f>
        <v>0</v>
      </c>
      <c r="AE53" s="273">
        <f>$D$53*AE5*AE9</f>
        <v>0</v>
      </c>
      <c r="AF53" s="273">
        <f>$D$53*AF5*AF9</f>
        <v>0</v>
      </c>
      <c r="AG53" s="273">
        <f>$D$53*AG5*AG9</f>
        <v>0</v>
      </c>
      <c r="AH53" s="274">
        <f>$D$53*AH5*AH9</f>
        <v>0</v>
      </c>
      <c r="AI53" s="187"/>
      <c r="AJ53" s="187"/>
      <c r="AK53" s="289">
        <f t="shared" ref="AK53:AO57" si="20">F53+K53+R53+W53+AD53</f>
        <v>1100</v>
      </c>
      <c r="AL53" s="290">
        <f t="shared" si="20"/>
        <v>1050</v>
      </c>
      <c r="AM53" s="290">
        <f t="shared" si="20"/>
        <v>1060</v>
      </c>
      <c r="AN53" s="290">
        <f t="shared" si="20"/>
        <v>856</v>
      </c>
      <c r="AO53" s="291">
        <f t="shared" si="20"/>
        <v>872</v>
      </c>
    </row>
    <row r="54" spans="1:41" outlineLevel="1">
      <c r="A54" s="315"/>
      <c r="B54" s="286" t="s">
        <v>154</v>
      </c>
      <c r="C54" s="219" t="s">
        <v>132</v>
      </c>
      <c r="D54" s="233">
        <v>2000</v>
      </c>
      <c r="E54" s="162"/>
      <c r="F54" s="238">
        <f t="shared" ref="F54:O54" si="21">$D$54*F5*F9</f>
        <v>12000</v>
      </c>
      <c r="G54" s="236">
        <f t="shared" si="21"/>
        <v>10500</v>
      </c>
      <c r="H54" s="236">
        <f t="shared" si="21"/>
        <v>10600</v>
      </c>
      <c r="I54" s="236">
        <f t="shared" si="21"/>
        <v>6420</v>
      </c>
      <c r="J54" s="237">
        <f t="shared" si="21"/>
        <v>6540.0000000000009</v>
      </c>
      <c r="K54" s="238">
        <f t="shared" si="21"/>
        <v>10000</v>
      </c>
      <c r="L54" s="236">
        <f t="shared" si="21"/>
        <v>10500</v>
      </c>
      <c r="M54" s="236">
        <f t="shared" si="21"/>
        <v>10600</v>
      </c>
      <c r="N54" s="236">
        <f t="shared" si="21"/>
        <v>10700</v>
      </c>
      <c r="O54" s="237">
        <f t="shared" si="21"/>
        <v>10900</v>
      </c>
      <c r="P54" s="162"/>
      <c r="Q54" s="162"/>
      <c r="R54" s="238">
        <f t="shared" ref="R54:AA54" si="22">$D$54*R5*R9</f>
        <v>0</v>
      </c>
      <c r="S54" s="236">
        <f t="shared" si="22"/>
        <v>0</v>
      </c>
      <c r="T54" s="236">
        <f t="shared" si="22"/>
        <v>0</v>
      </c>
      <c r="U54" s="236">
        <f t="shared" si="22"/>
        <v>0</v>
      </c>
      <c r="V54" s="237">
        <f t="shared" si="22"/>
        <v>0</v>
      </c>
      <c r="W54" s="238">
        <f t="shared" si="22"/>
        <v>0</v>
      </c>
      <c r="X54" s="236">
        <f t="shared" si="22"/>
        <v>0</v>
      </c>
      <c r="Y54" s="236">
        <f t="shared" si="22"/>
        <v>0</v>
      </c>
      <c r="Z54" s="236">
        <f t="shared" si="22"/>
        <v>0</v>
      </c>
      <c r="AA54" s="237">
        <f t="shared" si="22"/>
        <v>0</v>
      </c>
      <c r="AB54" s="162"/>
      <c r="AC54" s="162"/>
      <c r="AD54" s="238">
        <f>$D$54*AD5*AD9</f>
        <v>0</v>
      </c>
      <c r="AE54" s="236">
        <f>$D$54*AE5*AE9</f>
        <v>0</v>
      </c>
      <c r="AF54" s="236">
        <f>$D$54*AF5*AF9</f>
        <v>0</v>
      </c>
      <c r="AG54" s="236">
        <f>$D$54*AG5*AG9</f>
        <v>0</v>
      </c>
      <c r="AH54" s="237">
        <f>$D$54*AH5*AH9</f>
        <v>0</v>
      </c>
      <c r="AI54" s="162"/>
      <c r="AJ54" s="162"/>
      <c r="AK54" s="66">
        <f t="shared" si="20"/>
        <v>22000</v>
      </c>
      <c r="AL54" s="46">
        <f t="shared" si="20"/>
        <v>21000</v>
      </c>
      <c r="AM54" s="46">
        <f t="shared" si="20"/>
        <v>21200</v>
      </c>
      <c r="AN54" s="46">
        <f t="shared" si="20"/>
        <v>17120</v>
      </c>
      <c r="AO54" s="142">
        <f t="shared" si="20"/>
        <v>17440</v>
      </c>
    </row>
    <row r="55" spans="1:41" outlineLevel="1">
      <c r="A55" s="315"/>
      <c r="B55" s="286" t="s">
        <v>143</v>
      </c>
      <c r="C55" s="219" t="s">
        <v>145</v>
      </c>
      <c r="D55" s="233">
        <v>15000</v>
      </c>
      <c r="E55" s="162"/>
      <c r="F55" s="238">
        <f>D55*F9</f>
        <v>15000</v>
      </c>
      <c r="G55" s="236">
        <f>F55*G9</f>
        <v>15750</v>
      </c>
      <c r="H55" s="236">
        <f>G55*H9</f>
        <v>16695</v>
      </c>
      <c r="I55" s="236">
        <f>H55*I9</f>
        <v>17863.650000000001</v>
      </c>
      <c r="J55" s="237">
        <f>I55*J9</f>
        <v>19471.378500000003</v>
      </c>
      <c r="K55" s="238">
        <f>I55*K9</f>
        <v>17863.650000000001</v>
      </c>
      <c r="L55" s="236">
        <f>K55*L9</f>
        <v>18756.832500000004</v>
      </c>
      <c r="M55" s="236">
        <f>L55*M9</f>
        <v>19882.242450000005</v>
      </c>
      <c r="N55" s="236">
        <f>M55*N9</f>
        <v>21273.999421500008</v>
      </c>
      <c r="O55" s="237">
        <f>N55*O9</f>
        <v>23188.659369435009</v>
      </c>
      <c r="P55" s="162"/>
      <c r="Q55" s="162"/>
      <c r="R55" s="238">
        <f>P55*R9</f>
        <v>0</v>
      </c>
      <c r="S55" s="236">
        <f>R55*S9</f>
        <v>0</v>
      </c>
      <c r="T55" s="236">
        <f>S55*T9</f>
        <v>0</v>
      </c>
      <c r="U55" s="236">
        <f>T55*U9</f>
        <v>0</v>
      </c>
      <c r="V55" s="237">
        <f>U55*V9</f>
        <v>0</v>
      </c>
      <c r="W55" s="238">
        <f>U55*W9</f>
        <v>0</v>
      </c>
      <c r="X55" s="236">
        <f>W55*X9</f>
        <v>0</v>
      </c>
      <c r="Y55" s="236">
        <f>X55*Y9</f>
        <v>0</v>
      </c>
      <c r="Z55" s="236">
        <f>Y55*Z9</f>
        <v>0</v>
      </c>
      <c r="AA55" s="237">
        <f>Z55*AA9</f>
        <v>0</v>
      </c>
      <c r="AB55" s="162"/>
      <c r="AC55" s="162"/>
      <c r="AD55" s="238">
        <f>AB55*AD9</f>
        <v>0</v>
      </c>
      <c r="AE55" s="236">
        <f>AD55*AE9</f>
        <v>0</v>
      </c>
      <c r="AF55" s="236">
        <f>AE55*AF9</f>
        <v>0</v>
      </c>
      <c r="AG55" s="236">
        <f>AF55*AG9</f>
        <v>0</v>
      </c>
      <c r="AH55" s="237">
        <f>AG55*AH9</f>
        <v>0</v>
      </c>
      <c r="AI55" s="162"/>
      <c r="AJ55" s="162"/>
      <c r="AK55" s="66">
        <f t="shared" si="20"/>
        <v>32863.65</v>
      </c>
      <c r="AL55" s="46">
        <f t="shared" si="20"/>
        <v>34506.832500000004</v>
      </c>
      <c r="AM55" s="46">
        <f t="shared" si="20"/>
        <v>36577.242450000005</v>
      </c>
      <c r="AN55" s="46">
        <f t="shared" si="20"/>
        <v>39137.649421500013</v>
      </c>
      <c r="AO55" s="142">
        <f t="shared" si="20"/>
        <v>42660.037869435007</v>
      </c>
    </row>
    <row r="56" spans="1:41" outlineLevel="1">
      <c r="A56" s="315"/>
      <c r="B56" s="286" t="s">
        <v>156</v>
      </c>
      <c r="C56" s="219" t="s">
        <v>157</v>
      </c>
      <c r="D56" s="233">
        <f>120*5500</f>
        <v>660000</v>
      </c>
      <c r="E56" s="171"/>
      <c r="F56" s="238">
        <f>D56</f>
        <v>660000</v>
      </c>
      <c r="G56" s="236"/>
      <c r="H56" s="236"/>
      <c r="I56" s="236"/>
      <c r="J56" s="237"/>
      <c r="K56" s="238"/>
      <c r="L56" s="236"/>
      <c r="M56" s="236"/>
      <c r="N56" s="236"/>
      <c r="O56" s="237"/>
      <c r="P56" s="162"/>
      <c r="Q56" s="162"/>
      <c r="R56" s="238"/>
      <c r="S56" s="236"/>
      <c r="T56" s="236"/>
      <c r="U56" s="236"/>
      <c r="V56" s="237"/>
      <c r="W56" s="238"/>
      <c r="X56" s="236"/>
      <c r="Y56" s="236"/>
      <c r="Z56" s="236"/>
      <c r="AA56" s="237"/>
      <c r="AB56" s="162"/>
      <c r="AC56" s="162"/>
      <c r="AD56" s="238"/>
      <c r="AE56" s="236"/>
      <c r="AF56" s="236"/>
      <c r="AG56" s="236"/>
      <c r="AH56" s="237"/>
      <c r="AI56" s="162"/>
      <c r="AJ56" s="162"/>
      <c r="AK56" s="66">
        <f t="shared" si="20"/>
        <v>660000</v>
      </c>
      <c r="AL56" s="46">
        <f t="shared" si="20"/>
        <v>0</v>
      </c>
      <c r="AM56" s="46">
        <f t="shared" si="20"/>
        <v>0</v>
      </c>
      <c r="AN56" s="46">
        <f t="shared" si="20"/>
        <v>0</v>
      </c>
      <c r="AO56" s="142">
        <f t="shared" si="20"/>
        <v>0</v>
      </c>
    </row>
    <row r="57" spans="1:41" s="296" customFormat="1" outlineLevel="1">
      <c r="A57" s="315"/>
      <c r="B57" s="286"/>
      <c r="C57" s="227"/>
      <c r="D57" s="227"/>
      <c r="E57" s="200"/>
      <c r="F57" s="226"/>
      <c r="G57" s="227"/>
      <c r="H57" s="227"/>
      <c r="I57" s="227"/>
      <c r="J57" s="231"/>
      <c r="K57" s="226"/>
      <c r="L57" s="227"/>
      <c r="M57" s="227"/>
      <c r="N57" s="227"/>
      <c r="O57" s="231"/>
      <c r="P57" s="200"/>
      <c r="Q57" s="200"/>
      <c r="R57" s="226"/>
      <c r="S57" s="227"/>
      <c r="T57" s="227"/>
      <c r="U57" s="227"/>
      <c r="V57" s="231"/>
      <c r="W57" s="226"/>
      <c r="X57" s="227"/>
      <c r="Y57" s="227"/>
      <c r="Z57" s="227"/>
      <c r="AA57" s="231"/>
      <c r="AB57" s="200"/>
      <c r="AC57" s="200"/>
      <c r="AD57" s="226"/>
      <c r="AE57" s="227"/>
      <c r="AF57" s="227"/>
      <c r="AG57" s="227"/>
      <c r="AH57" s="231"/>
      <c r="AI57" s="200"/>
      <c r="AJ57" s="200"/>
      <c r="AK57" s="293">
        <f t="shared" si="20"/>
        <v>0</v>
      </c>
      <c r="AL57" s="294">
        <f t="shared" si="20"/>
        <v>0</v>
      </c>
      <c r="AM57" s="294">
        <f t="shared" si="20"/>
        <v>0</v>
      </c>
      <c r="AN57" s="294">
        <f t="shared" si="20"/>
        <v>0</v>
      </c>
      <c r="AO57" s="295">
        <f t="shared" si="20"/>
        <v>0</v>
      </c>
    </row>
    <row r="58" spans="1:41" s="60" customFormat="1" ht="15">
      <c r="A58" s="349" t="s">
        <v>136</v>
      </c>
      <c r="B58" s="350"/>
      <c r="C58" s="350"/>
      <c r="D58" s="350"/>
      <c r="E58" s="351"/>
      <c r="F58" s="293">
        <f t="shared" ref="F58:O58" si="23">SUM(F53:F56)</f>
        <v>687600</v>
      </c>
      <c r="G58" s="294">
        <f t="shared" si="23"/>
        <v>26775</v>
      </c>
      <c r="H58" s="294">
        <f t="shared" si="23"/>
        <v>27825</v>
      </c>
      <c r="I58" s="294">
        <f t="shared" si="23"/>
        <v>24604.65</v>
      </c>
      <c r="J58" s="294">
        <f t="shared" si="23"/>
        <v>26338.378500000003</v>
      </c>
      <c r="K58" s="143">
        <f t="shared" si="23"/>
        <v>28363.65</v>
      </c>
      <c r="L58" s="117">
        <f t="shared" si="23"/>
        <v>29781.832500000004</v>
      </c>
      <c r="M58" s="117">
        <f t="shared" si="23"/>
        <v>31012.242450000005</v>
      </c>
      <c r="N58" s="117">
        <f t="shared" si="23"/>
        <v>32508.999421500008</v>
      </c>
      <c r="O58" s="297">
        <f t="shared" si="23"/>
        <v>34633.659369435009</v>
      </c>
      <c r="P58" s="164"/>
      <c r="Q58" s="164"/>
      <c r="R58" s="143">
        <f t="shared" ref="R58:AA58" si="24">SUM(R53:R56)</f>
        <v>0</v>
      </c>
      <c r="S58" s="117">
        <f t="shared" si="24"/>
        <v>0</v>
      </c>
      <c r="T58" s="117">
        <f t="shared" si="24"/>
        <v>0</v>
      </c>
      <c r="U58" s="117">
        <f t="shared" si="24"/>
        <v>0</v>
      </c>
      <c r="V58" s="297">
        <f t="shared" si="24"/>
        <v>0</v>
      </c>
      <c r="W58" s="143">
        <f t="shared" si="24"/>
        <v>0</v>
      </c>
      <c r="X58" s="117">
        <f t="shared" si="24"/>
        <v>0</v>
      </c>
      <c r="Y58" s="117">
        <f t="shared" si="24"/>
        <v>0</v>
      </c>
      <c r="Z58" s="117">
        <f t="shared" si="24"/>
        <v>0</v>
      </c>
      <c r="AA58" s="297">
        <f t="shared" si="24"/>
        <v>0</v>
      </c>
      <c r="AB58" s="164"/>
      <c r="AC58" s="164"/>
      <c r="AD58" s="143">
        <f>SUM(AD53:AD56)</f>
        <v>0</v>
      </c>
      <c r="AE58" s="117">
        <f>SUM(AE53:AE56)</f>
        <v>0</v>
      </c>
      <c r="AF58" s="117">
        <f>SUM(AF53:AF56)</f>
        <v>0</v>
      </c>
      <c r="AG58" s="117">
        <f>SUM(AG53:AG56)</f>
        <v>0</v>
      </c>
      <c r="AH58" s="297">
        <f>SUM(AH53:AH56)</f>
        <v>0</v>
      </c>
      <c r="AI58" s="164"/>
      <c r="AJ58" s="164"/>
      <c r="AK58" s="143">
        <f>SUM(AK53:AK56)</f>
        <v>715963.65</v>
      </c>
      <c r="AL58" s="117">
        <f>SUM(AL53:AL56)</f>
        <v>56556.832500000004</v>
      </c>
      <c r="AM58" s="117">
        <f>SUM(AM53:AM56)</f>
        <v>58837.242450000005</v>
      </c>
      <c r="AN58" s="117">
        <f>SUM(AN53:AN56)</f>
        <v>57113.649421500013</v>
      </c>
      <c r="AO58" s="297">
        <f>SUM(AO53:AO56)</f>
        <v>60972.037869435007</v>
      </c>
    </row>
    <row r="59" spans="1:41">
      <c r="E59" s="162"/>
      <c r="F59" s="61"/>
      <c r="K59" s="61"/>
      <c r="O59" s="62"/>
      <c r="P59" s="162"/>
      <c r="Q59" s="162"/>
      <c r="R59" s="61"/>
      <c r="V59" s="62"/>
      <c r="W59" s="61"/>
      <c r="AA59" s="62"/>
      <c r="AB59" s="162"/>
      <c r="AC59" s="162"/>
      <c r="AD59" s="61"/>
      <c r="AH59" s="62"/>
      <c r="AI59" s="162"/>
      <c r="AJ59" s="162"/>
      <c r="AK59" s="61"/>
      <c r="AO59" s="62"/>
    </row>
    <row r="60" spans="1:41">
      <c r="E60" s="162"/>
      <c r="F60" s="61"/>
      <c r="K60" s="61"/>
      <c r="O60" s="62"/>
      <c r="P60" s="162"/>
      <c r="Q60" s="162"/>
      <c r="R60" s="61"/>
      <c r="V60" s="62"/>
      <c r="W60" s="61"/>
      <c r="AA60" s="62"/>
      <c r="AB60" s="162"/>
      <c r="AC60" s="162"/>
      <c r="AD60" s="61"/>
      <c r="AH60" s="62"/>
      <c r="AI60" s="162"/>
      <c r="AJ60" s="162"/>
      <c r="AK60" s="61"/>
      <c r="AO60" s="62"/>
    </row>
    <row r="61" spans="1:41">
      <c r="A61" t="s">
        <v>129</v>
      </c>
      <c r="E61" s="162"/>
      <c r="F61" s="61"/>
      <c r="K61" s="61"/>
      <c r="O61" s="62"/>
      <c r="P61" s="162"/>
      <c r="Q61" s="162"/>
      <c r="R61" s="61"/>
      <c r="V61" s="62"/>
      <c r="W61" s="61"/>
      <c r="AA61" s="62"/>
      <c r="AB61" s="162"/>
      <c r="AC61" s="162"/>
      <c r="AD61" s="61"/>
      <c r="AH61" s="62"/>
      <c r="AI61" s="162"/>
      <c r="AJ61" s="162"/>
      <c r="AK61" s="61"/>
      <c r="AO61" s="62"/>
    </row>
    <row r="62" spans="1:41" ht="15" thickBot="1">
      <c r="C62" t="s">
        <v>146</v>
      </c>
      <c r="D62">
        <v>1E-3</v>
      </c>
      <c r="E62" s="162"/>
      <c r="F62" s="61"/>
      <c r="K62" s="61"/>
      <c r="O62" s="62"/>
      <c r="P62" s="162"/>
      <c r="Q62" s="162"/>
      <c r="R62" s="61"/>
      <c r="V62" s="62"/>
      <c r="W62" s="61"/>
      <c r="AA62" s="62"/>
      <c r="AB62" s="162"/>
      <c r="AC62" s="162"/>
      <c r="AD62" s="61"/>
      <c r="AH62" s="62"/>
      <c r="AI62" s="162"/>
      <c r="AJ62" s="162"/>
      <c r="AK62" s="61"/>
      <c r="AO62" s="62"/>
    </row>
    <row r="63" spans="1:41" ht="15" thickBot="1">
      <c r="C63" t="s">
        <v>147</v>
      </c>
      <c r="D63" t="s">
        <v>110</v>
      </c>
      <c r="E63" s="162"/>
      <c r="F63" s="149">
        <f t="shared" ref="F63:O63" si="25">F58+F44+F40+F34+F17</f>
        <v>750600</v>
      </c>
      <c r="G63" s="150">
        <f t="shared" si="25"/>
        <v>324025</v>
      </c>
      <c r="H63" s="150">
        <f t="shared" si="25"/>
        <v>27825</v>
      </c>
      <c r="I63" s="150">
        <f t="shared" si="25"/>
        <v>24604.65</v>
      </c>
      <c r="J63" s="150">
        <f t="shared" si="25"/>
        <v>26338.378500000003</v>
      </c>
      <c r="K63" s="149">
        <f t="shared" si="25"/>
        <v>36363.65</v>
      </c>
      <c r="L63" s="150">
        <f t="shared" si="25"/>
        <v>43781.832500000004</v>
      </c>
      <c r="M63" s="150">
        <f t="shared" si="25"/>
        <v>31012.242450000005</v>
      </c>
      <c r="N63" s="150">
        <f t="shared" si="25"/>
        <v>32508.999421500008</v>
      </c>
      <c r="O63" s="150">
        <f t="shared" si="25"/>
        <v>34633.659369435009</v>
      </c>
      <c r="P63" s="162"/>
      <c r="Q63" s="162"/>
      <c r="R63" s="149">
        <f t="shared" ref="R63:AA63" si="26">R58+R44+R40+R34+R17</f>
        <v>681000.6</v>
      </c>
      <c r="S63" s="150">
        <f t="shared" si="26"/>
        <v>0</v>
      </c>
      <c r="T63" s="150">
        <f t="shared" si="26"/>
        <v>0</v>
      </c>
      <c r="U63" s="150">
        <f t="shared" si="26"/>
        <v>0</v>
      </c>
      <c r="V63" s="150">
        <f t="shared" si="26"/>
        <v>0</v>
      </c>
      <c r="W63" s="149">
        <f t="shared" si="26"/>
        <v>373500.2</v>
      </c>
      <c r="X63" s="150">
        <f t="shared" si="26"/>
        <v>0</v>
      </c>
      <c r="Y63" s="150">
        <f t="shared" si="26"/>
        <v>0</v>
      </c>
      <c r="Z63" s="150">
        <f t="shared" si="26"/>
        <v>0</v>
      </c>
      <c r="AA63" s="150">
        <f t="shared" si="26"/>
        <v>0</v>
      </c>
      <c r="AB63" s="162"/>
      <c r="AC63" s="162"/>
      <c r="AD63" s="149">
        <f>AD58+AD44+AD40+AD34+AD17</f>
        <v>111000.2</v>
      </c>
      <c r="AE63" s="150">
        <f>AE58+AE44+AE40+AE34+AE17</f>
        <v>0</v>
      </c>
      <c r="AF63" s="150">
        <f>AF58+AF44+AF40+AF34+AF17</f>
        <v>0</v>
      </c>
      <c r="AG63" s="150">
        <f>AG58+AG44+AG40+AG34+AG17</f>
        <v>0</v>
      </c>
      <c r="AH63" s="150">
        <f>AH58+AH44+AH40+AH34+AH17</f>
        <v>0</v>
      </c>
      <c r="AI63" s="162"/>
      <c r="AJ63" s="162"/>
      <c r="AK63" s="149">
        <f t="shared" ref="AK63:AO65" si="27">F63+K63+R63+W63+AD63</f>
        <v>1952464.65</v>
      </c>
      <c r="AL63" s="150">
        <f t="shared" si="27"/>
        <v>367806.83250000002</v>
      </c>
      <c r="AM63" s="150">
        <f t="shared" si="27"/>
        <v>58837.242450000005</v>
      </c>
      <c r="AN63" s="150">
        <f t="shared" si="27"/>
        <v>57113.649421500013</v>
      </c>
      <c r="AO63" s="150">
        <f t="shared" si="27"/>
        <v>60972.037869435007</v>
      </c>
    </row>
    <row r="64" spans="1:41" ht="15" thickBot="1">
      <c r="E64" s="162"/>
      <c r="F64" s="66">
        <f t="shared" ref="F64:O64" si="28">F63*$D$62</f>
        <v>750.6</v>
      </c>
      <c r="G64" s="46">
        <f t="shared" si="28"/>
        <v>324.02500000000003</v>
      </c>
      <c r="H64" s="46">
        <f t="shared" si="28"/>
        <v>27.824999999999999</v>
      </c>
      <c r="I64" s="46">
        <f t="shared" si="28"/>
        <v>24.604650000000003</v>
      </c>
      <c r="J64" s="46">
        <f t="shared" si="28"/>
        <v>26.338378500000005</v>
      </c>
      <c r="K64" s="66">
        <f t="shared" si="28"/>
        <v>36.36365</v>
      </c>
      <c r="L64" s="46">
        <f t="shared" si="28"/>
        <v>43.781832500000007</v>
      </c>
      <c r="M64" s="46">
        <f t="shared" si="28"/>
        <v>31.012242450000006</v>
      </c>
      <c r="N64" s="46">
        <f t="shared" si="28"/>
        <v>32.508999421500008</v>
      </c>
      <c r="O64" s="46">
        <f t="shared" si="28"/>
        <v>34.633659369435009</v>
      </c>
      <c r="P64" s="162"/>
      <c r="Q64" s="162"/>
      <c r="R64" s="66">
        <f t="shared" ref="R64:AA64" si="29">R63*$D$62</f>
        <v>681.00059999999996</v>
      </c>
      <c r="S64" s="46">
        <f t="shared" si="29"/>
        <v>0</v>
      </c>
      <c r="T64" s="46">
        <f t="shared" si="29"/>
        <v>0</v>
      </c>
      <c r="U64" s="46">
        <f t="shared" si="29"/>
        <v>0</v>
      </c>
      <c r="V64" s="46">
        <f t="shared" si="29"/>
        <v>0</v>
      </c>
      <c r="W64" s="66">
        <f t="shared" si="29"/>
        <v>373.50020000000001</v>
      </c>
      <c r="X64" s="46">
        <f t="shared" si="29"/>
        <v>0</v>
      </c>
      <c r="Y64" s="46">
        <f t="shared" si="29"/>
        <v>0</v>
      </c>
      <c r="Z64" s="46">
        <f t="shared" si="29"/>
        <v>0</v>
      </c>
      <c r="AA64" s="46">
        <f t="shared" si="29"/>
        <v>0</v>
      </c>
      <c r="AB64" s="162"/>
      <c r="AC64" s="162"/>
      <c r="AD64" s="66">
        <f>AD63*$D$62</f>
        <v>111.00019999999999</v>
      </c>
      <c r="AE64" s="46">
        <f>AE63*$D$62</f>
        <v>0</v>
      </c>
      <c r="AF64" s="46">
        <f>AF63*$D$62</f>
        <v>0</v>
      </c>
      <c r="AG64" s="46">
        <f>AG63*$D$62</f>
        <v>0</v>
      </c>
      <c r="AH64" s="46">
        <f>AH63*$D$62</f>
        <v>0</v>
      </c>
      <c r="AI64" s="162"/>
      <c r="AJ64" s="162"/>
      <c r="AK64" s="66">
        <f t="shared" si="27"/>
        <v>1952.4646499999999</v>
      </c>
      <c r="AL64" s="46">
        <f t="shared" si="27"/>
        <v>367.80683250000004</v>
      </c>
      <c r="AM64" s="46">
        <f t="shared" si="27"/>
        <v>58.837242450000005</v>
      </c>
      <c r="AN64" s="46">
        <f t="shared" si="27"/>
        <v>57.113649421500014</v>
      </c>
      <c r="AO64" s="46">
        <f t="shared" si="27"/>
        <v>60.972037869435013</v>
      </c>
    </row>
    <row r="65" spans="3:41" ht="15.75" thickBot="1">
      <c r="C65" t="s">
        <v>133</v>
      </c>
      <c r="E65" s="162"/>
      <c r="F65" s="152">
        <f t="shared" ref="F65:O65" si="30">F63+F64</f>
        <v>751350.6</v>
      </c>
      <c r="G65" s="153">
        <f t="shared" si="30"/>
        <v>324349.02500000002</v>
      </c>
      <c r="H65" s="153">
        <f t="shared" si="30"/>
        <v>27852.825000000001</v>
      </c>
      <c r="I65" s="153">
        <f t="shared" si="30"/>
        <v>24629.254650000003</v>
      </c>
      <c r="J65" s="153">
        <f t="shared" si="30"/>
        <v>26364.716878500003</v>
      </c>
      <c r="K65" s="152">
        <f t="shared" si="30"/>
        <v>36400.013650000001</v>
      </c>
      <c r="L65" s="153">
        <f t="shared" si="30"/>
        <v>43825.614332500001</v>
      </c>
      <c r="M65" s="153">
        <f t="shared" si="30"/>
        <v>31043.254692450006</v>
      </c>
      <c r="N65" s="153">
        <f t="shared" si="30"/>
        <v>32541.508420921509</v>
      </c>
      <c r="O65" s="153">
        <f t="shared" si="30"/>
        <v>34668.293028804444</v>
      </c>
      <c r="P65" s="162"/>
      <c r="Q65" s="162"/>
      <c r="R65" s="152">
        <f t="shared" ref="R65:AA65" si="31">R63+R64</f>
        <v>681681.60060000001</v>
      </c>
      <c r="S65" s="153">
        <f t="shared" si="31"/>
        <v>0</v>
      </c>
      <c r="T65" s="153">
        <f t="shared" si="31"/>
        <v>0</v>
      </c>
      <c r="U65" s="153">
        <f t="shared" si="31"/>
        <v>0</v>
      </c>
      <c r="V65" s="153">
        <f t="shared" si="31"/>
        <v>0</v>
      </c>
      <c r="W65" s="152">
        <f t="shared" si="31"/>
        <v>373873.70020000002</v>
      </c>
      <c r="X65" s="153">
        <f t="shared" si="31"/>
        <v>0</v>
      </c>
      <c r="Y65" s="153">
        <f t="shared" si="31"/>
        <v>0</v>
      </c>
      <c r="Z65" s="153">
        <f t="shared" si="31"/>
        <v>0</v>
      </c>
      <c r="AA65" s="153">
        <f t="shared" si="31"/>
        <v>0</v>
      </c>
      <c r="AB65" s="162"/>
      <c r="AC65" s="162"/>
      <c r="AD65" s="152">
        <f>AD63+AD64</f>
        <v>111111.20019999999</v>
      </c>
      <c r="AE65" s="153">
        <f>AE63+AE64</f>
        <v>0</v>
      </c>
      <c r="AF65" s="153">
        <f>AF63+AF64</f>
        <v>0</v>
      </c>
      <c r="AG65" s="153">
        <f>AG63+AG64</f>
        <v>0</v>
      </c>
      <c r="AH65" s="153">
        <f>AH63+AH64</f>
        <v>0</v>
      </c>
      <c r="AI65" s="162"/>
      <c r="AJ65" s="162"/>
      <c r="AK65" s="152">
        <f t="shared" si="27"/>
        <v>1954417.1146500001</v>
      </c>
      <c r="AL65" s="153">
        <f t="shared" si="27"/>
        <v>368174.63933250005</v>
      </c>
      <c r="AM65" s="153">
        <f t="shared" si="27"/>
        <v>58896.079692450003</v>
      </c>
      <c r="AN65" s="153">
        <f t="shared" si="27"/>
        <v>57170.763070921515</v>
      </c>
      <c r="AO65" s="153">
        <f t="shared" si="27"/>
        <v>61033.009907304448</v>
      </c>
    </row>
  </sheetData>
  <mergeCells count="36">
    <mergeCell ref="C4:D4"/>
    <mergeCell ref="AK2:AO2"/>
    <mergeCell ref="F3:J3"/>
    <mergeCell ref="K3:O3"/>
    <mergeCell ref="R3:V3"/>
    <mergeCell ref="W3:AA3"/>
    <mergeCell ref="AD3:AH3"/>
    <mergeCell ref="AK3:AO3"/>
    <mergeCell ref="AD2:AH2"/>
    <mergeCell ref="A1:N1"/>
    <mergeCell ref="F2:J2"/>
    <mergeCell ref="K2:O2"/>
    <mergeCell ref="R2:V2"/>
    <mergeCell ref="W2:AA2"/>
    <mergeCell ref="A11:A16"/>
    <mergeCell ref="B11:B12"/>
    <mergeCell ref="B13:B14"/>
    <mergeCell ref="B15:B16"/>
    <mergeCell ref="A17:E17"/>
    <mergeCell ref="A19:A21"/>
    <mergeCell ref="A22:A24"/>
    <mergeCell ref="A25:A27"/>
    <mergeCell ref="A28:A30"/>
    <mergeCell ref="A31:A33"/>
    <mergeCell ref="A34:E34"/>
    <mergeCell ref="A36:A39"/>
    <mergeCell ref="B36:B37"/>
    <mergeCell ref="B38:B39"/>
    <mergeCell ref="A40:E40"/>
    <mergeCell ref="A53:A57"/>
    <mergeCell ref="A58:E58"/>
    <mergeCell ref="A42:A43"/>
    <mergeCell ref="B42:B43"/>
    <mergeCell ref="A44:E44"/>
    <mergeCell ref="A46:A50"/>
    <mergeCell ref="A51:E5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50031-F4E2-4FE0-B2B0-B1E9189A643E}">
  <sheetPr>
    <tabColor theme="5"/>
  </sheetPr>
  <dimension ref="A1:AO71"/>
  <sheetViews>
    <sheetView workbookViewId="0">
      <selection sqref="A1:N1"/>
    </sheetView>
  </sheetViews>
  <sheetFormatPr defaultRowHeight="14.25"/>
  <cols>
    <col min="1" max="1" width="15" bestFit="1" customWidth="1"/>
    <col min="2" max="2" width="18.375" bestFit="1" customWidth="1"/>
    <col min="3" max="3" width="19" bestFit="1" customWidth="1"/>
    <col min="4" max="4" width="13.75" bestFit="1" customWidth="1"/>
    <col min="5" max="5" width="8.75" bestFit="1" customWidth="1"/>
    <col min="6" max="10" width="13.75" bestFit="1" customWidth="1"/>
    <col min="11" max="15" width="11.125" bestFit="1" customWidth="1"/>
    <col min="17" max="17" width="18.625" bestFit="1" customWidth="1"/>
    <col min="18" max="18" width="12.125" bestFit="1" customWidth="1"/>
    <col min="19" max="22" width="4.375" bestFit="1" customWidth="1"/>
    <col min="23" max="23" width="11.125" bestFit="1" customWidth="1"/>
    <col min="24" max="27" width="4.375" bestFit="1" customWidth="1"/>
    <col min="29" max="29" width="10.375" bestFit="1" customWidth="1"/>
    <col min="30" max="34" width="4.375" bestFit="1" customWidth="1"/>
    <col min="36" max="36" width="7.25" bestFit="1" customWidth="1"/>
    <col min="37" max="41" width="4.375" bestFit="1" customWidth="1"/>
  </cols>
  <sheetData>
    <row r="1" spans="1:41" ht="78.75" customHeight="1">
      <c r="A1" s="316" t="s">
        <v>189</v>
      </c>
      <c r="B1" s="317"/>
      <c r="C1" s="317"/>
      <c r="D1" s="317"/>
      <c r="E1" s="317"/>
      <c r="F1" s="317"/>
      <c r="G1" s="317"/>
      <c r="H1" s="317"/>
      <c r="I1" s="317"/>
      <c r="J1" s="317"/>
      <c r="K1" s="317"/>
      <c r="L1" s="317"/>
      <c r="M1" s="317"/>
      <c r="N1" s="317"/>
    </row>
    <row r="2" spans="1:41" s="58" customFormat="1" ht="30">
      <c r="A2" s="162"/>
      <c r="B2" s="162"/>
      <c r="C2" s="162"/>
      <c r="D2" s="162"/>
      <c r="E2" s="201" t="s">
        <v>89</v>
      </c>
      <c r="F2" s="306" t="s">
        <v>96</v>
      </c>
      <c r="G2" s="307"/>
      <c r="H2" s="307"/>
      <c r="I2" s="307"/>
      <c r="J2" s="308"/>
      <c r="K2" s="306" t="s">
        <v>97</v>
      </c>
      <c r="L2" s="307"/>
      <c r="M2" s="307"/>
      <c r="N2" s="307"/>
      <c r="O2" s="308"/>
      <c r="P2" s="203"/>
      <c r="Q2" s="187" t="s">
        <v>101</v>
      </c>
      <c r="R2" s="306" t="s">
        <v>93</v>
      </c>
      <c r="S2" s="307"/>
      <c r="T2" s="307"/>
      <c r="U2" s="307"/>
      <c r="V2" s="308"/>
      <c r="W2" s="306" t="s">
        <v>95</v>
      </c>
      <c r="X2" s="307"/>
      <c r="Y2" s="307"/>
      <c r="Z2" s="307"/>
      <c r="AA2" s="308"/>
      <c r="AB2" s="182"/>
      <c r="AC2" s="187" t="s">
        <v>127</v>
      </c>
      <c r="AD2" s="306"/>
      <c r="AE2" s="307"/>
      <c r="AF2" s="307"/>
      <c r="AG2" s="307"/>
      <c r="AH2" s="308"/>
      <c r="AI2" s="162"/>
      <c r="AJ2" s="182" t="s">
        <v>29</v>
      </c>
      <c r="AK2" s="306"/>
      <c r="AL2" s="307"/>
      <c r="AM2" s="307"/>
      <c r="AN2" s="307"/>
      <c r="AO2" s="308"/>
    </row>
    <row r="3" spans="1:41" s="58" customFormat="1" ht="30">
      <c r="A3" s="162"/>
      <c r="B3" s="162"/>
      <c r="C3" s="162"/>
      <c r="D3" s="162"/>
      <c r="E3" s="202" t="s">
        <v>90</v>
      </c>
      <c r="F3" s="366" t="s">
        <v>91</v>
      </c>
      <c r="G3" s="367"/>
      <c r="H3" s="367"/>
      <c r="I3" s="367"/>
      <c r="J3" s="368"/>
      <c r="K3" s="366" t="s">
        <v>100</v>
      </c>
      <c r="L3" s="367"/>
      <c r="M3" s="367"/>
      <c r="N3" s="367"/>
      <c r="O3" s="368"/>
      <c r="P3" s="184"/>
      <c r="Q3" s="200" t="s">
        <v>102</v>
      </c>
      <c r="R3" s="366" t="s">
        <v>92</v>
      </c>
      <c r="S3" s="367"/>
      <c r="T3" s="367"/>
      <c r="U3" s="367"/>
      <c r="V3" s="368"/>
      <c r="W3" s="366" t="s">
        <v>94</v>
      </c>
      <c r="X3" s="367"/>
      <c r="Y3" s="367"/>
      <c r="Z3" s="367"/>
      <c r="AA3" s="368"/>
      <c r="AB3" s="204"/>
      <c r="AC3" s="200" t="s">
        <v>126</v>
      </c>
      <c r="AD3" s="366"/>
      <c r="AE3" s="367"/>
      <c r="AF3" s="367"/>
      <c r="AG3" s="367"/>
      <c r="AH3" s="368"/>
      <c r="AI3" s="162"/>
      <c r="AJ3" s="204" t="s">
        <v>128</v>
      </c>
      <c r="AK3" s="366"/>
      <c r="AL3" s="367"/>
      <c r="AM3" s="367"/>
      <c r="AN3" s="367"/>
      <c r="AO3" s="368"/>
    </row>
    <row r="4" spans="1:41" s="58" customFormat="1">
      <c r="A4" s="182"/>
      <c r="B4" s="187" t="s">
        <v>115</v>
      </c>
      <c r="C4" s="309" t="s">
        <v>98</v>
      </c>
      <c r="D4" s="365"/>
      <c r="E4" s="200"/>
      <c r="F4" s="184" t="s">
        <v>83</v>
      </c>
      <c r="G4" s="185" t="s">
        <v>84</v>
      </c>
      <c r="H4" s="185" t="s">
        <v>85</v>
      </c>
      <c r="I4" s="185" t="s">
        <v>86</v>
      </c>
      <c r="J4" s="186" t="s">
        <v>87</v>
      </c>
      <c r="K4" s="184" t="s">
        <v>83</v>
      </c>
      <c r="L4" s="185" t="s">
        <v>84</v>
      </c>
      <c r="M4" s="185" t="s">
        <v>85</v>
      </c>
      <c r="N4" s="185" t="s">
        <v>86</v>
      </c>
      <c r="O4" s="186" t="s">
        <v>87</v>
      </c>
      <c r="P4" s="161"/>
      <c r="Q4" s="161"/>
      <c r="R4" s="184" t="s">
        <v>83</v>
      </c>
      <c r="S4" s="185" t="s">
        <v>84</v>
      </c>
      <c r="T4" s="185" t="s">
        <v>85</v>
      </c>
      <c r="U4" s="185" t="s">
        <v>86</v>
      </c>
      <c r="V4" s="186" t="s">
        <v>87</v>
      </c>
      <c r="W4" s="184" t="s">
        <v>83</v>
      </c>
      <c r="X4" s="185" t="s">
        <v>84</v>
      </c>
      <c r="Y4" s="185" t="s">
        <v>85</v>
      </c>
      <c r="Z4" s="185" t="s">
        <v>86</v>
      </c>
      <c r="AA4" s="186" t="s">
        <v>87</v>
      </c>
      <c r="AB4" s="162"/>
      <c r="AC4" s="161"/>
      <c r="AD4" s="184" t="s">
        <v>83</v>
      </c>
      <c r="AE4" s="185" t="s">
        <v>84</v>
      </c>
      <c r="AF4" s="185" t="s">
        <v>85</v>
      </c>
      <c r="AG4" s="185" t="s">
        <v>86</v>
      </c>
      <c r="AH4" s="186" t="s">
        <v>87</v>
      </c>
      <c r="AI4" s="162"/>
      <c r="AJ4" s="161"/>
      <c r="AK4" s="184" t="s">
        <v>83</v>
      </c>
      <c r="AL4" s="185" t="s">
        <v>84</v>
      </c>
      <c r="AM4" s="185" t="s">
        <v>85</v>
      </c>
      <c r="AN4" s="185" t="s">
        <v>86</v>
      </c>
      <c r="AO4" s="186" t="s">
        <v>87</v>
      </c>
    </row>
    <row r="5" spans="1:41" s="58" customFormat="1">
      <c r="A5" s="144"/>
      <c r="C5" s="144" t="s">
        <v>117</v>
      </c>
      <c r="D5" s="145" t="s">
        <v>0</v>
      </c>
      <c r="E5" s="162"/>
      <c r="F5" s="146">
        <v>6</v>
      </c>
      <c r="G5" s="147">
        <v>5</v>
      </c>
      <c r="H5" s="147">
        <v>5</v>
      </c>
      <c r="I5" s="147">
        <v>3</v>
      </c>
      <c r="J5" s="148">
        <v>3</v>
      </c>
      <c r="K5" s="146">
        <v>5</v>
      </c>
      <c r="L5" s="147">
        <v>5</v>
      </c>
      <c r="M5" s="147">
        <v>5</v>
      </c>
      <c r="N5" s="147">
        <v>5</v>
      </c>
      <c r="O5" s="148">
        <v>5</v>
      </c>
      <c r="P5" s="161"/>
      <c r="Q5" s="161"/>
      <c r="R5" s="146"/>
      <c r="S5" s="147"/>
      <c r="T5" s="147"/>
      <c r="U5" s="147"/>
      <c r="V5" s="148"/>
      <c r="W5" s="146"/>
      <c r="X5" s="147"/>
      <c r="Y5" s="147"/>
      <c r="Z5" s="147"/>
      <c r="AA5" s="148"/>
      <c r="AB5" s="162"/>
      <c r="AC5" s="162"/>
      <c r="AD5" s="144"/>
      <c r="AH5" s="145"/>
      <c r="AI5" s="162"/>
      <c r="AJ5" s="162"/>
      <c r="AK5" s="144"/>
      <c r="AO5" s="145"/>
    </row>
    <row r="6" spans="1:41" s="58" customFormat="1">
      <c r="A6" s="144"/>
      <c r="C6" s="144" t="s">
        <v>118</v>
      </c>
      <c r="D6" s="145" t="s">
        <v>125</v>
      </c>
      <c r="E6" s="162"/>
      <c r="F6" s="146">
        <v>3</v>
      </c>
      <c r="G6" s="147">
        <v>3</v>
      </c>
      <c r="H6" s="147">
        <v>3</v>
      </c>
      <c r="I6" s="147">
        <v>3</v>
      </c>
      <c r="J6" s="148">
        <v>3</v>
      </c>
      <c r="K6" s="146">
        <v>6</v>
      </c>
      <c r="L6" s="147">
        <v>6</v>
      </c>
      <c r="M6" s="147">
        <v>6</v>
      </c>
      <c r="N6" s="147">
        <v>6</v>
      </c>
      <c r="O6" s="148">
        <v>6</v>
      </c>
      <c r="P6" s="161"/>
      <c r="Q6" s="161"/>
      <c r="R6" s="146"/>
      <c r="S6" s="147"/>
      <c r="T6" s="147"/>
      <c r="U6" s="147"/>
      <c r="V6" s="148"/>
      <c r="W6" s="146"/>
      <c r="X6" s="147"/>
      <c r="Y6" s="147"/>
      <c r="Z6" s="147"/>
      <c r="AA6" s="148"/>
      <c r="AB6" s="162"/>
      <c r="AC6" s="162"/>
      <c r="AD6" s="144"/>
      <c r="AH6" s="145"/>
      <c r="AI6" s="162"/>
      <c r="AJ6" s="162"/>
      <c r="AK6" s="144"/>
      <c r="AO6" s="145"/>
    </row>
    <row r="7" spans="1:41" s="58" customFormat="1">
      <c r="A7" s="144"/>
      <c r="C7" s="144" t="s">
        <v>123</v>
      </c>
      <c r="D7" s="145" t="s">
        <v>124</v>
      </c>
      <c r="E7" s="162"/>
      <c r="F7" s="146">
        <v>100</v>
      </c>
      <c r="G7" s="147">
        <v>120</v>
      </c>
      <c r="H7" s="147">
        <v>140</v>
      </c>
      <c r="I7" s="147">
        <v>160</v>
      </c>
      <c r="J7" s="148">
        <v>200</v>
      </c>
      <c r="K7" s="146">
        <v>20</v>
      </c>
      <c r="L7" s="147">
        <v>22</v>
      </c>
      <c r="M7" s="147">
        <v>24</v>
      </c>
      <c r="N7" s="147">
        <v>26</v>
      </c>
      <c r="O7" s="148">
        <v>30</v>
      </c>
      <c r="P7" s="161"/>
      <c r="Q7" s="161"/>
      <c r="R7" s="146"/>
      <c r="S7" s="147"/>
      <c r="T7" s="147"/>
      <c r="U7" s="147"/>
      <c r="V7" s="148"/>
      <c r="W7" s="146"/>
      <c r="X7" s="147"/>
      <c r="Y7" s="147"/>
      <c r="Z7" s="147"/>
      <c r="AA7" s="148"/>
      <c r="AB7" s="162"/>
      <c r="AC7" s="162"/>
      <c r="AD7" s="144"/>
      <c r="AH7" s="145"/>
      <c r="AI7" s="162"/>
      <c r="AJ7" s="162"/>
      <c r="AK7" s="144"/>
      <c r="AO7" s="145"/>
    </row>
    <row r="8" spans="1:41" s="58" customFormat="1">
      <c r="A8" s="144"/>
      <c r="C8" s="144" t="s">
        <v>135</v>
      </c>
      <c r="D8" s="145" t="s">
        <v>161</v>
      </c>
      <c r="E8" s="162"/>
      <c r="F8" s="146">
        <v>1</v>
      </c>
      <c r="G8" s="147">
        <v>1.03</v>
      </c>
      <c r="H8" s="147">
        <v>1.04</v>
      </c>
      <c r="I8" s="147">
        <v>1.04</v>
      </c>
      <c r="J8" s="148">
        <v>1.04</v>
      </c>
      <c r="K8" s="146">
        <v>1</v>
      </c>
      <c r="L8" s="147">
        <v>1.03</v>
      </c>
      <c r="M8" s="147">
        <v>1.04</v>
      </c>
      <c r="N8" s="147">
        <v>1.04</v>
      </c>
      <c r="O8" s="148">
        <v>1.04</v>
      </c>
      <c r="P8" s="161"/>
      <c r="Q8" s="161"/>
      <c r="R8" s="146"/>
      <c r="S8" s="147"/>
      <c r="T8" s="147"/>
      <c r="U8" s="147"/>
      <c r="V8" s="148"/>
      <c r="W8" s="146"/>
      <c r="X8" s="147"/>
      <c r="Y8" s="147"/>
      <c r="Z8" s="147"/>
      <c r="AA8" s="148"/>
      <c r="AB8" s="162"/>
      <c r="AC8" s="162"/>
      <c r="AD8" s="144"/>
      <c r="AH8" s="145"/>
      <c r="AI8" s="162"/>
      <c r="AJ8" s="162"/>
      <c r="AK8" s="144"/>
      <c r="AO8" s="145"/>
    </row>
    <row r="9" spans="1:41" s="58" customFormat="1">
      <c r="A9" s="144"/>
      <c r="C9" s="144" t="s">
        <v>188</v>
      </c>
      <c r="D9" s="145" t="s">
        <v>161</v>
      </c>
      <c r="E9" s="162"/>
      <c r="F9" s="146">
        <v>1</v>
      </c>
      <c r="G9" s="147">
        <v>1.05</v>
      </c>
      <c r="H9" s="147">
        <v>1.06</v>
      </c>
      <c r="I9" s="147">
        <v>1.07</v>
      </c>
      <c r="J9" s="148">
        <v>1.0900000000000001</v>
      </c>
      <c r="K9" s="146">
        <v>1</v>
      </c>
      <c r="L9" s="147">
        <v>1.05</v>
      </c>
      <c r="M9" s="147">
        <v>1.06</v>
      </c>
      <c r="N9" s="147">
        <v>1.07</v>
      </c>
      <c r="O9" s="148">
        <v>1.0900000000000001</v>
      </c>
      <c r="P9" s="161"/>
      <c r="Q9" s="161"/>
      <c r="R9" s="146"/>
      <c r="S9" s="147"/>
      <c r="T9" s="147"/>
      <c r="U9" s="147"/>
      <c r="V9" s="148"/>
      <c r="W9" s="146"/>
      <c r="X9" s="147"/>
      <c r="Y9" s="147"/>
      <c r="Z9" s="147"/>
      <c r="AA9" s="148"/>
      <c r="AB9" s="162"/>
      <c r="AC9" s="162"/>
      <c r="AD9" s="144"/>
      <c r="AH9" s="145"/>
      <c r="AI9" s="162"/>
      <c r="AJ9" s="162"/>
      <c r="AK9" s="144"/>
      <c r="AO9" s="145"/>
    </row>
    <row r="10" spans="1:41">
      <c r="A10" s="61"/>
      <c r="C10" s="61"/>
      <c r="D10" s="62"/>
      <c r="E10" s="162"/>
      <c r="F10" s="63"/>
      <c r="G10" s="65"/>
      <c r="H10" s="65"/>
      <c r="I10" s="65"/>
      <c r="J10" s="64"/>
      <c r="K10" s="63"/>
      <c r="L10" s="65"/>
      <c r="M10" s="65"/>
      <c r="N10" s="65"/>
      <c r="O10" s="64"/>
      <c r="P10" s="161"/>
      <c r="Q10" s="161"/>
      <c r="R10" s="63"/>
      <c r="S10" s="65"/>
      <c r="T10" s="65"/>
      <c r="U10" s="65"/>
      <c r="V10" s="64"/>
      <c r="W10" s="63"/>
      <c r="X10" s="65"/>
      <c r="AA10" s="62"/>
      <c r="AB10" s="162"/>
      <c r="AC10" s="162"/>
      <c r="AD10" s="61"/>
      <c r="AH10" s="62"/>
      <c r="AI10" s="162"/>
      <c r="AJ10" s="162"/>
      <c r="AK10" s="61"/>
      <c r="AO10" s="62"/>
    </row>
    <row r="11" spans="1:41" s="72" customFormat="1">
      <c r="A11" s="67" t="s">
        <v>88</v>
      </c>
      <c r="B11" s="72" t="s">
        <v>93</v>
      </c>
      <c r="C11" s="67" t="s">
        <v>130</v>
      </c>
      <c r="D11" s="68" t="s">
        <v>0</v>
      </c>
      <c r="E11" s="162"/>
      <c r="F11" s="69">
        <v>1.25</v>
      </c>
      <c r="G11" s="70">
        <v>1.4</v>
      </c>
      <c r="H11" s="70"/>
      <c r="I11" s="70"/>
      <c r="J11" s="71"/>
      <c r="K11" s="69"/>
      <c r="L11" s="70"/>
      <c r="M11" s="70"/>
      <c r="N11" s="70"/>
      <c r="O11" s="71"/>
      <c r="P11" s="161"/>
      <c r="Q11" s="161"/>
      <c r="R11" s="69" t="s">
        <v>103</v>
      </c>
      <c r="S11" s="70"/>
      <c r="T11" s="70"/>
      <c r="U11" s="70"/>
      <c r="V11" s="71"/>
      <c r="W11" s="69">
        <v>0.2</v>
      </c>
      <c r="X11" s="70"/>
      <c r="AA11" s="68"/>
      <c r="AB11" s="162"/>
      <c r="AC11" s="162"/>
      <c r="AD11" s="67"/>
      <c r="AH11" s="68"/>
      <c r="AI11" s="162"/>
      <c r="AJ11" s="162"/>
      <c r="AK11" s="67"/>
      <c r="AO11" s="68"/>
    </row>
    <row r="12" spans="1:41" s="72" customFormat="1">
      <c r="A12" s="67"/>
      <c r="C12" s="67" t="s">
        <v>134</v>
      </c>
      <c r="D12" s="188">
        <v>350000</v>
      </c>
      <c r="E12" s="162"/>
      <c r="F12" s="73">
        <f>F11*$D$12</f>
        <v>437500</v>
      </c>
      <c r="G12" s="74">
        <f>G11*$D$12*G8</f>
        <v>504699.99999999994</v>
      </c>
      <c r="H12" s="70"/>
      <c r="I12" s="70"/>
      <c r="J12" s="71"/>
      <c r="K12" s="69"/>
      <c r="L12" s="70"/>
      <c r="M12" s="70"/>
      <c r="N12" s="70"/>
      <c r="O12" s="71"/>
      <c r="P12" s="161"/>
      <c r="Q12" s="161"/>
      <c r="R12" s="69"/>
      <c r="S12" s="70"/>
      <c r="T12" s="70"/>
      <c r="U12" s="70"/>
      <c r="V12" s="71"/>
      <c r="W12" s="73">
        <f>W11*D12</f>
        <v>70000</v>
      </c>
      <c r="X12" s="70"/>
      <c r="AA12" s="68"/>
      <c r="AB12" s="162"/>
      <c r="AC12" s="162"/>
      <c r="AD12" s="67"/>
      <c r="AH12" s="68"/>
      <c r="AI12" s="162"/>
      <c r="AJ12" s="162"/>
      <c r="AK12" s="67"/>
      <c r="AO12" s="68"/>
    </row>
    <row r="13" spans="1:41" s="72" customFormat="1">
      <c r="A13" s="67"/>
      <c r="B13" s="72" t="s">
        <v>95</v>
      </c>
      <c r="C13" s="67" t="s">
        <v>116</v>
      </c>
      <c r="D13" s="68" t="s">
        <v>0</v>
      </c>
      <c r="E13" s="162"/>
      <c r="F13" s="69">
        <v>1</v>
      </c>
      <c r="G13" s="70">
        <v>1.2</v>
      </c>
      <c r="H13" s="70"/>
      <c r="I13" s="70"/>
      <c r="J13" s="71"/>
      <c r="K13" s="69"/>
      <c r="L13" s="70"/>
      <c r="M13" s="70"/>
      <c r="N13" s="70"/>
      <c r="O13" s="71"/>
      <c r="P13" s="161"/>
      <c r="Q13" s="161"/>
      <c r="R13" s="69">
        <v>0.75</v>
      </c>
      <c r="S13" s="70"/>
      <c r="T13" s="70"/>
      <c r="U13" s="70"/>
      <c r="V13" s="71"/>
      <c r="W13" s="69" t="s">
        <v>103</v>
      </c>
      <c r="X13" s="70"/>
      <c r="AA13" s="68"/>
      <c r="AB13" s="162"/>
      <c r="AC13" s="162"/>
      <c r="AD13" s="67"/>
      <c r="AH13" s="68"/>
      <c r="AI13" s="162"/>
      <c r="AJ13" s="162"/>
      <c r="AK13" s="67"/>
      <c r="AO13" s="68"/>
    </row>
    <row r="14" spans="1:41" s="72" customFormat="1">
      <c r="A14" s="67"/>
      <c r="C14" s="67" t="s">
        <v>131</v>
      </c>
      <c r="D14" s="188">
        <v>335000</v>
      </c>
      <c r="E14" s="162"/>
      <c r="F14" s="73">
        <f>F13*$D$14</f>
        <v>335000</v>
      </c>
      <c r="G14" s="74">
        <f>G13*D14*G8</f>
        <v>414060</v>
      </c>
      <c r="H14" s="70"/>
      <c r="I14" s="70"/>
      <c r="J14" s="71"/>
      <c r="K14" s="69"/>
      <c r="L14" s="70"/>
      <c r="M14" s="70"/>
      <c r="N14" s="70"/>
      <c r="O14" s="71"/>
      <c r="P14" s="161"/>
      <c r="Q14" s="161"/>
      <c r="R14" s="73">
        <f>R13*D14</f>
        <v>251250</v>
      </c>
      <c r="S14" s="70"/>
      <c r="T14" s="70"/>
      <c r="U14" s="70"/>
      <c r="V14" s="71"/>
      <c r="W14" s="69"/>
      <c r="X14" s="70"/>
      <c r="AA14" s="68"/>
      <c r="AB14" s="162"/>
      <c r="AC14" s="162"/>
      <c r="AD14" s="67"/>
      <c r="AH14" s="68"/>
      <c r="AI14" s="162"/>
      <c r="AJ14" s="162"/>
      <c r="AK14" s="67"/>
      <c r="AO14" s="68"/>
    </row>
    <row r="15" spans="1:41" s="72" customFormat="1">
      <c r="A15" s="67"/>
      <c r="B15" s="72" t="s">
        <v>99</v>
      </c>
      <c r="C15" s="67"/>
      <c r="D15" s="68"/>
      <c r="E15" s="162"/>
      <c r="F15" s="69"/>
      <c r="G15" s="70"/>
      <c r="H15" s="70"/>
      <c r="I15" s="70"/>
      <c r="J15" s="71"/>
      <c r="K15" s="69"/>
      <c r="L15" s="70"/>
      <c r="M15" s="70"/>
      <c r="N15" s="70"/>
      <c r="O15" s="71"/>
      <c r="P15" s="161"/>
      <c r="Q15" s="161"/>
      <c r="R15" s="69"/>
      <c r="S15" s="70"/>
      <c r="T15" s="70"/>
      <c r="U15" s="70"/>
      <c r="V15" s="71"/>
      <c r="W15" s="69"/>
      <c r="X15" s="70"/>
      <c r="AA15" s="68"/>
      <c r="AB15" s="162"/>
      <c r="AC15" s="162"/>
      <c r="AD15" s="67"/>
      <c r="AH15" s="68"/>
      <c r="AI15" s="162"/>
      <c r="AJ15" s="162"/>
      <c r="AK15" s="67"/>
      <c r="AO15" s="68"/>
    </row>
    <row r="16" spans="1:41" s="72" customFormat="1">
      <c r="A16" s="82" t="s">
        <v>136</v>
      </c>
      <c r="B16" s="83"/>
      <c r="C16" s="82"/>
      <c r="D16" s="87"/>
      <c r="E16" s="164"/>
      <c r="F16" s="120">
        <f>F14+F12</f>
        <v>772500</v>
      </c>
      <c r="G16" s="120">
        <f>G14+G12</f>
        <v>918760</v>
      </c>
      <c r="H16" s="85"/>
      <c r="I16" s="85"/>
      <c r="J16" s="86"/>
      <c r="K16" s="155"/>
      <c r="L16" s="85"/>
      <c r="M16" s="85"/>
      <c r="N16" s="85"/>
      <c r="O16" s="86"/>
      <c r="P16" s="163"/>
      <c r="Q16" s="163"/>
      <c r="R16" s="155"/>
      <c r="S16" s="85"/>
      <c r="T16" s="85"/>
      <c r="U16" s="85"/>
      <c r="V16" s="86"/>
      <c r="W16" s="165"/>
      <c r="X16" s="85"/>
      <c r="Y16" s="83"/>
      <c r="Z16" s="83"/>
      <c r="AA16" s="87"/>
      <c r="AB16" s="162"/>
      <c r="AC16" s="162"/>
      <c r="AD16" s="67"/>
      <c r="AH16" s="68"/>
      <c r="AI16" s="162"/>
      <c r="AJ16" s="162"/>
      <c r="AK16" s="67"/>
      <c r="AO16" s="68"/>
    </row>
    <row r="17" spans="1:41">
      <c r="C17" s="61"/>
      <c r="D17" s="62"/>
      <c r="E17" s="162"/>
      <c r="F17" s="61"/>
      <c r="J17" s="62"/>
      <c r="K17" s="61"/>
      <c r="O17" s="62"/>
      <c r="P17" s="162"/>
      <c r="Q17" s="162"/>
      <c r="R17" s="61"/>
      <c r="V17" s="62"/>
      <c r="W17" s="61"/>
      <c r="AA17" s="62"/>
      <c r="AB17" s="162"/>
      <c r="AC17" s="162"/>
      <c r="AD17" s="61"/>
      <c r="AH17" s="62"/>
      <c r="AI17" s="162"/>
      <c r="AJ17" s="162"/>
      <c r="AK17" s="61"/>
      <c r="AO17" s="62"/>
    </row>
    <row r="18" spans="1:41" s="88" customFormat="1">
      <c r="A18" s="88" t="s">
        <v>108</v>
      </c>
      <c r="C18" s="121"/>
      <c r="D18" s="122"/>
      <c r="E18" s="162"/>
      <c r="F18" s="121"/>
      <c r="J18" s="122"/>
      <c r="K18" s="121"/>
      <c r="O18" s="122"/>
      <c r="P18" s="162"/>
      <c r="Q18" s="162"/>
      <c r="R18" s="121"/>
      <c r="V18" s="122"/>
      <c r="W18" s="121"/>
      <c r="AA18" s="122"/>
      <c r="AB18" s="162"/>
      <c r="AC18" s="162"/>
      <c r="AD18" s="121"/>
      <c r="AH18" s="122"/>
      <c r="AI18" s="162"/>
      <c r="AJ18" s="162"/>
      <c r="AK18" s="121"/>
      <c r="AO18" s="122"/>
    </row>
    <row r="19" spans="1:41" s="88" customFormat="1">
      <c r="B19" s="88" t="s">
        <v>112</v>
      </c>
      <c r="C19" s="121" t="s">
        <v>111</v>
      </c>
      <c r="D19" s="124" t="s">
        <v>110</v>
      </c>
      <c r="E19" s="162"/>
      <c r="F19" s="121"/>
      <c r="J19" s="122"/>
      <c r="K19" s="121"/>
      <c r="O19" s="122"/>
      <c r="P19" s="162"/>
      <c r="Q19" s="162"/>
      <c r="R19" s="121"/>
      <c r="V19" s="122"/>
      <c r="W19" s="121"/>
      <c r="AA19" s="122"/>
      <c r="AB19" s="162"/>
      <c r="AC19" s="162"/>
      <c r="AD19" s="121"/>
      <c r="AH19" s="122"/>
      <c r="AI19" s="162"/>
      <c r="AJ19" s="162"/>
      <c r="AK19" s="121"/>
      <c r="AO19" s="122"/>
    </row>
    <row r="20" spans="1:41" s="88" customFormat="1">
      <c r="C20" s="121"/>
      <c r="D20" s="122"/>
      <c r="E20" s="162"/>
      <c r="F20" s="121"/>
      <c r="J20" s="122"/>
      <c r="K20" s="121"/>
      <c r="O20" s="122"/>
      <c r="P20" s="162"/>
      <c r="Q20" s="162"/>
      <c r="R20" s="121"/>
      <c r="V20" s="122"/>
      <c r="W20" s="121"/>
      <c r="AA20" s="122"/>
      <c r="AB20" s="162"/>
      <c r="AC20" s="162"/>
      <c r="AD20" s="121"/>
      <c r="AH20" s="122"/>
      <c r="AI20" s="162"/>
      <c r="AJ20" s="162"/>
      <c r="AK20" s="121"/>
      <c r="AO20" s="122"/>
    </row>
    <row r="21" spans="1:41" s="88" customFormat="1">
      <c r="A21" s="88" t="s">
        <v>109</v>
      </c>
      <c r="C21" s="121"/>
      <c r="D21" s="122"/>
      <c r="E21" s="162"/>
      <c r="F21" s="121"/>
      <c r="J21" s="122"/>
      <c r="K21" s="121"/>
      <c r="O21" s="122"/>
      <c r="P21" s="162"/>
      <c r="Q21" s="162"/>
      <c r="R21" s="121"/>
      <c r="V21" s="122"/>
      <c r="W21" s="121"/>
      <c r="AA21" s="122"/>
      <c r="AB21" s="162"/>
      <c r="AC21" s="162"/>
      <c r="AD21" s="121"/>
      <c r="AH21" s="122"/>
      <c r="AI21" s="162"/>
      <c r="AJ21" s="162"/>
      <c r="AK21" s="121"/>
      <c r="AO21" s="122"/>
    </row>
    <row r="22" spans="1:41" s="88" customFormat="1">
      <c r="C22" s="121"/>
      <c r="D22" s="122"/>
      <c r="E22" s="162"/>
      <c r="F22" s="121"/>
      <c r="J22" s="122"/>
      <c r="K22" s="121"/>
      <c r="O22" s="122"/>
      <c r="P22" s="162"/>
      <c r="Q22" s="162"/>
      <c r="R22" s="121"/>
      <c r="V22" s="122"/>
      <c r="W22" s="121"/>
      <c r="AA22" s="122"/>
      <c r="AB22" s="162"/>
      <c r="AC22" s="162"/>
      <c r="AD22" s="121"/>
      <c r="AH22" s="122"/>
      <c r="AI22" s="162"/>
      <c r="AJ22" s="162"/>
      <c r="AK22" s="121"/>
      <c r="AO22" s="122"/>
    </row>
    <row r="23" spans="1:41" s="88" customFormat="1">
      <c r="C23" s="121"/>
      <c r="D23" s="122"/>
      <c r="E23" s="162"/>
      <c r="F23" s="121"/>
      <c r="J23" s="122"/>
      <c r="K23" s="121"/>
      <c r="O23" s="122"/>
      <c r="P23" s="162"/>
      <c r="Q23" s="162"/>
      <c r="R23" s="121"/>
      <c r="V23" s="122"/>
      <c r="W23" s="121"/>
      <c r="AA23" s="122"/>
      <c r="AB23" s="162"/>
      <c r="AC23" s="162"/>
      <c r="AD23" s="121"/>
      <c r="AH23" s="122"/>
      <c r="AI23" s="162"/>
      <c r="AJ23" s="162"/>
      <c r="AK23" s="121"/>
      <c r="AO23" s="122"/>
    </row>
    <row r="24" spans="1:41" s="88" customFormat="1">
      <c r="A24" s="88" t="s">
        <v>137</v>
      </c>
      <c r="C24" s="121"/>
      <c r="D24" s="122"/>
      <c r="E24" s="162"/>
      <c r="F24" s="121"/>
      <c r="J24" s="122"/>
      <c r="K24" s="121"/>
      <c r="O24" s="122"/>
      <c r="P24" s="162"/>
      <c r="Q24" s="162"/>
      <c r="R24" s="121"/>
      <c r="V24" s="122"/>
      <c r="W24" s="121"/>
      <c r="AA24" s="122"/>
      <c r="AB24" s="162"/>
      <c r="AC24" s="162"/>
      <c r="AD24" s="121"/>
      <c r="AH24" s="122"/>
      <c r="AI24" s="162"/>
      <c r="AJ24" s="162"/>
      <c r="AK24" s="121"/>
      <c r="AO24" s="122"/>
    </row>
    <row r="25" spans="1:41" s="88" customFormat="1">
      <c r="C25" s="121"/>
      <c r="D25" s="122"/>
      <c r="E25" s="162"/>
      <c r="F25" s="121"/>
      <c r="J25" s="122"/>
      <c r="K25" s="121"/>
      <c r="O25" s="122"/>
      <c r="P25" s="162"/>
      <c r="Q25" s="162"/>
      <c r="R25" s="121"/>
      <c r="V25" s="122"/>
      <c r="W25" s="121"/>
      <c r="AA25" s="122"/>
      <c r="AB25" s="162"/>
      <c r="AC25" s="162"/>
      <c r="AD25" s="121"/>
      <c r="AH25" s="122"/>
      <c r="AI25" s="162"/>
      <c r="AJ25" s="162"/>
      <c r="AK25" s="121"/>
      <c r="AO25" s="122"/>
    </row>
    <row r="26" spans="1:41" s="88" customFormat="1">
      <c r="C26" s="121"/>
      <c r="D26" s="122"/>
      <c r="E26" s="162"/>
      <c r="F26" s="121"/>
      <c r="J26" s="122"/>
      <c r="K26" s="121"/>
      <c r="O26" s="122"/>
      <c r="P26" s="162"/>
      <c r="Q26" s="162"/>
      <c r="R26" s="121"/>
      <c r="V26" s="122"/>
      <c r="W26" s="121"/>
      <c r="AA26" s="122"/>
      <c r="AB26" s="162"/>
      <c r="AC26" s="162"/>
      <c r="AD26" s="121"/>
      <c r="AH26" s="122"/>
      <c r="AI26" s="162"/>
      <c r="AJ26" s="162"/>
      <c r="AK26" s="121"/>
      <c r="AO26" s="122"/>
    </row>
    <row r="27" spans="1:41" s="88" customFormat="1">
      <c r="A27" s="88" t="s">
        <v>138</v>
      </c>
      <c r="C27" s="121"/>
      <c r="D27" s="122"/>
      <c r="E27" s="162"/>
      <c r="F27" s="121"/>
      <c r="J27" s="122"/>
      <c r="K27" s="121"/>
      <c r="O27" s="122"/>
      <c r="P27" s="162"/>
      <c r="Q27" s="162"/>
      <c r="R27" s="121"/>
      <c r="V27" s="122"/>
      <c r="W27" s="121"/>
      <c r="AA27" s="122"/>
      <c r="AB27" s="162"/>
      <c r="AC27" s="162"/>
      <c r="AD27" s="121"/>
      <c r="AH27" s="122"/>
      <c r="AI27" s="162"/>
      <c r="AJ27" s="162"/>
      <c r="AK27" s="121"/>
      <c r="AO27" s="122"/>
    </row>
    <row r="28" spans="1:41" s="88" customFormat="1">
      <c r="C28" s="121"/>
      <c r="D28" s="122"/>
      <c r="E28" s="162"/>
      <c r="F28" s="121"/>
      <c r="J28" s="122"/>
      <c r="K28" s="121"/>
      <c r="O28" s="122"/>
      <c r="P28" s="162"/>
      <c r="Q28" s="162"/>
      <c r="R28" s="121"/>
      <c r="V28" s="122"/>
      <c r="W28" s="121"/>
      <c r="AA28" s="122"/>
      <c r="AB28" s="162"/>
      <c r="AC28" s="162"/>
      <c r="AD28" s="121"/>
      <c r="AH28" s="122"/>
      <c r="AI28" s="162"/>
      <c r="AJ28" s="162"/>
      <c r="AK28" s="121"/>
      <c r="AO28" s="122"/>
    </row>
    <row r="29" spans="1:41" s="88" customFormat="1">
      <c r="C29" s="121"/>
      <c r="D29" s="122"/>
      <c r="E29" s="162"/>
      <c r="F29" s="121"/>
      <c r="J29" s="122"/>
      <c r="K29" s="121"/>
      <c r="O29" s="122"/>
      <c r="P29" s="162"/>
      <c r="Q29" s="162"/>
      <c r="R29" s="121"/>
      <c r="V29" s="122"/>
      <c r="W29" s="121"/>
      <c r="AA29" s="122"/>
      <c r="AB29" s="162"/>
      <c r="AC29" s="162"/>
      <c r="AD29" s="121"/>
      <c r="AH29" s="122"/>
      <c r="AI29" s="162"/>
      <c r="AJ29" s="162"/>
      <c r="AK29" s="121"/>
      <c r="AO29" s="122"/>
    </row>
    <row r="30" spans="1:41" s="88" customFormat="1">
      <c r="A30" s="88" t="s">
        <v>139</v>
      </c>
      <c r="C30" s="121"/>
      <c r="D30" s="122"/>
      <c r="E30" s="162"/>
      <c r="F30" s="121"/>
      <c r="J30" s="122"/>
      <c r="K30" s="121"/>
      <c r="O30" s="122"/>
      <c r="P30" s="162"/>
      <c r="Q30" s="162"/>
      <c r="R30" s="121"/>
      <c r="V30" s="122"/>
      <c r="W30" s="121"/>
      <c r="AA30" s="122"/>
      <c r="AB30" s="162"/>
      <c r="AC30" s="162"/>
      <c r="AD30" s="121"/>
      <c r="AH30" s="122"/>
      <c r="AI30" s="162"/>
      <c r="AJ30" s="162"/>
      <c r="AK30" s="121"/>
      <c r="AO30" s="122"/>
    </row>
    <row r="31" spans="1:41" s="88" customFormat="1">
      <c r="C31" s="121"/>
      <c r="D31" s="122"/>
      <c r="E31" s="162"/>
      <c r="F31" s="123"/>
      <c r="G31" s="89"/>
      <c r="H31" s="89"/>
      <c r="I31" s="89"/>
      <c r="J31" s="124"/>
      <c r="K31" s="123"/>
      <c r="L31" s="89"/>
      <c r="M31" s="89"/>
      <c r="N31" s="89"/>
      <c r="O31" s="124"/>
      <c r="P31" s="161"/>
      <c r="Q31" s="161"/>
      <c r="R31" s="123"/>
      <c r="S31" s="89"/>
      <c r="T31" s="89"/>
      <c r="U31" s="89"/>
      <c r="V31" s="124"/>
      <c r="W31" s="123"/>
      <c r="X31" s="89"/>
      <c r="AA31" s="122"/>
      <c r="AB31" s="162"/>
      <c r="AC31" s="162"/>
      <c r="AD31" s="121"/>
      <c r="AH31" s="122"/>
      <c r="AI31" s="162"/>
      <c r="AJ31" s="162"/>
      <c r="AK31" s="121"/>
      <c r="AO31" s="122"/>
    </row>
    <row r="32" spans="1:41" s="88" customFormat="1">
      <c r="C32" s="121"/>
      <c r="D32" s="122"/>
      <c r="E32" s="162"/>
      <c r="F32" s="121"/>
      <c r="J32" s="122"/>
      <c r="K32" s="121"/>
      <c r="O32" s="122"/>
      <c r="P32" s="162"/>
      <c r="Q32" s="162"/>
      <c r="R32" s="121"/>
      <c r="V32" s="122"/>
      <c r="W32" s="121"/>
      <c r="AA32" s="122"/>
      <c r="AB32" s="162"/>
      <c r="AC32" s="162"/>
      <c r="AD32" s="121"/>
      <c r="AH32" s="122"/>
      <c r="AI32" s="162"/>
      <c r="AJ32" s="162"/>
      <c r="AK32" s="121"/>
      <c r="AO32" s="122"/>
    </row>
    <row r="33" spans="1:41" s="88" customFormat="1">
      <c r="A33" s="90" t="s">
        <v>136</v>
      </c>
      <c r="B33" s="91"/>
      <c r="C33" s="90"/>
      <c r="D33" s="95"/>
      <c r="E33" s="164"/>
      <c r="F33" s="125"/>
      <c r="G33" s="92"/>
      <c r="H33" s="93"/>
      <c r="I33" s="93"/>
      <c r="J33" s="94"/>
      <c r="K33" s="156"/>
      <c r="L33" s="93"/>
      <c r="M33" s="93"/>
      <c r="N33" s="93"/>
      <c r="O33" s="94"/>
      <c r="P33" s="163"/>
      <c r="Q33" s="163"/>
      <c r="R33" s="156">
        <f>SUM(R23:R32)</f>
        <v>0</v>
      </c>
      <c r="S33" s="93"/>
      <c r="T33" s="93"/>
      <c r="U33" s="93"/>
      <c r="V33" s="94"/>
      <c r="W33" s="166">
        <f>SUM(W23:W32)</f>
        <v>0</v>
      </c>
      <c r="X33" s="93"/>
      <c r="Y33" s="91"/>
      <c r="Z33" s="91"/>
      <c r="AA33" s="95"/>
      <c r="AB33" s="162"/>
      <c r="AC33" s="162"/>
      <c r="AD33" s="121"/>
      <c r="AH33" s="122"/>
      <c r="AI33" s="162"/>
      <c r="AJ33" s="162"/>
      <c r="AK33" s="121"/>
      <c r="AO33" s="122"/>
    </row>
    <row r="34" spans="1:41">
      <c r="C34" s="61"/>
      <c r="D34" s="62"/>
      <c r="E34" s="162"/>
      <c r="F34" s="63"/>
      <c r="G34" s="65"/>
      <c r="H34" s="65"/>
      <c r="I34" s="65"/>
      <c r="J34" s="64"/>
      <c r="K34" s="63"/>
      <c r="L34" s="65"/>
      <c r="M34" s="65"/>
      <c r="N34" s="65"/>
      <c r="O34" s="64"/>
      <c r="P34" s="161"/>
      <c r="Q34" s="161"/>
      <c r="R34" s="63"/>
      <c r="S34" s="65"/>
      <c r="T34" s="65"/>
      <c r="U34" s="65"/>
      <c r="V34" s="64"/>
      <c r="W34" s="63"/>
      <c r="X34" s="65"/>
      <c r="AA34" s="62"/>
      <c r="AB34" s="162"/>
      <c r="AC34" s="162"/>
      <c r="AD34" s="61"/>
      <c r="AH34" s="62"/>
      <c r="AI34" s="162"/>
      <c r="AJ34" s="162"/>
      <c r="AK34" s="61"/>
      <c r="AO34" s="62"/>
    </row>
    <row r="35" spans="1:41" s="96" customFormat="1">
      <c r="A35" s="96" t="s">
        <v>104</v>
      </c>
      <c r="C35" s="97"/>
      <c r="D35" s="167"/>
      <c r="E35" s="162"/>
      <c r="F35" s="126"/>
      <c r="G35" s="105"/>
      <c r="H35" s="105"/>
      <c r="I35" s="105"/>
      <c r="J35" s="127"/>
      <c r="K35" s="126"/>
      <c r="L35" s="105"/>
      <c r="M35" s="105"/>
      <c r="N35" s="105"/>
      <c r="O35" s="127"/>
      <c r="P35" s="161"/>
      <c r="Q35" s="161"/>
      <c r="R35" s="126"/>
      <c r="S35" s="105"/>
      <c r="T35" s="105"/>
      <c r="U35" s="105"/>
      <c r="V35" s="127"/>
      <c r="W35" s="126"/>
      <c r="X35" s="105"/>
      <c r="AA35" s="167"/>
      <c r="AB35" s="162"/>
      <c r="AC35" s="162"/>
      <c r="AD35" s="97"/>
      <c r="AH35" s="167"/>
      <c r="AI35" s="162"/>
      <c r="AJ35" s="162"/>
      <c r="AK35" s="97"/>
      <c r="AO35" s="167"/>
    </row>
    <row r="36" spans="1:41" s="96" customFormat="1">
      <c r="B36" s="96" t="s">
        <v>106</v>
      </c>
      <c r="C36" s="97" t="s">
        <v>130</v>
      </c>
      <c r="D36" s="167" t="s">
        <v>0</v>
      </c>
      <c r="E36" s="162"/>
      <c r="F36" s="126">
        <v>0.02</v>
      </c>
      <c r="G36" s="105">
        <v>0.04</v>
      </c>
      <c r="H36" s="105"/>
      <c r="I36" s="105"/>
      <c r="J36" s="127"/>
      <c r="K36" s="126"/>
      <c r="L36" s="105"/>
      <c r="M36" s="105"/>
      <c r="N36" s="105"/>
      <c r="O36" s="127"/>
      <c r="P36" s="161"/>
      <c r="Q36" s="161"/>
      <c r="R36" s="126"/>
      <c r="S36" s="105"/>
      <c r="T36" s="105"/>
      <c r="U36" s="105"/>
      <c r="V36" s="127"/>
      <c r="W36" s="126"/>
      <c r="X36" s="105"/>
      <c r="AA36" s="167"/>
      <c r="AB36" s="162"/>
      <c r="AC36" s="162"/>
      <c r="AD36" s="97"/>
      <c r="AH36" s="167"/>
      <c r="AI36" s="162"/>
      <c r="AJ36" s="162"/>
      <c r="AK36" s="97"/>
      <c r="AO36" s="167"/>
    </row>
    <row r="37" spans="1:41" s="96" customFormat="1">
      <c r="C37" s="97" t="s">
        <v>134</v>
      </c>
      <c r="D37" s="189">
        <v>350000</v>
      </c>
      <c r="E37" s="162"/>
      <c r="F37" s="128">
        <f>F36*D37</f>
        <v>7000</v>
      </c>
      <c r="G37" s="104">
        <f>G36*D37*G8</f>
        <v>14420</v>
      </c>
      <c r="H37" s="105"/>
      <c r="I37" s="105"/>
      <c r="J37" s="127"/>
      <c r="K37" s="126"/>
      <c r="L37" s="105"/>
      <c r="M37" s="105"/>
      <c r="N37" s="105"/>
      <c r="O37" s="127"/>
      <c r="P37" s="161"/>
      <c r="Q37" s="161"/>
      <c r="R37" s="126"/>
      <c r="S37" s="105"/>
      <c r="T37" s="105"/>
      <c r="U37" s="105"/>
      <c r="V37" s="127"/>
      <c r="W37" s="126"/>
      <c r="X37" s="105"/>
      <c r="AA37" s="167"/>
      <c r="AB37" s="162"/>
      <c r="AC37" s="162"/>
      <c r="AD37" s="97"/>
      <c r="AH37" s="167"/>
      <c r="AI37" s="162"/>
      <c r="AJ37" s="162"/>
      <c r="AK37" s="97"/>
      <c r="AO37" s="167"/>
    </row>
    <row r="38" spans="1:41" s="96" customFormat="1">
      <c r="B38" s="96" t="s">
        <v>107</v>
      </c>
      <c r="C38" s="97" t="s">
        <v>130</v>
      </c>
      <c r="D38" s="167" t="s">
        <v>0</v>
      </c>
      <c r="E38" s="162"/>
      <c r="F38" s="126">
        <v>0.01</v>
      </c>
      <c r="G38" s="105">
        <v>0.02</v>
      </c>
      <c r="H38" s="105"/>
      <c r="I38" s="105"/>
      <c r="J38" s="127"/>
      <c r="K38" s="126"/>
      <c r="L38" s="105"/>
      <c r="M38" s="105"/>
      <c r="N38" s="105"/>
      <c r="O38" s="127"/>
      <c r="P38" s="161"/>
      <c r="Q38" s="161"/>
      <c r="R38" s="126"/>
      <c r="S38" s="105"/>
      <c r="T38" s="105"/>
      <c r="U38" s="105"/>
      <c r="V38" s="127"/>
      <c r="W38" s="126"/>
      <c r="X38" s="105"/>
      <c r="AA38" s="167"/>
      <c r="AB38" s="162"/>
      <c r="AC38" s="162"/>
      <c r="AD38" s="97"/>
      <c r="AH38" s="167"/>
      <c r="AI38" s="162"/>
      <c r="AJ38" s="162"/>
      <c r="AK38" s="97"/>
      <c r="AO38" s="167"/>
    </row>
    <row r="39" spans="1:41" s="96" customFormat="1">
      <c r="C39" s="97" t="s">
        <v>134</v>
      </c>
      <c r="D39" s="189">
        <v>350000</v>
      </c>
      <c r="E39" s="162"/>
      <c r="F39" s="128">
        <f>F38*D39</f>
        <v>3500</v>
      </c>
      <c r="G39" s="104">
        <f>G38*D39*G8</f>
        <v>7210</v>
      </c>
      <c r="H39" s="105"/>
      <c r="I39" s="105"/>
      <c r="J39" s="127"/>
      <c r="K39" s="126"/>
      <c r="L39" s="105"/>
      <c r="M39" s="105"/>
      <c r="N39" s="105"/>
      <c r="O39" s="127"/>
      <c r="P39" s="161"/>
      <c r="Q39" s="161"/>
      <c r="R39" s="126"/>
      <c r="S39" s="105"/>
      <c r="T39" s="105"/>
      <c r="U39" s="105"/>
      <c r="V39" s="127"/>
      <c r="W39" s="126"/>
      <c r="X39" s="105"/>
      <c r="AA39" s="167"/>
      <c r="AB39" s="162"/>
      <c r="AC39" s="162"/>
      <c r="AD39" s="97"/>
      <c r="AH39" s="167"/>
      <c r="AI39" s="162"/>
      <c r="AJ39" s="162"/>
      <c r="AK39" s="97"/>
      <c r="AO39" s="167"/>
    </row>
    <row r="40" spans="1:41" s="96" customFormat="1">
      <c r="C40" s="97"/>
      <c r="D40" s="167"/>
      <c r="E40" s="162"/>
      <c r="F40" s="126"/>
      <c r="G40" s="105"/>
      <c r="H40" s="105"/>
      <c r="I40" s="105"/>
      <c r="J40" s="127"/>
      <c r="K40" s="126"/>
      <c r="L40" s="105"/>
      <c r="M40" s="105"/>
      <c r="N40" s="105"/>
      <c r="O40" s="127"/>
      <c r="P40" s="161"/>
      <c r="Q40" s="161"/>
      <c r="R40" s="126"/>
      <c r="S40" s="105"/>
      <c r="T40" s="105"/>
      <c r="U40" s="105"/>
      <c r="V40" s="127"/>
      <c r="W40" s="126"/>
      <c r="X40" s="105"/>
      <c r="AA40" s="167"/>
      <c r="AB40" s="162"/>
      <c r="AC40" s="162"/>
      <c r="AD40" s="97"/>
      <c r="AH40" s="167"/>
      <c r="AI40" s="162"/>
      <c r="AJ40" s="162"/>
      <c r="AK40" s="97"/>
      <c r="AO40" s="167"/>
    </row>
    <row r="41" spans="1:41" s="96" customFormat="1">
      <c r="A41" s="98" t="s">
        <v>136</v>
      </c>
      <c r="B41" s="99"/>
      <c r="C41" s="98"/>
      <c r="D41" s="103"/>
      <c r="E41" s="164"/>
      <c r="F41" s="129">
        <f>F37+F39</f>
        <v>10500</v>
      </c>
      <c r="G41" s="100">
        <f>G37+G39</f>
        <v>21630</v>
      </c>
      <c r="H41" s="101"/>
      <c r="I41" s="101"/>
      <c r="J41" s="102"/>
      <c r="K41" s="157"/>
      <c r="L41" s="101"/>
      <c r="M41" s="101"/>
      <c r="N41" s="101"/>
      <c r="O41" s="102"/>
      <c r="P41" s="163"/>
      <c r="Q41" s="163"/>
      <c r="R41" s="157">
        <f>SUM(R31:R40)</f>
        <v>0</v>
      </c>
      <c r="S41" s="101"/>
      <c r="T41" s="101"/>
      <c r="U41" s="101"/>
      <c r="V41" s="102"/>
      <c r="W41" s="168">
        <f>SUM(W31:W40)</f>
        <v>0</v>
      </c>
      <c r="X41" s="101"/>
      <c r="Y41" s="99"/>
      <c r="Z41" s="99"/>
      <c r="AA41" s="103"/>
      <c r="AB41" s="162"/>
      <c r="AC41" s="162"/>
      <c r="AD41" s="97"/>
      <c r="AH41" s="167"/>
      <c r="AI41" s="162"/>
      <c r="AJ41" s="162"/>
      <c r="AK41" s="97"/>
      <c r="AO41" s="167"/>
    </row>
    <row r="42" spans="1:41">
      <c r="C42" s="61"/>
      <c r="D42" s="62"/>
      <c r="E42" s="162"/>
      <c r="F42" s="63"/>
      <c r="G42" s="65"/>
      <c r="H42" s="65"/>
      <c r="I42" s="65"/>
      <c r="J42" s="64"/>
      <c r="K42" s="63"/>
      <c r="L42" s="65"/>
      <c r="M42" s="65"/>
      <c r="N42" s="65"/>
      <c r="O42" s="64"/>
      <c r="P42" s="161"/>
      <c r="Q42" s="161"/>
      <c r="R42" s="63"/>
      <c r="S42" s="65"/>
      <c r="T42" s="65"/>
      <c r="U42" s="65"/>
      <c r="V42" s="64"/>
      <c r="W42" s="63"/>
      <c r="X42" s="65"/>
      <c r="AA42" s="62"/>
      <c r="AB42" s="162"/>
      <c r="AC42" s="162"/>
      <c r="AD42" s="61"/>
      <c r="AH42" s="62"/>
      <c r="AI42" s="162"/>
      <c r="AJ42" s="162"/>
      <c r="AK42" s="61"/>
      <c r="AO42" s="62"/>
    </row>
    <row r="43" spans="1:41" s="107" customFormat="1">
      <c r="A43" s="107" t="s">
        <v>105</v>
      </c>
      <c r="C43" s="108"/>
      <c r="D43" s="169"/>
      <c r="E43" s="162"/>
      <c r="F43" s="130"/>
      <c r="G43" s="131"/>
      <c r="H43" s="131"/>
      <c r="I43" s="131"/>
      <c r="J43" s="132"/>
      <c r="K43" s="130"/>
      <c r="L43" s="131"/>
      <c r="M43" s="131"/>
      <c r="N43" s="131"/>
      <c r="O43" s="132"/>
      <c r="P43" s="161"/>
      <c r="Q43" s="161"/>
      <c r="R43" s="130"/>
      <c r="S43" s="131"/>
      <c r="T43" s="131"/>
      <c r="U43" s="131"/>
      <c r="V43" s="132"/>
      <c r="W43" s="130"/>
      <c r="X43" s="131"/>
      <c r="AA43" s="169"/>
      <c r="AB43" s="162"/>
      <c r="AC43" s="162"/>
      <c r="AD43" s="108"/>
      <c r="AH43" s="169"/>
      <c r="AI43" s="162"/>
      <c r="AJ43" s="162"/>
      <c r="AK43" s="108"/>
      <c r="AO43" s="169"/>
    </row>
    <row r="44" spans="1:41" s="107" customFormat="1">
      <c r="B44" s="107" t="s">
        <v>37</v>
      </c>
      <c r="C44" s="108" t="s">
        <v>0</v>
      </c>
      <c r="D44" s="169"/>
      <c r="E44" s="162"/>
      <c r="F44" s="130">
        <v>0</v>
      </c>
      <c r="G44" s="131">
        <v>0</v>
      </c>
      <c r="H44" s="131"/>
      <c r="I44" s="131"/>
      <c r="J44" s="132"/>
      <c r="K44" s="130"/>
      <c r="L44" s="131"/>
      <c r="M44" s="131"/>
      <c r="N44" s="131"/>
      <c r="O44" s="132"/>
      <c r="P44" s="161"/>
      <c r="Q44" s="161"/>
      <c r="R44" s="130">
        <v>1</v>
      </c>
      <c r="S44" s="131"/>
      <c r="T44" s="131"/>
      <c r="U44" s="131"/>
      <c r="V44" s="132"/>
      <c r="W44" s="130">
        <v>0.75</v>
      </c>
      <c r="X44" s="131"/>
      <c r="AA44" s="169"/>
      <c r="AB44" s="162"/>
      <c r="AC44" s="162"/>
      <c r="AD44" s="108"/>
      <c r="AH44" s="169"/>
      <c r="AI44" s="162"/>
      <c r="AJ44" s="162"/>
      <c r="AK44" s="108"/>
      <c r="AO44" s="169"/>
    </row>
    <row r="45" spans="1:41" s="107" customFormat="1">
      <c r="C45" s="108" t="s">
        <v>134</v>
      </c>
      <c r="D45" s="190">
        <v>350000</v>
      </c>
      <c r="E45" s="162"/>
      <c r="F45" s="133">
        <f>F44*D45</f>
        <v>0</v>
      </c>
      <c r="G45" s="134">
        <f>G44*D45*G8</f>
        <v>0</v>
      </c>
      <c r="H45" s="131"/>
      <c r="I45" s="131"/>
      <c r="J45" s="132"/>
      <c r="K45" s="130"/>
      <c r="L45" s="131"/>
      <c r="M45" s="131"/>
      <c r="N45" s="131"/>
      <c r="O45" s="132"/>
      <c r="P45" s="161"/>
      <c r="Q45" s="161"/>
      <c r="R45" s="130"/>
      <c r="S45" s="131"/>
      <c r="T45" s="131"/>
      <c r="U45" s="131"/>
      <c r="V45" s="132"/>
      <c r="W45" s="130"/>
      <c r="X45" s="131"/>
      <c r="AA45" s="169"/>
      <c r="AB45" s="162"/>
      <c r="AC45" s="162"/>
      <c r="AD45" s="108"/>
      <c r="AH45" s="169"/>
      <c r="AI45" s="162"/>
      <c r="AJ45" s="162"/>
      <c r="AK45" s="108"/>
      <c r="AO45" s="169"/>
    </row>
    <row r="46" spans="1:41" s="107" customFormat="1">
      <c r="C46" s="108"/>
      <c r="D46" s="169"/>
      <c r="E46" s="171"/>
      <c r="F46" s="133"/>
      <c r="G46" s="134"/>
      <c r="H46" s="131"/>
      <c r="I46" s="131"/>
      <c r="J46" s="132"/>
      <c r="K46" s="130"/>
      <c r="L46" s="131"/>
      <c r="M46" s="131"/>
      <c r="N46" s="131"/>
      <c r="O46" s="132"/>
      <c r="P46" s="161"/>
      <c r="Q46" s="161"/>
      <c r="R46" s="130"/>
      <c r="S46" s="131"/>
      <c r="T46" s="131"/>
      <c r="U46" s="131"/>
      <c r="V46" s="132"/>
      <c r="W46" s="130"/>
      <c r="X46" s="131"/>
      <c r="AA46" s="169"/>
      <c r="AB46" s="162"/>
      <c r="AC46" s="162"/>
      <c r="AD46" s="108"/>
      <c r="AH46" s="169"/>
      <c r="AI46" s="162"/>
      <c r="AJ46" s="162"/>
      <c r="AK46" s="108"/>
      <c r="AO46" s="169"/>
    </row>
    <row r="47" spans="1:41" s="107" customFormat="1">
      <c r="A47" s="110" t="s">
        <v>136</v>
      </c>
      <c r="B47" s="111"/>
      <c r="C47" s="110"/>
      <c r="D47" s="115"/>
      <c r="E47" s="164"/>
      <c r="F47" s="135">
        <f>F45</f>
        <v>0</v>
      </c>
      <c r="G47" s="112">
        <f>G45</f>
        <v>0</v>
      </c>
      <c r="H47" s="113"/>
      <c r="I47" s="113"/>
      <c r="J47" s="114"/>
      <c r="K47" s="158"/>
      <c r="L47" s="113"/>
      <c r="M47" s="113"/>
      <c r="N47" s="113"/>
      <c r="O47" s="114"/>
      <c r="P47" s="163"/>
      <c r="Q47" s="163"/>
      <c r="R47" s="158">
        <f>SUM(R37:R46)</f>
        <v>1</v>
      </c>
      <c r="S47" s="113"/>
      <c r="T47" s="113"/>
      <c r="U47" s="113"/>
      <c r="V47" s="114"/>
      <c r="W47" s="170">
        <f>SUM(W37:W46)</f>
        <v>0.75</v>
      </c>
      <c r="X47" s="113"/>
      <c r="Y47" s="111"/>
      <c r="Z47" s="111"/>
      <c r="AA47" s="115"/>
      <c r="AB47" s="162"/>
      <c r="AC47" s="162"/>
      <c r="AD47" s="108"/>
      <c r="AH47" s="169"/>
      <c r="AI47" s="162"/>
      <c r="AJ47" s="162"/>
      <c r="AK47" s="108"/>
      <c r="AO47" s="169"/>
    </row>
    <row r="48" spans="1:41">
      <c r="C48" s="61"/>
      <c r="D48" s="62"/>
      <c r="E48" s="162"/>
      <c r="F48" s="136"/>
      <c r="G48" s="106"/>
      <c r="H48" s="65"/>
      <c r="I48" s="65"/>
      <c r="J48" s="64"/>
      <c r="K48" s="63"/>
      <c r="L48" s="65"/>
      <c r="M48" s="65"/>
      <c r="N48" s="65"/>
      <c r="O48" s="64"/>
      <c r="P48" s="161"/>
      <c r="Q48" s="161"/>
      <c r="R48" s="63"/>
      <c r="S48" s="65"/>
      <c r="T48" s="65"/>
      <c r="U48" s="65"/>
      <c r="V48" s="64"/>
      <c r="W48" s="63"/>
      <c r="X48" s="65"/>
      <c r="AA48" s="62"/>
      <c r="AB48" s="162"/>
      <c r="AC48" s="162"/>
      <c r="AD48" s="61"/>
      <c r="AH48" s="62"/>
      <c r="AI48" s="162"/>
      <c r="AJ48" s="162"/>
      <c r="AK48" s="61"/>
      <c r="AO48" s="62"/>
    </row>
    <row r="49" spans="1:41" s="116" customFormat="1">
      <c r="A49" s="116" t="s">
        <v>113</v>
      </c>
      <c r="C49" s="137"/>
      <c r="D49" s="138"/>
      <c r="E49" s="162"/>
      <c r="F49" s="137"/>
      <c r="J49" s="138"/>
      <c r="K49" s="137"/>
      <c r="O49" s="138"/>
      <c r="P49" s="162"/>
      <c r="Q49" s="162"/>
      <c r="R49" s="137"/>
      <c r="V49" s="138"/>
      <c r="W49" s="137"/>
      <c r="AA49" s="138"/>
      <c r="AB49" s="162"/>
      <c r="AC49" s="162"/>
      <c r="AD49" s="137"/>
      <c r="AH49" s="138"/>
      <c r="AI49" s="162"/>
      <c r="AJ49" s="162"/>
      <c r="AK49" s="137"/>
      <c r="AO49" s="138"/>
    </row>
    <row r="50" spans="1:41" s="116" customFormat="1">
      <c r="B50" s="116" t="s">
        <v>119</v>
      </c>
      <c r="C50" s="137" t="s">
        <v>122</v>
      </c>
      <c r="D50" s="191">
        <v>3000</v>
      </c>
      <c r="E50" s="162"/>
      <c r="F50" s="139">
        <f t="shared" ref="F50:O50" si="0">$D$50*F6</f>
        <v>9000</v>
      </c>
      <c r="G50" s="140">
        <f t="shared" si="0"/>
        <v>9000</v>
      </c>
      <c r="H50" s="140">
        <f t="shared" si="0"/>
        <v>9000</v>
      </c>
      <c r="I50" s="140">
        <f t="shared" si="0"/>
        <v>9000</v>
      </c>
      <c r="J50" s="141">
        <f t="shared" si="0"/>
        <v>9000</v>
      </c>
      <c r="K50" s="139">
        <f t="shared" si="0"/>
        <v>18000</v>
      </c>
      <c r="L50" s="140">
        <f t="shared" si="0"/>
        <v>18000</v>
      </c>
      <c r="M50" s="140">
        <f t="shared" si="0"/>
        <v>18000</v>
      </c>
      <c r="N50" s="140">
        <f t="shared" si="0"/>
        <v>18000</v>
      </c>
      <c r="O50" s="141">
        <f t="shared" si="0"/>
        <v>18000</v>
      </c>
      <c r="P50" s="162"/>
      <c r="Q50" s="162"/>
      <c r="R50" s="137"/>
      <c r="V50" s="138"/>
      <c r="W50" s="137"/>
      <c r="AA50" s="138"/>
      <c r="AB50" s="162"/>
      <c r="AC50" s="162"/>
      <c r="AD50" s="137"/>
      <c r="AH50" s="138"/>
      <c r="AI50" s="162"/>
      <c r="AJ50" s="162"/>
      <c r="AK50" s="137"/>
      <c r="AO50" s="138"/>
    </row>
    <row r="51" spans="1:41" s="116" customFormat="1">
      <c r="B51" s="116" t="s">
        <v>120</v>
      </c>
      <c r="C51" s="137" t="s">
        <v>121</v>
      </c>
      <c r="D51" s="191">
        <v>50</v>
      </c>
      <c r="E51" s="162"/>
      <c r="F51" s="139">
        <f t="shared" ref="F51:O51" si="1">$D$51*F7</f>
        <v>5000</v>
      </c>
      <c r="G51" s="140">
        <f t="shared" si="1"/>
        <v>6000</v>
      </c>
      <c r="H51" s="140">
        <f t="shared" si="1"/>
        <v>7000</v>
      </c>
      <c r="I51" s="140">
        <f t="shared" si="1"/>
        <v>8000</v>
      </c>
      <c r="J51" s="141">
        <f t="shared" si="1"/>
        <v>10000</v>
      </c>
      <c r="K51" s="139">
        <f t="shared" si="1"/>
        <v>1000</v>
      </c>
      <c r="L51" s="140">
        <f t="shared" si="1"/>
        <v>1100</v>
      </c>
      <c r="M51" s="140">
        <f t="shared" si="1"/>
        <v>1200</v>
      </c>
      <c r="N51" s="140">
        <f t="shared" si="1"/>
        <v>1300</v>
      </c>
      <c r="O51" s="141">
        <f t="shared" si="1"/>
        <v>1500</v>
      </c>
      <c r="P51" s="162"/>
      <c r="Q51" s="162"/>
      <c r="R51" s="137"/>
      <c r="V51" s="138"/>
      <c r="W51" s="137"/>
      <c r="AA51" s="138"/>
      <c r="AB51" s="162"/>
      <c r="AC51" s="162"/>
      <c r="AD51" s="137"/>
      <c r="AH51" s="138"/>
      <c r="AI51" s="162"/>
      <c r="AJ51" s="162"/>
      <c r="AK51" s="137"/>
      <c r="AO51" s="138"/>
    </row>
    <row r="52" spans="1:41" s="116" customFormat="1">
      <c r="C52" s="137"/>
      <c r="D52" s="138"/>
      <c r="E52" s="172"/>
      <c r="F52" s="139"/>
      <c r="G52" s="140"/>
      <c r="H52" s="140"/>
      <c r="I52" s="140"/>
      <c r="J52" s="141"/>
      <c r="K52" s="139"/>
      <c r="L52" s="140"/>
      <c r="M52" s="140"/>
      <c r="N52" s="140"/>
      <c r="O52" s="141"/>
      <c r="P52" s="162"/>
      <c r="Q52" s="162"/>
      <c r="R52" s="137"/>
      <c r="V52" s="138"/>
      <c r="W52" s="137"/>
      <c r="AA52" s="138"/>
      <c r="AB52" s="162"/>
      <c r="AC52" s="162"/>
      <c r="AD52" s="137"/>
      <c r="AH52" s="138"/>
      <c r="AI52" s="162"/>
      <c r="AJ52" s="162"/>
      <c r="AK52" s="137"/>
      <c r="AO52" s="138"/>
    </row>
    <row r="53" spans="1:41" s="116" customFormat="1">
      <c r="C53" s="137"/>
      <c r="D53" s="138"/>
      <c r="E53" s="172"/>
      <c r="F53" s="139"/>
      <c r="G53" s="140"/>
      <c r="H53" s="140"/>
      <c r="I53" s="140"/>
      <c r="J53" s="141"/>
      <c r="K53" s="139"/>
      <c r="L53" s="140"/>
      <c r="M53" s="140"/>
      <c r="N53" s="140"/>
      <c r="O53" s="141"/>
      <c r="P53" s="162"/>
      <c r="Q53" s="162"/>
      <c r="R53" s="137"/>
      <c r="V53" s="138"/>
      <c r="W53" s="137"/>
      <c r="AA53" s="138"/>
      <c r="AB53" s="162"/>
      <c r="AC53" s="162"/>
      <c r="AD53" s="137"/>
      <c r="AH53" s="138"/>
      <c r="AI53" s="162"/>
      <c r="AJ53" s="162"/>
      <c r="AK53" s="137"/>
      <c r="AO53" s="138"/>
    </row>
    <row r="54" spans="1:41" s="116" customFormat="1">
      <c r="A54" s="116" t="s">
        <v>136</v>
      </c>
      <c r="C54" s="137"/>
      <c r="D54" s="138"/>
      <c r="E54" s="162"/>
      <c r="F54" s="139">
        <f>SUM(F50:F53)</f>
        <v>14000</v>
      </c>
      <c r="G54" s="140">
        <f t="shared" ref="G54:O54" si="2">SUM(G50:G53)</f>
        <v>15000</v>
      </c>
      <c r="H54" s="140">
        <f t="shared" si="2"/>
        <v>16000</v>
      </c>
      <c r="I54" s="140">
        <f t="shared" si="2"/>
        <v>17000</v>
      </c>
      <c r="J54" s="141">
        <f t="shared" si="2"/>
        <v>19000</v>
      </c>
      <c r="K54" s="139">
        <f t="shared" si="2"/>
        <v>19000</v>
      </c>
      <c r="L54" s="140">
        <f t="shared" si="2"/>
        <v>19100</v>
      </c>
      <c r="M54" s="140">
        <f t="shared" si="2"/>
        <v>19200</v>
      </c>
      <c r="N54" s="140">
        <f t="shared" si="2"/>
        <v>19300</v>
      </c>
      <c r="O54" s="141">
        <f t="shared" si="2"/>
        <v>19500</v>
      </c>
      <c r="P54" s="162"/>
      <c r="Q54" s="162"/>
      <c r="R54" s="137"/>
      <c r="V54" s="138"/>
      <c r="W54" s="137"/>
      <c r="AA54" s="138"/>
      <c r="AB54" s="162"/>
      <c r="AC54" s="162"/>
      <c r="AD54" s="137"/>
      <c r="AH54" s="138"/>
      <c r="AI54" s="162"/>
      <c r="AJ54" s="162"/>
      <c r="AK54" s="137"/>
      <c r="AO54" s="138"/>
    </row>
    <row r="55" spans="1:41">
      <c r="C55" s="61"/>
      <c r="D55" s="62"/>
      <c r="E55" s="162"/>
      <c r="F55" s="66"/>
      <c r="G55" s="46"/>
      <c r="H55" s="46"/>
      <c r="I55" s="46"/>
      <c r="J55" s="142"/>
      <c r="K55" s="66"/>
      <c r="L55" s="46"/>
      <c r="M55" s="46"/>
      <c r="N55" s="46"/>
      <c r="O55" s="142"/>
      <c r="P55" s="162"/>
      <c r="Q55" s="162"/>
      <c r="R55" s="61"/>
      <c r="V55" s="62"/>
      <c r="W55" s="61"/>
      <c r="AA55" s="62"/>
      <c r="AB55" s="162"/>
      <c r="AC55" s="162"/>
      <c r="AD55" s="61"/>
      <c r="AH55" s="62"/>
      <c r="AI55" s="162"/>
      <c r="AJ55" s="162"/>
      <c r="AK55" s="61"/>
      <c r="AO55" s="62"/>
    </row>
    <row r="56" spans="1:41">
      <c r="A56" t="s">
        <v>114</v>
      </c>
      <c r="C56" s="61"/>
      <c r="D56" s="62"/>
      <c r="E56" s="162"/>
      <c r="F56" s="61"/>
      <c r="J56" s="62"/>
      <c r="K56" s="61"/>
      <c r="O56" s="62"/>
      <c r="P56" s="162"/>
      <c r="Q56" s="162"/>
      <c r="R56" s="61"/>
      <c r="V56" s="62"/>
      <c r="W56" s="61"/>
      <c r="AA56" s="62"/>
      <c r="AB56" s="162"/>
      <c r="AC56" s="162"/>
      <c r="AD56" s="61"/>
      <c r="AH56" s="62"/>
      <c r="AI56" s="162"/>
      <c r="AJ56" s="162"/>
      <c r="AK56" s="61"/>
      <c r="AO56" s="62"/>
    </row>
    <row r="57" spans="1:41">
      <c r="B57" t="s">
        <v>140</v>
      </c>
      <c r="C57" s="61" t="s">
        <v>122</v>
      </c>
      <c r="D57" s="192">
        <v>40</v>
      </c>
      <c r="E57" s="162"/>
      <c r="F57" s="66">
        <f>$D$57*F6*F9</f>
        <v>120</v>
      </c>
      <c r="G57" s="46">
        <f>$D$57*G6*G9</f>
        <v>126</v>
      </c>
      <c r="H57" s="46">
        <f>$D$57*H6*H9</f>
        <v>127.2</v>
      </c>
      <c r="I57" s="46">
        <f>$D$57*I6*I9</f>
        <v>128.4</v>
      </c>
      <c r="J57" s="142">
        <f>$D$57*J6*J9</f>
        <v>130.80000000000001</v>
      </c>
      <c r="K57" s="61"/>
      <c r="O57" s="62"/>
      <c r="P57" s="162"/>
      <c r="Q57" s="162"/>
      <c r="R57" s="61"/>
      <c r="V57" s="62"/>
      <c r="W57" s="61"/>
      <c r="AA57" s="62"/>
      <c r="AB57" s="162"/>
      <c r="AC57" s="162"/>
      <c r="AD57" s="61"/>
      <c r="AH57" s="62"/>
      <c r="AI57" s="162"/>
      <c r="AJ57" s="162"/>
      <c r="AK57" s="61"/>
      <c r="AO57" s="62"/>
    </row>
    <row r="58" spans="1:41">
      <c r="B58" t="s">
        <v>141</v>
      </c>
      <c r="C58" s="61" t="s">
        <v>132</v>
      </c>
      <c r="D58" s="192">
        <v>2000</v>
      </c>
      <c r="E58" s="162"/>
      <c r="F58" s="66">
        <f>$D$58*F5*F8</f>
        <v>12000</v>
      </c>
      <c r="G58" s="46">
        <f>$D$58*G5*G8</f>
        <v>10300</v>
      </c>
      <c r="H58" s="46">
        <f>$D$58*H5*H8</f>
        <v>10400</v>
      </c>
      <c r="I58" s="46">
        <f>$D$58*I5*I8</f>
        <v>6240</v>
      </c>
      <c r="J58" s="142">
        <f>$D$58*J5*J8</f>
        <v>6240</v>
      </c>
      <c r="K58" s="61"/>
      <c r="O58" s="62"/>
      <c r="P58" s="162"/>
      <c r="Q58" s="162"/>
      <c r="R58" s="61"/>
      <c r="V58" s="62"/>
      <c r="W58" s="61"/>
      <c r="AA58" s="62"/>
      <c r="AB58" s="162"/>
      <c r="AC58" s="162"/>
      <c r="AD58" s="61"/>
      <c r="AH58" s="62"/>
      <c r="AI58" s="162"/>
      <c r="AJ58" s="162"/>
      <c r="AK58" s="61"/>
      <c r="AO58" s="62"/>
    </row>
    <row r="59" spans="1:41">
      <c r="B59" t="s">
        <v>142</v>
      </c>
      <c r="C59" s="61" t="s">
        <v>110</v>
      </c>
      <c r="D59" s="192">
        <v>1000000</v>
      </c>
      <c r="E59" s="162"/>
      <c r="F59" s="66">
        <f>D59*F9</f>
        <v>1000000</v>
      </c>
      <c r="G59" s="46">
        <f>F59*G9</f>
        <v>1050000</v>
      </c>
      <c r="H59" s="46">
        <f>G59*H9</f>
        <v>1113000</v>
      </c>
      <c r="I59" s="46">
        <f>H59*I9</f>
        <v>1190910</v>
      </c>
      <c r="J59" s="142">
        <f>I59*J9</f>
        <v>1298091.9000000001</v>
      </c>
      <c r="K59" s="61"/>
      <c r="O59" s="62"/>
      <c r="P59" s="162"/>
      <c r="Q59" s="162"/>
      <c r="R59" s="61"/>
      <c r="V59" s="62"/>
      <c r="W59" s="61"/>
      <c r="AA59" s="62"/>
      <c r="AB59" s="162"/>
      <c r="AC59" s="162"/>
      <c r="AD59" s="61"/>
      <c r="AH59" s="62"/>
      <c r="AI59" s="162"/>
      <c r="AJ59" s="162"/>
      <c r="AK59" s="61"/>
      <c r="AO59" s="62"/>
    </row>
    <row r="60" spans="1:41">
      <c r="B60" t="s">
        <v>143</v>
      </c>
      <c r="C60" s="61" t="s">
        <v>145</v>
      </c>
      <c r="D60" s="192">
        <v>15000</v>
      </c>
      <c r="E60" s="162"/>
      <c r="F60" s="66">
        <f>D60*F9</f>
        <v>15000</v>
      </c>
      <c r="G60" s="46">
        <f>F60*G9</f>
        <v>15750</v>
      </c>
      <c r="H60" s="46">
        <f>G60*H9</f>
        <v>16695</v>
      </c>
      <c r="I60" s="46">
        <f>H60*I9</f>
        <v>17863.650000000001</v>
      </c>
      <c r="J60" s="142">
        <f>I60*J9</f>
        <v>19471.378500000003</v>
      </c>
      <c r="K60" s="61"/>
      <c r="O60" s="62"/>
      <c r="P60" s="162"/>
      <c r="Q60" s="162"/>
      <c r="R60" s="61"/>
      <c r="V60" s="62"/>
      <c r="W60" s="61"/>
      <c r="AA60" s="62"/>
      <c r="AB60" s="162"/>
      <c r="AC60" s="162"/>
      <c r="AD60" s="61"/>
      <c r="AH60" s="62"/>
      <c r="AI60" s="162"/>
      <c r="AJ60" s="162"/>
      <c r="AK60" s="61"/>
      <c r="AO60" s="62"/>
    </row>
    <row r="61" spans="1:41">
      <c r="B61" t="s">
        <v>144</v>
      </c>
      <c r="C61" s="61" t="s">
        <v>110</v>
      </c>
      <c r="D61" s="192">
        <v>150000</v>
      </c>
      <c r="E61" s="162"/>
      <c r="F61" s="66">
        <f>D61*F9</f>
        <v>150000</v>
      </c>
      <c r="G61" s="46">
        <f>F61*G9</f>
        <v>157500</v>
      </c>
      <c r="H61" s="46">
        <f>G61*H9</f>
        <v>166950</v>
      </c>
      <c r="I61" s="46">
        <f>H61*I9</f>
        <v>178636.5</v>
      </c>
      <c r="J61" s="142">
        <f>I61*J9</f>
        <v>194713.785</v>
      </c>
      <c r="K61" s="61"/>
      <c r="O61" s="62"/>
      <c r="P61" s="162"/>
      <c r="Q61" s="162"/>
      <c r="R61" s="61"/>
      <c r="V61" s="62"/>
      <c r="W61" s="61"/>
      <c r="AA61" s="62"/>
      <c r="AB61" s="162"/>
      <c r="AC61" s="162"/>
      <c r="AD61" s="61"/>
      <c r="AH61" s="62"/>
      <c r="AI61" s="162"/>
      <c r="AJ61" s="162"/>
      <c r="AK61" s="61"/>
      <c r="AO61" s="62"/>
    </row>
    <row r="62" spans="1:41">
      <c r="C62" s="61"/>
      <c r="D62" s="62"/>
      <c r="E62" s="162"/>
      <c r="F62" s="61"/>
      <c r="J62" s="62"/>
      <c r="K62" s="61"/>
      <c r="O62" s="62"/>
      <c r="P62" s="162"/>
      <c r="Q62" s="162"/>
      <c r="R62" s="61"/>
      <c r="V62" s="62"/>
      <c r="W62" s="61"/>
      <c r="AA62" s="62"/>
      <c r="AB62" s="162"/>
      <c r="AC62" s="162"/>
      <c r="AD62" s="61"/>
      <c r="AH62" s="62"/>
      <c r="AI62" s="162"/>
      <c r="AJ62" s="162"/>
      <c r="AK62" s="61"/>
      <c r="AO62" s="62"/>
    </row>
    <row r="63" spans="1:41">
      <c r="C63" s="61"/>
      <c r="D63" s="62"/>
      <c r="E63" s="162"/>
      <c r="F63" s="61"/>
      <c r="J63" s="62"/>
      <c r="K63" s="61"/>
      <c r="O63" s="62"/>
      <c r="P63" s="162"/>
      <c r="Q63" s="162"/>
      <c r="R63" s="61"/>
      <c r="V63" s="62"/>
      <c r="W63" s="61"/>
      <c r="AA63" s="62"/>
      <c r="AB63" s="162"/>
      <c r="AC63" s="162"/>
      <c r="AD63" s="61"/>
      <c r="AH63" s="62"/>
      <c r="AI63" s="162"/>
      <c r="AJ63" s="162"/>
      <c r="AK63" s="61"/>
      <c r="AO63" s="62"/>
    </row>
    <row r="64" spans="1:41" s="194" customFormat="1" ht="15">
      <c r="A64" s="193" t="s">
        <v>136</v>
      </c>
      <c r="C64" s="193"/>
      <c r="D64" s="195"/>
      <c r="E64" s="196"/>
      <c r="F64" s="197">
        <f>SUM(F57:F61)</f>
        <v>1177120</v>
      </c>
      <c r="G64" s="198">
        <f t="shared" ref="G64:J64" si="3">SUM(G57:G61)</f>
        <v>1233676</v>
      </c>
      <c r="H64" s="198">
        <f t="shared" si="3"/>
        <v>1307172.2</v>
      </c>
      <c r="I64" s="198">
        <f t="shared" si="3"/>
        <v>1393778.5499999998</v>
      </c>
      <c r="J64" s="199">
        <f t="shared" si="3"/>
        <v>1518647.8635000002</v>
      </c>
      <c r="K64" s="193"/>
      <c r="O64" s="195"/>
      <c r="P64" s="196"/>
      <c r="Q64" s="196"/>
      <c r="R64" s="193"/>
      <c r="V64" s="195"/>
      <c r="W64" s="193"/>
      <c r="AA64" s="195"/>
      <c r="AB64" s="196"/>
      <c r="AC64" s="196"/>
      <c r="AD64" s="193"/>
      <c r="AH64" s="195"/>
      <c r="AI64" s="196"/>
      <c r="AJ64" s="196"/>
      <c r="AK64" s="193"/>
      <c r="AO64" s="195"/>
    </row>
    <row r="65" spans="1:41">
      <c r="C65" s="61"/>
      <c r="D65" s="62"/>
      <c r="E65" s="162"/>
      <c r="F65" s="61"/>
      <c r="J65" s="62"/>
      <c r="K65" s="61"/>
      <c r="O65" s="62"/>
      <c r="P65" s="162"/>
      <c r="Q65" s="162"/>
      <c r="R65" s="61"/>
      <c r="V65" s="62"/>
      <c r="W65" s="61"/>
      <c r="AA65" s="62"/>
      <c r="AB65" s="162"/>
      <c r="AC65" s="162"/>
      <c r="AD65" s="61"/>
      <c r="AH65" s="62"/>
      <c r="AI65" s="162"/>
      <c r="AJ65" s="162"/>
      <c r="AK65" s="61"/>
      <c r="AO65" s="62"/>
    </row>
    <row r="66" spans="1:41">
      <c r="C66" s="61"/>
      <c r="D66" s="62"/>
      <c r="E66" s="162"/>
      <c r="F66" s="61"/>
      <c r="J66" s="62"/>
      <c r="K66" s="61"/>
      <c r="O66" s="62"/>
      <c r="P66" s="162"/>
      <c r="Q66" s="162"/>
      <c r="R66" s="61"/>
      <c r="V66" s="62"/>
      <c r="W66" s="61"/>
      <c r="AA66" s="62"/>
      <c r="AB66" s="162"/>
      <c r="AC66" s="162"/>
      <c r="AD66" s="61"/>
      <c r="AH66" s="62"/>
      <c r="AI66" s="162"/>
      <c r="AJ66" s="162"/>
      <c r="AK66" s="61"/>
      <c r="AO66" s="62"/>
    </row>
    <row r="67" spans="1:41">
      <c r="A67" t="s">
        <v>129</v>
      </c>
      <c r="C67" s="61"/>
      <c r="D67" s="62"/>
      <c r="E67" s="162"/>
      <c r="F67" s="61"/>
      <c r="J67" s="62"/>
      <c r="K67" s="61"/>
      <c r="O67" s="62"/>
      <c r="P67" s="162"/>
      <c r="Q67" s="162"/>
      <c r="R67" s="61"/>
      <c r="V67" s="62"/>
      <c r="W67" s="61"/>
      <c r="AA67" s="62"/>
      <c r="AB67" s="162"/>
      <c r="AC67" s="162"/>
      <c r="AD67" s="61"/>
      <c r="AH67" s="62"/>
      <c r="AI67" s="162"/>
      <c r="AJ67" s="162"/>
      <c r="AK67" s="61"/>
      <c r="AO67" s="62"/>
    </row>
    <row r="68" spans="1:41" ht="15" thickBot="1">
      <c r="C68" s="61" t="s">
        <v>146</v>
      </c>
      <c r="D68" s="62">
        <v>1E-3</v>
      </c>
      <c r="E68" s="162"/>
      <c r="F68" s="61"/>
      <c r="J68" s="62"/>
      <c r="K68" s="61"/>
      <c r="O68" s="62"/>
      <c r="P68" s="162"/>
      <c r="Q68" s="162"/>
      <c r="R68" s="61"/>
      <c r="V68" s="62"/>
      <c r="W68" s="61"/>
      <c r="AA68" s="62"/>
      <c r="AB68" s="162"/>
      <c r="AC68" s="162"/>
      <c r="AD68" s="61"/>
      <c r="AH68" s="62"/>
      <c r="AI68" s="162"/>
      <c r="AJ68" s="162"/>
      <c r="AK68" s="61"/>
      <c r="AO68" s="62"/>
    </row>
    <row r="69" spans="1:41" ht="15" thickBot="1">
      <c r="C69" s="61" t="s">
        <v>147</v>
      </c>
      <c r="D69" s="62" t="s">
        <v>110</v>
      </c>
      <c r="E69" s="162"/>
      <c r="F69" s="149">
        <f>F64+F47+F41+F33+F16</f>
        <v>1960120</v>
      </c>
      <c r="G69" s="150">
        <f t="shared" ref="G69:J69" si="4">G64+G47+G41+G33+G16</f>
        <v>2174066</v>
      </c>
      <c r="H69" s="150">
        <f t="shared" si="4"/>
        <v>1307172.2</v>
      </c>
      <c r="I69" s="150">
        <f t="shared" si="4"/>
        <v>1393778.5499999998</v>
      </c>
      <c r="J69" s="151">
        <f t="shared" si="4"/>
        <v>1518647.8635000002</v>
      </c>
      <c r="K69" s="174"/>
      <c r="L69" s="175"/>
      <c r="M69" s="175"/>
      <c r="N69" s="175"/>
      <c r="O69" s="176"/>
      <c r="P69" s="162"/>
      <c r="Q69" s="162"/>
      <c r="R69" s="174"/>
      <c r="S69" s="175"/>
      <c r="T69" s="175"/>
      <c r="U69" s="175"/>
      <c r="V69" s="176"/>
      <c r="W69" s="174"/>
      <c r="X69" s="175"/>
      <c r="Y69" s="175"/>
      <c r="Z69" s="175"/>
      <c r="AA69" s="176"/>
      <c r="AB69" s="162"/>
      <c r="AC69" s="162"/>
      <c r="AD69" s="174"/>
      <c r="AE69" s="175"/>
      <c r="AF69" s="175"/>
      <c r="AG69" s="175"/>
      <c r="AH69" s="176"/>
      <c r="AI69" s="162"/>
      <c r="AJ69" s="162"/>
      <c r="AK69" s="174"/>
      <c r="AL69" s="175"/>
      <c r="AM69" s="175"/>
      <c r="AN69" s="175"/>
      <c r="AO69" s="176"/>
    </row>
    <row r="70" spans="1:41" ht="15" thickBot="1">
      <c r="C70" s="61"/>
      <c r="D70" s="62"/>
      <c r="E70" s="162"/>
      <c r="F70" s="66">
        <f>F69*$D$68</f>
        <v>1960.1200000000001</v>
      </c>
      <c r="G70" s="46">
        <f>G69*$D$68</f>
        <v>2174.0660000000003</v>
      </c>
      <c r="H70" s="46">
        <f>H69*$D$68</f>
        <v>1307.1722</v>
      </c>
      <c r="I70" s="46">
        <f>I69*$D$68</f>
        <v>1393.7785499999998</v>
      </c>
      <c r="J70" s="142">
        <f>J69*$D$68</f>
        <v>1518.6478635000003</v>
      </c>
      <c r="K70" s="61"/>
      <c r="O70" s="62"/>
      <c r="P70" s="162"/>
      <c r="Q70" s="162"/>
      <c r="R70" s="61"/>
      <c r="V70" s="62"/>
      <c r="W70" s="61"/>
      <c r="AA70" s="62"/>
      <c r="AB70" s="162"/>
      <c r="AC70" s="162"/>
      <c r="AD70" s="61"/>
      <c r="AH70" s="62"/>
      <c r="AI70" s="162"/>
      <c r="AJ70" s="162"/>
      <c r="AK70" s="61"/>
      <c r="AO70" s="62"/>
    </row>
    <row r="71" spans="1:41" ht="15.75" thickBot="1">
      <c r="C71" s="180" t="s">
        <v>133</v>
      </c>
      <c r="D71" s="160"/>
      <c r="E71" s="162"/>
      <c r="F71" s="152">
        <f>F69+F70</f>
        <v>1962080.12</v>
      </c>
      <c r="G71" s="153">
        <f t="shared" ref="G71:J71" si="5">G69+G70</f>
        <v>2176240.0660000001</v>
      </c>
      <c r="H71" s="153">
        <f t="shared" si="5"/>
        <v>1308479.3721999999</v>
      </c>
      <c r="I71" s="153">
        <f t="shared" si="5"/>
        <v>1395172.3285499997</v>
      </c>
      <c r="J71" s="154">
        <f t="shared" si="5"/>
        <v>1520166.5113635003</v>
      </c>
      <c r="K71" s="177"/>
      <c r="L71" s="178"/>
      <c r="M71" s="178"/>
      <c r="N71" s="178"/>
      <c r="O71" s="179"/>
      <c r="P71" s="162"/>
      <c r="Q71" s="162"/>
      <c r="R71" s="177"/>
      <c r="S71" s="178"/>
      <c r="T71" s="178"/>
      <c r="U71" s="178"/>
      <c r="V71" s="179"/>
      <c r="W71" s="177"/>
      <c r="X71" s="178"/>
      <c r="Y71" s="178"/>
      <c r="Z71" s="178"/>
      <c r="AA71" s="179"/>
      <c r="AB71" s="162"/>
      <c r="AC71" s="162"/>
      <c r="AD71" s="177"/>
      <c r="AE71" s="178"/>
      <c r="AF71" s="178"/>
      <c r="AG71" s="178"/>
      <c r="AH71" s="179"/>
      <c r="AI71" s="162"/>
      <c r="AJ71" s="162"/>
      <c r="AK71" s="177"/>
      <c r="AL71" s="178"/>
      <c r="AM71" s="178"/>
      <c r="AN71" s="178"/>
      <c r="AO71" s="179"/>
    </row>
  </sheetData>
  <mergeCells count="14">
    <mergeCell ref="C4:D4"/>
    <mergeCell ref="AK2:AO2"/>
    <mergeCell ref="F3:J3"/>
    <mergeCell ref="K3:O3"/>
    <mergeCell ref="R3:V3"/>
    <mergeCell ref="W3:AA3"/>
    <mergeCell ref="AD3:AH3"/>
    <mergeCell ref="AK3:AO3"/>
    <mergeCell ref="AD2:AH2"/>
    <mergeCell ref="A1:N1"/>
    <mergeCell ref="F2:J2"/>
    <mergeCell ref="K2:O2"/>
    <mergeCell ref="R2:V2"/>
    <mergeCell ref="W2:AA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DA56C-59E0-46CD-8648-D6EEE5B14969}">
  <dimension ref="A1:AO65"/>
  <sheetViews>
    <sheetView workbookViewId="0">
      <selection sqref="A1:N1"/>
    </sheetView>
  </sheetViews>
  <sheetFormatPr defaultRowHeight="14.25" outlineLevelRow="1" outlineLevelCol="1"/>
  <cols>
    <col min="1" max="1" width="13.875" bestFit="1" customWidth="1"/>
    <col min="2" max="2" width="17.875" bestFit="1" customWidth="1"/>
    <col min="3" max="3" width="19" bestFit="1" customWidth="1"/>
    <col min="4" max="4" width="12.125" bestFit="1" customWidth="1"/>
    <col min="5" max="5" width="14.625" customWidth="1" outlineLevel="1"/>
    <col min="6" max="15" width="14.75" customWidth="1" outlineLevel="1"/>
    <col min="17" max="17" width="19.875" customWidth="1" outlineLevel="1"/>
    <col min="18" max="27" width="14.75" customWidth="1" outlineLevel="1"/>
    <col min="29" max="29" width="11.75" customWidth="1" outlineLevel="1"/>
    <col min="30" max="34" width="14.75" customWidth="1" outlineLevel="1"/>
    <col min="35" max="35" width="9" outlineLevel="1"/>
    <col min="36" max="36" width="7.25" bestFit="1" customWidth="1"/>
    <col min="37" max="41" width="14.75" customWidth="1"/>
  </cols>
  <sheetData>
    <row r="1" spans="1:41" ht="78.75" customHeight="1">
      <c r="A1" s="316" t="s">
        <v>189</v>
      </c>
      <c r="B1" s="317"/>
      <c r="C1" s="317"/>
      <c r="D1" s="317"/>
      <c r="E1" s="317"/>
      <c r="F1" s="317"/>
      <c r="G1" s="317"/>
      <c r="H1" s="317"/>
      <c r="I1" s="317"/>
      <c r="J1" s="317"/>
      <c r="K1" s="317"/>
      <c r="L1" s="317"/>
      <c r="M1" s="317"/>
      <c r="N1" s="317"/>
    </row>
    <row r="2" spans="1:41" s="210" customFormat="1" ht="14.25" customHeight="1">
      <c r="A2" s="205"/>
      <c r="B2" s="205"/>
      <c r="C2" s="205"/>
      <c r="D2" s="206"/>
      <c r="E2" s="207" t="s">
        <v>162</v>
      </c>
      <c r="F2" s="345" t="s">
        <v>96</v>
      </c>
      <c r="G2" s="346"/>
      <c r="H2" s="346"/>
      <c r="I2" s="346"/>
      <c r="J2" s="346"/>
      <c r="K2" s="345" t="s">
        <v>97</v>
      </c>
      <c r="L2" s="346"/>
      <c r="M2" s="346"/>
      <c r="N2" s="346"/>
      <c r="O2" s="357"/>
      <c r="P2" s="208"/>
      <c r="Q2" s="209" t="s">
        <v>163</v>
      </c>
      <c r="R2" s="345" t="s">
        <v>93</v>
      </c>
      <c r="S2" s="346"/>
      <c r="T2" s="346"/>
      <c r="U2" s="346"/>
      <c r="V2" s="357"/>
      <c r="W2" s="345" t="s">
        <v>95</v>
      </c>
      <c r="X2" s="346"/>
      <c r="Y2" s="346"/>
      <c r="Z2" s="346"/>
      <c r="AA2" s="357"/>
      <c r="AB2" s="205"/>
      <c r="AC2" s="205" t="s">
        <v>127</v>
      </c>
      <c r="AD2" s="358"/>
      <c r="AE2" s="359"/>
      <c r="AF2" s="359"/>
      <c r="AG2" s="359"/>
      <c r="AH2" s="360"/>
      <c r="AI2" s="205"/>
      <c r="AJ2" s="205" t="s">
        <v>29</v>
      </c>
      <c r="AK2" s="358"/>
      <c r="AL2" s="359"/>
      <c r="AM2" s="359"/>
      <c r="AN2" s="359"/>
      <c r="AO2" s="360"/>
    </row>
    <row r="3" spans="1:41" s="210" customFormat="1" ht="14.25" customHeight="1">
      <c r="A3" s="205"/>
      <c r="B3" s="205"/>
      <c r="C3" s="205"/>
      <c r="D3" s="211"/>
      <c r="E3" s="212" t="s">
        <v>90</v>
      </c>
      <c r="F3" s="347" t="s">
        <v>91</v>
      </c>
      <c r="G3" s="348"/>
      <c r="H3" s="348"/>
      <c r="I3" s="348"/>
      <c r="J3" s="348"/>
      <c r="K3" s="347" t="s">
        <v>100</v>
      </c>
      <c r="L3" s="348"/>
      <c r="M3" s="348"/>
      <c r="N3" s="348"/>
      <c r="O3" s="361"/>
      <c r="P3" s="208"/>
      <c r="Q3" s="209" t="s">
        <v>164</v>
      </c>
      <c r="R3" s="347" t="s">
        <v>92</v>
      </c>
      <c r="S3" s="348"/>
      <c r="T3" s="348"/>
      <c r="U3" s="348"/>
      <c r="V3" s="361"/>
      <c r="W3" s="347" t="s">
        <v>94</v>
      </c>
      <c r="X3" s="348"/>
      <c r="Y3" s="348"/>
      <c r="Z3" s="348"/>
      <c r="AA3" s="361"/>
      <c r="AB3" s="205"/>
      <c r="AC3" s="205" t="s">
        <v>126</v>
      </c>
      <c r="AD3" s="362"/>
      <c r="AE3" s="363"/>
      <c r="AF3" s="363"/>
      <c r="AG3" s="363"/>
      <c r="AH3" s="364"/>
      <c r="AI3" s="205"/>
      <c r="AJ3" s="205" t="s">
        <v>128</v>
      </c>
      <c r="AK3" s="362"/>
      <c r="AL3" s="363"/>
      <c r="AM3" s="363"/>
      <c r="AN3" s="363"/>
      <c r="AO3" s="364"/>
    </row>
    <row r="4" spans="1:41" s="210" customFormat="1" ht="15">
      <c r="A4" s="213" t="s">
        <v>50</v>
      </c>
      <c r="B4" s="213" t="s">
        <v>165</v>
      </c>
      <c r="C4" s="343" t="s">
        <v>98</v>
      </c>
      <c r="D4" s="343"/>
      <c r="E4" s="196"/>
      <c r="F4" s="214" t="s">
        <v>83</v>
      </c>
      <c r="G4" s="215" t="s">
        <v>84</v>
      </c>
      <c r="H4" s="215" t="s">
        <v>85</v>
      </c>
      <c r="I4" s="215" t="s">
        <v>86</v>
      </c>
      <c r="J4" s="215" t="s">
        <v>87</v>
      </c>
      <c r="K4" s="214" t="s">
        <v>83</v>
      </c>
      <c r="L4" s="215" t="s">
        <v>84</v>
      </c>
      <c r="M4" s="215" t="s">
        <v>85</v>
      </c>
      <c r="N4" s="215" t="s">
        <v>86</v>
      </c>
      <c r="O4" s="216" t="s">
        <v>87</v>
      </c>
      <c r="P4" s="217"/>
      <c r="Q4" s="217"/>
      <c r="R4" s="214" t="s">
        <v>83</v>
      </c>
      <c r="S4" s="215" t="s">
        <v>84</v>
      </c>
      <c r="T4" s="215" t="s">
        <v>85</v>
      </c>
      <c r="U4" s="215" t="s">
        <v>86</v>
      </c>
      <c r="V4" s="216" t="s">
        <v>87</v>
      </c>
      <c r="W4" s="214" t="s">
        <v>83</v>
      </c>
      <c r="X4" s="215" t="s">
        <v>84</v>
      </c>
      <c r="Y4" s="215" t="s">
        <v>85</v>
      </c>
      <c r="Z4" s="215" t="s">
        <v>86</v>
      </c>
      <c r="AA4" s="216" t="s">
        <v>87</v>
      </c>
      <c r="AB4" s="205"/>
      <c r="AC4" s="217"/>
      <c r="AD4" s="214" t="s">
        <v>83</v>
      </c>
      <c r="AE4" s="215" t="s">
        <v>84</v>
      </c>
      <c r="AF4" s="215" t="s">
        <v>85</v>
      </c>
      <c r="AG4" s="215" t="s">
        <v>86</v>
      </c>
      <c r="AH4" s="216" t="s">
        <v>87</v>
      </c>
      <c r="AI4" s="205"/>
      <c r="AJ4" s="217"/>
      <c r="AK4" s="214" t="s">
        <v>83</v>
      </c>
      <c r="AL4" s="215" t="s">
        <v>84</v>
      </c>
      <c r="AM4" s="215" t="s">
        <v>85</v>
      </c>
      <c r="AN4" s="215" t="s">
        <v>86</v>
      </c>
      <c r="AO4" s="216" t="s">
        <v>87</v>
      </c>
    </row>
    <row r="5" spans="1:41" s="58" customFormat="1">
      <c r="A5" s="144"/>
      <c r="B5" s="145"/>
      <c r="C5" s="218" t="s">
        <v>117</v>
      </c>
      <c r="D5" s="219" t="s">
        <v>0</v>
      </c>
      <c r="E5" s="162"/>
      <c r="F5" s="220">
        <v>6</v>
      </c>
      <c r="G5" s="221">
        <v>5</v>
      </c>
      <c r="H5" s="221">
        <v>5</v>
      </c>
      <c r="I5" s="221">
        <v>3</v>
      </c>
      <c r="J5" s="221">
        <v>3</v>
      </c>
      <c r="K5" s="220">
        <v>5</v>
      </c>
      <c r="L5" s="221">
        <v>5</v>
      </c>
      <c r="M5" s="221">
        <v>5</v>
      </c>
      <c r="N5" s="221">
        <v>5</v>
      </c>
      <c r="O5" s="222">
        <v>5</v>
      </c>
      <c r="P5" s="161"/>
      <c r="Q5" s="161"/>
      <c r="R5" s="220"/>
      <c r="S5" s="221"/>
      <c r="T5" s="221"/>
      <c r="U5" s="221"/>
      <c r="V5" s="222"/>
      <c r="W5" s="220"/>
      <c r="X5" s="221"/>
      <c r="Y5" s="221"/>
      <c r="Z5" s="221"/>
      <c r="AA5" s="222"/>
      <c r="AB5" s="162"/>
      <c r="AC5" s="162"/>
      <c r="AD5" s="218"/>
      <c r="AE5" s="219"/>
      <c r="AF5" s="219"/>
      <c r="AG5" s="219"/>
      <c r="AH5" s="223"/>
      <c r="AI5" s="162"/>
      <c r="AJ5" s="162"/>
      <c r="AK5" s="144"/>
      <c r="AO5" s="145"/>
    </row>
    <row r="6" spans="1:41" s="58" customFormat="1">
      <c r="A6" s="144"/>
      <c r="B6" s="145"/>
      <c r="C6" s="218" t="s">
        <v>118</v>
      </c>
      <c r="D6" s="219" t="s">
        <v>125</v>
      </c>
      <c r="E6" s="162"/>
      <c r="F6" s="220">
        <v>3</v>
      </c>
      <c r="G6" s="221">
        <v>3</v>
      </c>
      <c r="H6" s="221">
        <v>3</v>
      </c>
      <c r="I6" s="221">
        <v>3</v>
      </c>
      <c r="J6" s="221">
        <v>3</v>
      </c>
      <c r="K6" s="220">
        <v>6</v>
      </c>
      <c r="L6" s="221">
        <v>6</v>
      </c>
      <c r="M6" s="221">
        <v>6</v>
      </c>
      <c r="N6" s="221">
        <v>6</v>
      </c>
      <c r="O6" s="222">
        <v>6</v>
      </c>
      <c r="P6" s="161"/>
      <c r="Q6" s="161"/>
      <c r="R6" s="220"/>
      <c r="S6" s="221"/>
      <c r="T6" s="221"/>
      <c r="U6" s="221"/>
      <c r="V6" s="222"/>
      <c r="W6" s="220"/>
      <c r="X6" s="221"/>
      <c r="Y6" s="221"/>
      <c r="Z6" s="221"/>
      <c r="AA6" s="222"/>
      <c r="AB6" s="162"/>
      <c r="AC6" s="162"/>
      <c r="AD6" s="218"/>
      <c r="AE6" s="219"/>
      <c r="AF6" s="219"/>
      <c r="AG6" s="219"/>
      <c r="AH6" s="223"/>
      <c r="AI6" s="162"/>
      <c r="AJ6" s="162"/>
      <c r="AK6" s="144"/>
      <c r="AO6" s="145"/>
    </row>
    <row r="7" spans="1:41" s="58" customFormat="1">
      <c r="A7" s="144"/>
      <c r="B7" s="145"/>
      <c r="C7" s="218" t="s">
        <v>123</v>
      </c>
      <c r="D7" s="219" t="s">
        <v>124</v>
      </c>
      <c r="E7" s="162"/>
      <c r="F7" s="220">
        <v>100</v>
      </c>
      <c r="G7" s="221">
        <v>120</v>
      </c>
      <c r="H7" s="221">
        <v>140</v>
      </c>
      <c r="I7" s="221">
        <v>160</v>
      </c>
      <c r="J7" s="221">
        <v>200</v>
      </c>
      <c r="K7" s="220">
        <v>20</v>
      </c>
      <c r="L7" s="221">
        <v>22</v>
      </c>
      <c r="M7" s="221">
        <v>24</v>
      </c>
      <c r="N7" s="221">
        <v>26</v>
      </c>
      <c r="O7" s="222">
        <v>30</v>
      </c>
      <c r="P7" s="161"/>
      <c r="Q7" s="161"/>
      <c r="R7" s="220"/>
      <c r="S7" s="221"/>
      <c r="T7" s="221"/>
      <c r="U7" s="221"/>
      <c r="V7" s="222"/>
      <c r="W7" s="220"/>
      <c r="X7" s="221"/>
      <c r="Y7" s="221"/>
      <c r="Z7" s="221"/>
      <c r="AA7" s="222"/>
      <c r="AB7" s="162"/>
      <c r="AC7" s="162"/>
      <c r="AD7" s="218"/>
      <c r="AE7" s="219"/>
      <c r="AF7" s="219"/>
      <c r="AG7" s="219"/>
      <c r="AH7" s="223"/>
      <c r="AI7" s="162"/>
      <c r="AJ7" s="162"/>
      <c r="AK7" s="144"/>
      <c r="AO7" s="145"/>
    </row>
    <row r="8" spans="1:41" s="58" customFormat="1">
      <c r="A8" s="144"/>
      <c r="B8" s="145"/>
      <c r="C8" s="218" t="s">
        <v>135</v>
      </c>
      <c r="D8" s="219"/>
      <c r="E8" s="162"/>
      <c r="F8" s="220">
        <v>1</v>
      </c>
      <c r="G8" s="221">
        <v>1.03</v>
      </c>
      <c r="H8" s="221">
        <v>1.04</v>
      </c>
      <c r="I8" s="221">
        <v>1.04</v>
      </c>
      <c r="J8" s="221">
        <v>1.04</v>
      </c>
      <c r="K8" s="220">
        <v>1</v>
      </c>
      <c r="L8" s="221">
        <v>1.03</v>
      </c>
      <c r="M8" s="221">
        <v>1.04</v>
      </c>
      <c r="N8" s="221">
        <v>1.04</v>
      </c>
      <c r="O8" s="222">
        <v>1.04</v>
      </c>
      <c r="P8" s="161"/>
      <c r="Q8" s="161"/>
      <c r="R8" s="220"/>
      <c r="S8" s="221"/>
      <c r="T8" s="221"/>
      <c r="U8" s="221"/>
      <c r="V8" s="222"/>
      <c r="W8" s="220"/>
      <c r="X8" s="221"/>
      <c r="Y8" s="221"/>
      <c r="Z8" s="221"/>
      <c r="AA8" s="222"/>
      <c r="AB8" s="162"/>
      <c r="AC8" s="162"/>
      <c r="AD8" s="218"/>
      <c r="AE8" s="219"/>
      <c r="AF8" s="219"/>
      <c r="AG8" s="219"/>
      <c r="AH8" s="223"/>
      <c r="AI8" s="162"/>
      <c r="AJ8" s="162"/>
      <c r="AK8" s="144"/>
      <c r="AO8" s="145"/>
    </row>
    <row r="9" spans="1:41" s="232" customFormat="1">
      <c r="A9" s="224"/>
      <c r="B9" s="225"/>
      <c r="C9" s="226" t="s">
        <v>188</v>
      </c>
      <c r="D9" s="227"/>
      <c r="E9" s="200"/>
      <c r="F9" s="228">
        <v>1</v>
      </c>
      <c r="G9" s="229">
        <v>1.05</v>
      </c>
      <c r="H9" s="229">
        <v>1.06</v>
      </c>
      <c r="I9" s="229">
        <v>1.07</v>
      </c>
      <c r="J9" s="229">
        <v>1.0900000000000001</v>
      </c>
      <c r="K9" s="228">
        <v>1</v>
      </c>
      <c r="L9" s="229">
        <v>1.05</v>
      </c>
      <c r="M9" s="229">
        <v>1.06</v>
      </c>
      <c r="N9" s="229">
        <v>1.07</v>
      </c>
      <c r="O9" s="230">
        <v>1.0900000000000001</v>
      </c>
      <c r="P9" s="185"/>
      <c r="Q9" s="185"/>
      <c r="R9" s="228"/>
      <c r="S9" s="229"/>
      <c r="T9" s="229"/>
      <c r="U9" s="229"/>
      <c r="V9" s="230"/>
      <c r="W9" s="228"/>
      <c r="X9" s="229"/>
      <c r="Y9" s="229"/>
      <c r="Z9" s="229"/>
      <c r="AA9" s="230"/>
      <c r="AB9" s="200"/>
      <c r="AC9" s="200"/>
      <c r="AD9" s="226"/>
      <c r="AE9" s="227"/>
      <c r="AF9" s="227"/>
      <c r="AG9" s="227"/>
      <c r="AH9" s="231"/>
      <c r="AI9" s="200"/>
      <c r="AJ9" s="200"/>
      <c r="AK9" s="224"/>
      <c r="AO9" s="225"/>
    </row>
    <row r="10" spans="1:41">
      <c r="A10" s="61"/>
      <c r="B10" s="62"/>
      <c r="C10" s="61"/>
      <c r="E10" s="162"/>
      <c r="F10" s="63"/>
      <c r="G10" s="65"/>
      <c r="H10" s="65"/>
      <c r="I10" s="65"/>
      <c r="J10" s="65"/>
      <c r="K10" s="63"/>
      <c r="L10" s="65"/>
      <c r="M10" s="65"/>
      <c r="N10" s="65"/>
      <c r="O10" s="64"/>
      <c r="P10" s="161"/>
      <c r="Q10" s="161"/>
      <c r="R10" s="63"/>
      <c r="S10" s="65"/>
      <c r="T10" s="65"/>
      <c r="U10" s="65"/>
      <c r="V10" s="64"/>
      <c r="W10" s="63"/>
      <c r="X10" s="65"/>
      <c r="AA10" s="62"/>
      <c r="AB10" s="162"/>
      <c r="AC10" s="162"/>
      <c r="AD10" s="61"/>
      <c r="AH10" s="62"/>
      <c r="AI10" s="162"/>
      <c r="AJ10" s="162"/>
      <c r="AK10" s="61"/>
      <c r="AO10" s="62"/>
    </row>
    <row r="11" spans="1:41" s="72" customFormat="1" outlineLevel="1">
      <c r="A11" s="335" t="s">
        <v>166</v>
      </c>
      <c r="B11" s="337" t="s">
        <v>93</v>
      </c>
      <c r="C11" s="67" t="s">
        <v>116</v>
      </c>
      <c r="D11" s="72" t="s">
        <v>0</v>
      </c>
      <c r="E11" s="162"/>
      <c r="F11" s="220"/>
      <c r="G11" s="221"/>
      <c r="H11" s="221"/>
      <c r="I11" s="221"/>
      <c r="J11" s="221"/>
      <c r="K11" s="220"/>
      <c r="L11" s="221"/>
      <c r="M11" s="221"/>
      <c r="N11" s="221"/>
      <c r="O11" s="222"/>
      <c r="P11" s="161"/>
      <c r="Q11" s="161"/>
      <c r="R11" s="220"/>
      <c r="S11" s="221"/>
      <c r="T11" s="221"/>
      <c r="U11" s="221"/>
      <c r="V11" s="222"/>
      <c r="W11" s="220"/>
      <c r="X11" s="221"/>
      <c r="Y11" s="219"/>
      <c r="Z11" s="219"/>
      <c r="AA11" s="223"/>
      <c r="AB11" s="162"/>
      <c r="AC11" s="162"/>
      <c r="AD11" s="220"/>
      <c r="AE11" s="221"/>
      <c r="AF11" s="219"/>
      <c r="AG11" s="219"/>
      <c r="AH11" s="223"/>
      <c r="AI11" s="162"/>
      <c r="AJ11" s="162"/>
      <c r="AK11" s="220">
        <f t="shared" ref="AK11:AO16" si="0">F11+K11+R11+W11+AD11</f>
        <v>0</v>
      </c>
      <c r="AL11" s="221">
        <f t="shared" si="0"/>
        <v>0</v>
      </c>
      <c r="AM11" s="221">
        <f t="shared" si="0"/>
        <v>0</v>
      </c>
      <c r="AN11" s="221">
        <f t="shared" si="0"/>
        <v>0</v>
      </c>
      <c r="AO11" s="222">
        <f t="shared" si="0"/>
        <v>0</v>
      </c>
    </row>
    <row r="12" spans="1:41" s="72" customFormat="1" outlineLevel="1">
      <c r="A12" s="336"/>
      <c r="B12" s="337"/>
      <c r="C12" s="67" t="s">
        <v>167</v>
      </c>
      <c r="D12" s="233"/>
      <c r="E12" s="162"/>
      <c r="F12" s="234"/>
      <c r="G12" s="235"/>
      <c r="H12" s="221"/>
      <c r="I12" s="221"/>
      <c r="J12" s="221"/>
      <c r="K12" s="220"/>
      <c r="L12" s="221"/>
      <c r="M12" s="221"/>
      <c r="N12" s="221"/>
      <c r="O12" s="222"/>
      <c r="P12" s="161"/>
      <c r="Q12" s="161"/>
      <c r="R12" s="220"/>
      <c r="S12" s="221"/>
      <c r="T12" s="221"/>
      <c r="U12" s="221"/>
      <c r="V12" s="222"/>
      <c r="W12" s="220"/>
      <c r="X12" s="221"/>
      <c r="Y12" s="219"/>
      <c r="Z12" s="219"/>
      <c r="AA12" s="223"/>
      <c r="AB12" s="162"/>
      <c r="AC12" s="162"/>
      <c r="AD12" s="220"/>
      <c r="AE12" s="221"/>
      <c r="AF12" s="219"/>
      <c r="AG12" s="219"/>
      <c r="AH12" s="223"/>
      <c r="AI12" s="162"/>
      <c r="AJ12" s="162"/>
      <c r="AK12" s="234">
        <f t="shared" si="0"/>
        <v>0</v>
      </c>
      <c r="AL12" s="235">
        <f t="shared" si="0"/>
        <v>0</v>
      </c>
      <c r="AM12" s="236">
        <f t="shared" si="0"/>
        <v>0</v>
      </c>
      <c r="AN12" s="236">
        <f t="shared" si="0"/>
        <v>0</v>
      </c>
      <c r="AO12" s="237">
        <f t="shared" si="0"/>
        <v>0</v>
      </c>
    </row>
    <row r="13" spans="1:41" s="72" customFormat="1" outlineLevel="1">
      <c r="A13" s="336"/>
      <c r="B13" s="338" t="s">
        <v>38</v>
      </c>
      <c r="C13" s="67" t="s">
        <v>116</v>
      </c>
      <c r="D13" s="72" t="s">
        <v>0</v>
      </c>
      <c r="E13" s="162"/>
      <c r="F13" s="220">
        <v>0.1</v>
      </c>
      <c r="G13" s="221">
        <v>0.5</v>
      </c>
      <c r="H13" s="221"/>
      <c r="I13" s="221"/>
      <c r="J13" s="221"/>
      <c r="K13" s="220"/>
      <c r="L13" s="221"/>
      <c r="M13" s="221"/>
      <c r="N13" s="221"/>
      <c r="O13" s="222"/>
      <c r="P13" s="161"/>
      <c r="Q13" s="161"/>
      <c r="R13" s="220">
        <v>0.6</v>
      </c>
      <c r="S13" s="221"/>
      <c r="T13" s="221"/>
      <c r="U13" s="221"/>
      <c r="V13" s="222"/>
      <c r="W13" s="220">
        <v>0.2</v>
      </c>
      <c r="X13" s="221"/>
      <c r="Y13" s="219"/>
      <c r="Z13" s="219"/>
      <c r="AA13" s="223"/>
      <c r="AB13" s="162"/>
      <c r="AC13" s="162"/>
      <c r="AD13" s="220">
        <v>0.2</v>
      </c>
      <c r="AE13" s="221"/>
      <c r="AF13" s="219"/>
      <c r="AG13" s="219"/>
      <c r="AH13" s="223"/>
      <c r="AI13" s="162"/>
      <c r="AJ13" s="162"/>
      <c r="AK13" s="220">
        <f t="shared" si="0"/>
        <v>1.0999999999999999</v>
      </c>
      <c r="AL13" s="221">
        <f t="shared" si="0"/>
        <v>0.5</v>
      </c>
      <c r="AM13" s="221">
        <f t="shared" si="0"/>
        <v>0</v>
      </c>
      <c r="AN13" s="221">
        <f t="shared" si="0"/>
        <v>0</v>
      </c>
      <c r="AO13" s="222">
        <f t="shared" si="0"/>
        <v>0</v>
      </c>
    </row>
    <row r="14" spans="1:41" s="72" customFormat="1" outlineLevel="1">
      <c r="A14" s="336"/>
      <c r="B14" s="339"/>
      <c r="C14" s="67" t="s">
        <v>167</v>
      </c>
      <c r="D14" s="233">
        <v>550000</v>
      </c>
      <c r="E14" s="162"/>
      <c r="F14" s="238">
        <f>F13*D14</f>
        <v>55000</v>
      </c>
      <c r="G14" s="236">
        <f>G13*G8*D14</f>
        <v>283250</v>
      </c>
      <c r="H14" s="219"/>
      <c r="I14" s="219"/>
      <c r="J14" s="219"/>
      <c r="K14" s="218"/>
      <c r="L14" s="219"/>
      <c r="M14" s="219"/>
      <c r="N14" s="219"/>
      <c r="O14" s="223"/>
      <c r="P14" s="162"/>
      <c r="Q14" s="162"/>
      <c r="R14" s="238">
        <f>R13*$D14</f>
        <v>330000</v>
      </c>
      <c r="S14" s="219"/>
      <c r="T14" s="219"/>
      <c r="U14" s="219"/>
      <c r="V14" s="223"/>
      <c r="W14" s="238">
        <f>W13*$D14</f>
        <v>110000</v>
      </c>
      <c r="X14" s="221"/>
      <c r="Y14" s="219"/>
      <c r="Z14" s="219"/>
      <c r="AA14" s="223"/>
      <c r="AB14" s="162"/>
      <c r="AC14" s="162"/>
      <c r="AD14" s="238">
        <f>AD13*$D14</f>
        <v>110000</v>
      </c>
      <c r="AE14" s="221"/>
      <c r="AF14" s="219"/>
      <c r="AG14" s="219"/>
      <c r="AH14" s="223"/>
      <c r="AI14" s="162"/>
      <c r="AJ14" s="162"/>
      <c r="AK14" s="238">
        <f t="shared" si="0"/>
        <v>605000</v>
      </c>
      <c r="AL14" s="235">
        <f t="shared" si="0"/>
        <v>283250</v>
      </c>
      <c r="AM14" s="236">
        <f t="shared" si="0"/>
        <v>0</v>
      </c>
      <c r="AN14" s="236">
        <f t="shared" si="0"/>
        <v>0</v>
      </c>
      <c r="AO14" s="237">
        <f t="shared" si="0"/>
        <v>0</v>
      </c>
    </row>
    <row r="15" spans="1:41" s="72" customFormat="1" outlineLevel="1">
      <c r="A15" s="336"/>
      <c r="B15" s="338"/>
      <c r="C15" s="67" t="s">
        <v>116</v>
      </c>
      <c r="D15" s="72" t="s">
        <v>0</v>
      </c>
      <c r="E15" s="162"/>
      <c r="F15" s="238"/>
      <c r="G15" s="236"/>
      <c r="H15" s="219"/>
      <c r="I15" s="219"/>
      <c r="J15" s="219"/>
      <c r="K15" s="218"/>
      <c r="L15" s="219"/>
      <c r="M15" s="219"/>
      <c r="N15" s="219"/>
      <c r="O15" s="223"/>
      <c r="P15" s="162"/>
      <c r="Q15" s="162"/>
      <c r="R15" s="218"/>
      <c r="S15" s="219"/>
      <c r="T15" s="219"/>
      <c r="U15" s="219"/>
      <c r="V15" s="223"/>
      <c r="W15" s="218"/>
      <c r="X15" s="221"/>
      <c r="Y15" s="219"/>
      <c r="Z15" s="219"/>
      <c r="AA15" s="223"/>
      <c r="AB15" s="162"/>
      <c r="AC15" s="162"/>
      <c r="AD15" s="218"/>
      <c r="AE15" s="221"/>
      <c r="AF15" s="219"/>
      <c r="AG15" s="219"/>
      <c r="AH15" s="223"/>
      <c r="AI15" s="162"/>
      <c r="AJ15" s="162"/>
      <c r="AK15" s="220">
        <f t="shared" si="0"/>
        <v>0</v>
      </c>
      <c r="AL15" s="221">
        <f t="shared" si="0"/>
        <v>0</v>
      </c>
      <c r="AM15" s="221">
        <f t="shared" si="0"/>
        <v>0</v>
      </c>
      <c r="AN15" s="221">
        <f t="shared" si="0"/>
        <v>0</v>
      </c>
      <c r="AO15" s="222">
        <f t="shared" si="0"/>
        <v>0</v>
      </c>
    </row>
    <row r="16" spans="1:41" s="72" customFormat="1" outlineLevel="1">
      <c r="A16" s="336"/>
      <c r="B16" s="339"/>
      <c r="C16" s="67" t="s">
        <v>167</v>
      </c>
      <c r="D16" s="239"/>
      <c r="E16" s="162"/>
      <c r="F16" s="228"/>
      <c r="G16" s="229"/>
      <c r="H16" s="229"/>
      <c r="I16" s="229"/>
      <c r="J16" s="229"/>
      <c r="K16" s="228"/>
      <c r="L16" s="229"/>
      <c r="M16" s="229"/>
      <c r="N16" s="229"/>
      <c r="O16" s="230"/>
      <c r="P16" s="161"/>
      <c r="Q16" s="161"/>
      <c r="R16" s="220"/>
      <c r="S16" s="221"/>
      <c r="T16" s="221"/>
      <c r="U16" s="221"/>
      <c r="V16" s="222"/>
      <c r="W16" s="220"/>
      <c r="X16" s="221"/>
      <c r="Y16" s="219"/>
      <c r="Z16" s="219"/>
      <c r="AA16" s="223"/>
      <c r="AB16" s="162"/>
      <c r="AC16" s="162"/>
      <c r="AD16" s="220"/>
      <c r="AE16" s="221"/>
      <c r="AF16" s="219"/>
      <c r="AG16" s="219"/>
      <c r="AH16" s="223"/>
      <c r="AI16" s="162"/>
      <c r="AJ16" s="162"/>
      <c r="AK16" s="234">
        <f t="shared" si="0"/>
        <v>0</v>
      </c>
      <c r="AL16" s="235">
        <f t="shared" si="0"/>
        <v>0</v>
      </c>
      <c r="AM16" s="236">
        <f t="shared" si="0"/>
        <v>0</v>
      </c>
      <c r="AN16" s="236">
        <f t="shared" si="0"/>
        <v>0</v>
      </c>
      <c r="AO16" s="237">
        <f t="shared" si="0"/>
        <v>0</v>
      </c>
    </row>
    <row r="17" spans="1:41" s="72" customFormat="1" ht="15">
      <c r="A17" s="340" t="s">
        <v>136</v>
      </c>
      <c r="B17" s="341"/>
      <c r="C17" s="341"/>
      <c r="D17" s="341"/>
      <c r="E17" s="342"/>
      <c r="F17" s="120">
        <f>SUM(F12,F14,F16)</f>
        <v>55000</v>
      </c>
      <c r="G17" s="84">
        <f>SUM(G12,G14,G16)</f>
        <v>283250</v>
      </c>
      <c r="H17" s="84">
        <f>SUM(H12,H14,H16)</f>
        <v>0</v>
      </c>
      <c r="I17" s="84">
        <f>SUM(I12,I14,I16)</f>
        <v>0</v>
      </c>
      <c r="J17" s="84">
        <f>SUM(J12,J14,J16)</f>
        <v>0</v>
      </c>
      <c r="K17" s="84"/>
      <c r="L17" s="84"/>
      <c r="M17" s="84"/>
      <c r="N17" s="84"/>
      <c r="O17" s="84"/>
      <c r="P17" s="163"/>
      <c r="Q17" s="163"/>
      <c r="R17" s="84">
        <f t="shared" ref="R17:AA17" si="1">SUM(R11:R16)</f>
        <v>330000.59999999998</v>
      </c>
      <c r="S17" s="84">
        <f t="shared" si="1"/>
        <v>0</v>
      </c>
      <c r="T17" s="84">
        <f t="shared" si="1"/>
        <v>0</v>
      </c>
      <c r="U17" s="84">
        <f t="shared" si="1"/>
        <v>0</v>
      </c>
      <c r="V17" s="84">
        <f t="shared" si="1"/>
        <v>0</v>
      </c>
      <c r="W17" s="84">
        <f t="shared" si="1"/>
        <v>110000.2</v>
      </c>
      <c r="X17" s="84">
        <f t="shared" si="1"/>
        <v>0</v>
      </c>
      <c r="Y17" s="84">
        <f t="shared" si="1"/>
        <v>0</v>
      </c>
      <c r="Z17" s="84">
        <f t="shared" si="1"/>
        <v>0</v>
      </c>
      <c r="AA17" s="84">
        <f t="shared" si="1"/>
        <v>0</v>
      </c>
      <c r="AB17" s="162"/>
      <c r="AC17" s="162"/>
      <c r="AD17" s="84">
        <f>SUM(AD11:AD16)</f>
        <v>110000.2</v>
      </c>
      <c r="AE17" s="84">
        <f>SUM(AE11:AE16)</f>
        <v>0</v>
      </c>
      <c r="AF17" s="84">
        <f>SUM(AF11:AF16)</f>
        <v>0</v>
      </c>
      <c r="AG17" s="84">
        <f>SUM(AG11:AG16)</f>
        <v>0</v>
      </c>
      <c r="AH17" s="84">
        <f>SUM(AH11:AH16)</f>
        <v>0</v>
      </c>
      <c r="AI17" s="162"/>
      <c r="AJ17" s="162"/>
      <c r="AK17" s="84">
        <f>SUM(AK11:AK16)</f>
        <v>605001.1</v>
      </c>
      <c r="AL17" s="84">
        <f>SUM(AL11:AL16)</f>
        <v>283250.5</v>
      </c>
      <c r="AM17" s="84">
        <f>SUM(AM11:AM16)</f>
        <v>0</v>
      </c>
      <c r="AN17" s="84">
        <f>SUM(AN11:AN16)</f>
        <v>0</v>
      </c>
      <c r="AO17" s="240">
        <f>SUM(AO11:AO16)</f>
        <v>0</v>
      </c>
    </row>
    <row r="18" spans="1:41">
      <c r="E18" s="162"/>
      <c r="F18" s="61"/>
      <c r="K18" s="61"/>
      <c r="O18" s="62"/>
      <c r="P18" s="162"/>
      <c r="Q18" s="162"/>
      <c r="R18" s="61"/>
      <c r="V18" s="62"/>
      <c r="W18" s="61"/>
      <c r="AA18" s="62"/>
      <c r="AB18" s="162"/>
      <c r="AC18" s="162"/>
      <c r="AD18" s="61"/>
      <c r="AH18" s="62"/>
      <c r="AI18" s="162"/>
      <c r="AJ18" s="162"/>
      <c r="AK18" s="61"/>
      <c r="AO18" s="62"/>
    </row>
    <row r="19" spans="1:41" s="88" customFormat="1" outlineLevel="1">
      <c r="A19" s="355" t="s">
        <v>168</v>
      </c>
      <c r="B19" s="166" t="s">
        <v>169</v>
      </c>
      <c r="D19" s="89" t="s">
        <v>110</v>
      </c>
      <c r="E19" s="162"/>
      <c r="F19" s="234">
        <v>1000</v>
      </c>
      <c r="G19" s="241" t="s">
        <v>170</v>
      </c>
      <c r="H19" s="241" t="s">
        <v>170</v>
      </c>
      <c r="I19" s="241" t="s">
        <v>170</v>
      </c>
      <c r="J19" s="242" t="s">
        <v>170</v>
      </c>
      <c r="K19" s="234">
        <v>1000</v>
      </c>
      <c r="L19" s="241" t="s">
        <v>170</v>
      </c>
      <c r="M19" s="241" t="s">
        <v>170</v>
      </c>
      <c r="N19" s="241" t="s">
        <v>170</v>
      </c>
      <c r="O19" s="242" t="s">
        <v>170</v>
      </c>
      <c r="P19" s="162"/>
      <c r="Q19" s="162"/>
      <c r="R19" s="234">
        <v>1000</v>
      </c>
      <c r="S19" s="241" t="s">
        <v>170</v>
      </c>
      <c r="T19" s="241" t="s">
        <v>170</v>
      </c>
      <c r="U19" s="241" t="s">
        <v>170</v>
      </c>
      <c r="V19" s="242" t="s">
        <v>170</v>
      </c>
      <c r="W19" s="234">
        <v>1000</v>
      </c>
      <c r="X19" s="241" t="s">
        <v>170</v>
      </c>
      <c r="Y19" s="241" t="s">
        <v>170</v>
      </c>
      <c r="Z19" s="241" t="s">
        <v>170</v>
      </c>
      <c r="AA19" s="242" t="s">
        <v>170</v>
      </c>
      <c r="AB19" s="162"/>
      <c r="AC19" s="162"/>
      <c r="AD19" s="234">
        <v>1000</v>
      </c>
      <c r="AE19" s="241" t="s">
        <v>170</v>
      </c>
      <c r="AF19" s="241" t="s">
        <v>170</v>
      </c>
      <c r="AG19" s="241" t="s">
        <v>170</v>
      </c>
      <c r="AH19" s="242" t="s">
        <v>170</v>
      </c>
      <c r="AI19" s="162"/>
      <c r="AJ19" s="162"/>
      <c r="AK19" s="243">
        <f>SUM(F19,K19,R19,W19,AD19)</f>
        <v>5000</v>
      </c>
      <c r="AL19" s="241" t="s">
        <v>170</v>
      </c>
      <c r="AM19" s="241" t="s">
        <v>170</v>
      </c>
      <c r="AN19" s="241" t="s">
        <v>170</v>
      </c>
      <c r="AO19" s="242" t="s">
        <v>170</v>
      </c>
    </row>
    <row r="20" spans="1:41" s="88" customFormat="1" outlineLevel="1">
      <c r="A20" s="356"/>
      <c r="B20" s="244" t="s">
        <v>171</v>
      </c>
      <c r="D20" s="89" t="s">
        <v>110</v>
      </c>
      <c r="E20" s="162"/>
      <c r="F20" s="234"/>
      <c r="G20" s="241" t="s">
        <v>170</v>
      </c>
      <c r="H20" s="241" t="s">
        <v>170</v>
      </c>
      <c r="I20" s="241" t="s">
        <v>170</v>
      </c>
      <c r="J20" s="242" t="s">
        <v>170</v>
      </c>
      <c r="K20" s="234"/>
      <c r="L20" s="241" t="s">
        <v>170</v>
      </c>
      <c r="M20" s="241" t="s">
        <v>170</v>
      </c>
      <c r="N20" s="241" t="s">
        <v>170</v>
      </c>
      <c r="O20" s="242" t="s">
        <v>170</v>
      </c>
      <c r="P20" s="162"/>
      <c r="Q20" s="162"/>
      <c r="R20" s="234"/>
      <c r="S20" s="241" t="s">
        <v>170</v>
      </c>
      <c r="T20" s="241" t="s">
        <v>170</v>
      </c>
      <c r="U20" s="241" t="s">
        <v>170</v>
      </c>
      <c r="V20" s="242" t="s">
        <v>170</v>
      </c>
      <c r="W20" s="234"/>
      <c r="X20" s="241" t="s">
        <v>170</v>
      </c>
      <c r="Y20" s="241" t="s">
        <v>170</v>
      </c>
      <c r="Z20" s="241" t="s">
        <v>170</v>
      </c>
      <c r="AA20" s="242" t="s">
        <v>170</v>
      </c>
      <c r="AB20" s="162"/>
      <c r="AC20" s="162"/>
      <c r="AD20" s="234"/>
      <c r="AE20" s="241" t="s">
        <v>170</v>
      </c>
      <c r="AF20" s="241" t="s">
        <v>170</v>
      </c>
      <c r="AG20" s="241" t="s">
        <v>170</v>
      </c>
      <c r="AH20" s="242" t="s">
        <v>170</v>
      </c>
      <c r="AI20" s="162"/>
      <c r="AJ20" s="162"/>
      <c r="AK20" s="243">
        <f>SUM(F20,K20,R20,W20,AD20)</f>
        <v>0</v>
      </c>
      <c r="AL20" s="241" t="s">
        <v>170</v>
      </c>
      <c r="AM20" s="241" t="s">
        <v>170</v>
      </c>
      <c r="AN20" s="241" t="s">
        <v>170</v>
      </c>
      <c r="AO20" s="242" t="s">
        <v>170</v>
      </c>
    </row>
    <row r="21" spans="1:41" s="88" customFormat="1" outlineLevel="1">
      <c r="A21" s="356"/>
      <c r="B21" s="244" t="s">
        <v>172</v>
      </c>
      <c r="D21" s="89" t="s">
        <v>110</v>
      </c>
      <c r="E21" s="162"/>
      <c r="F21" s="234"/>
      <c r="G21" s="241" t="s">
        <v>170</v>
      </c>
      <c r="H21" s="241" t="s">
        <v>170</v>
      </c>
      <c r="I21" s="241" t="s">
        <v>170</v>
      </c>
      <c r="J21" s="242" t="s">
        <v>170</v>
      </c>
      <c r="K21" s="234"/>
      <c r="L21" s="241" t="s">
        <v>170</v>
      </c>
      <c r="M21" s="241" t="s">
        <v>170</v>
      </c>
      <c r="N21" s="241" t="s">
        <v>170</v>
      </c>
      <c r="O21" s="242" t="s">
        <v>170</v>
      </c>
      <c r="P21" s="162"/>
      <c r="Q21" s="162"/>
      <c r="R21" s="234"/>
      <c r="S21" s="241" t="s">
        <v>170</v>
      </c>
      <c r="T21" s="241" t="s">
        <v>170</v>
      </c>
      <c r="U21" s="241" t="s">
        <v>170</v>
      </c>
      <c r="V21" s="242" t="s">
        <v>170</v>
      </c>
      <c r="W21" s="234"/>
      <c r="X21" s="241" t="s">
        <v>170</v>
      </c>
      <c r="Y21" s="241" t="s">
        <v>170</v>
      </c>
      <c r="Z21" s="241" t="s">
        <v>170</v>
      </c>
      <c r="AA21" s="242" t="s">
        <v>170</v>
      </c>
      <c r="AB21" s="162"/>
      <c r="AC21" s="162"/>
      <c r="AD21" s="234"/>
      <c r="AE21" s="241" t="s">
        <v>170</v>
      </c>
      <c r="AF21" s="241" t="s">
        <v>170</v>
      </c>
      <c r="AG21" s="241" t="s">
        <v>170</v>
      </c>
      <c r="AH21" s="242" t="s">
        <v>170</v>
      </c>
      <c r="AI21" s="162"/>
      <c r="AJ21" s="162"/>
      <c r="AK21" s="243">
        <f>SUM(F21,K21,R21,W21,AD21)</f>
        <v>0</v>
      </c>
      <c r="AL21" s="241" t="s">
        <v>170</v>
      </c>
      <c r="AM21" s="241" t="s">
        <v>170</v>
      </c>
      <c r="AN21" s="241" t="s">
        <v>170</v>
      </c>
      <c r="AO21" s="242" t="s">
        <v>170</v>
      </c>
    </row>
    <row r="22" spans="1:41" s="88" customFormat="1" outlineLevel="1">
      <c r="A22" s="355" t="s">
        <v>173</v>
      </c>
      <c r="B22" s="166" t="s">
        <v>169</v>
      </c>
      <c r="D22" s="89" t="s">
        <v>110</v>
      </c>
      <c r="E22" s="162"/>
      <c r="F22" s="243" t="s">
        <v>170</v>
      </c>
      <c r="G22" s="235"/>
      <c r="H22" s="241" t="s">
        <v>170</v>
      </c>
      <c r="I22" s="241" t="s">
        <v>170</v>
      </c>
      <c r="J22" s="242" t="s">
        <v>170</v>
      </c>
      <c r="K22" s="243" t="s">
        <v>170</v>
      </c>
      <c r="L22" s="235"/>
      <c r="M22" s="241" t="s">
        <v>170</v>
      </c>
      <c r="N22" s="241" t="s">
        <v>170</v>
      </c>
      <c r="O22" s="242" t="s">
        <v>170</v>
      </c>
      <c r="P22" s="162"/>
      <c r="Q22" s="162"/>
      <c r="R22" s="243" t="s">
        <v>170</v>
      </c>
      <c r="S22" s="235"/>
      <c r="T22" s="241" t="s">
        <v>170</v>
      </c>
      <c r="U22" s="241" t="s">
        <v>170</v>
      </c>
      <c r="V22" s="242" t="s">
        <v>170</v>
      </c>
      <c r="W22" s="243" t="s">
        <v>170</v>
      </c>
      <c r="X22" s="235"/>
      <c r="Y22" s="241" t="s">
        <v>170</v>
      </c>
      <c r="Z22" s="241" t="s">
        <v>170</v>
      </c>
      <c r="AA22" s="242" t="s">
        <v>170</v>
      </c>
      <c r="AB22" s="162"/>
      <c r="AC22" s="162"/>
      <c r="AD22" s="243" t="s">
        <v>170</v>
      </c>
      <c r="AE22" s="235"/>
      <c r="AF22" s="241" t="s">
        <v>170</v>
      </c>
      <c r="AG22" s="241" t="s">
        <v>170</v>
      </c>
      <c r="AH22" s="242" t="s">
        <v>170</v>
      </c>
      <c r="AI22" s="162"/>
      <c r="AJ22" s="162"/>
      <c r="AK22" s="243" t="s">
        <v>170</v>
      </c>
      <c r="AL22" s="241">
        <f>SUM(G22,L22,S22,X22,AE22)</f>
        <v>0</v>
      </c>
      <c r="AM22" s="241" t="s">
        <v>170</v>
      </c>
      <c r="AN22" s="241" t="s">
        <v>170</v>
      </c>
      <c r="AO22" s="242" t="s">
        <v>170</v>
      </c>
    </row>
    <row r="23" spans="1:41" s="88" customFormat="1" outlineLevel="1">
      <c r="A23" s="356"/>
      <c r="B23" s="244" t="s">
        <v>171</v>
      </c>
      <c r="D23" s="89" t="s">
        <v>110</v>
      </c>
      <c r="E23" s="162"/>
      <c r="F23" s="243" t="s">
        <v>170</v>
      </c>
      <c r="G23" s="235"/>
      <c r="H23" s="241" t="s">
        <v>170</v>
      </c>
      <c r="I23" s="241" t="s">
        <v>170</v>
      </c>
      <c r="J23" s="242" t="s">
        <v>170</v>
      </c>
      <c r="K23" s="243" t="s">
        <v>170</v>
      </c>
      <c r="L23" s="235"/>
      <c r="M23" s="241" t="s">
        <v>170</v>
      </c>
      <c r="N23" s="241" t="s">
        <v>170</v>
      </c>
      <c r="O23" s="242" t="s">
        <v>170</v>
      </c>
      <c r="P23" s="162"/>
      <c r="Q23" s="162"/>
      <c r="R23" s="243" t="s">
        <v>170</v>
      </c>
      <c r="S23" s="235"/>
      <c r="T23" s="241" t="s">
        <v>170</v>
      </c>
      <c r="U23" s="241" t="s">
        <v>170</v>
      </c>
      <c r="V23" s="242" t="s">
        <v>170</v>
      </c>
      <c r="W23" s="243" t="s">
        <v>170</v>
      </c>
      <c r="X23" s="235"/>
      <c r="Y23" s="241" t="s">
        <v>170</v>
      </c>
      <c r="Z23" s="241" t="s">
        <v>170</v>
      </c>
      <c r="AA23" s="242" t="s">
        <v>170</v>
      </c>
      <c r="AB23" s="162"/>
      <c r="AC23" s="162"/>
      <c r="AD23" s="243" t="s">
        <v>170</v>
      </c>
      <c r="AE23" s="235"/>
      <c r="AF23" s="241" t="s">
        <v>170</v>
      </c>
      <c r="AG23" s="241" t="s">
        <v>170</v>
      </c>
      <c r="AH23" s="242" t="s">
        <v>170</v>
      </c>
      <c r="AI23" s="162"/>
      <c r="AJ23" s="162"/>
      <c r="AK23" s="243" t="s">
        <v>170</v>
      </c>
      <c r="AL23" s="241">
        <f>SUM(G23,L23,S23,X23,AE23)</f>
        <v>0</v>
      </c>
      <c r="AM23" s="241" t="s">
        <v>170</v>
      </c>
      <c r="AN23" s="241" t="s">
        <v>170</v>
      </c>
      <c r="AO23" s="242" t="s">
        <v>170</v>
      </c>
    </row>
    <row r="24" spans="1:41" s="88" customFormat="1" outlineLevel="1">
      <c r="A24" s="356"/>
      <c r="B24" s="244" t="s">
        <v>172</v>
      </c>
      <c r="D24" s="89" t="s">
        <v>110</v>
      </c>
      <c r="E24" s="162"/>
      <c r="F24" s="243" t="s">
        <v>170</v>
      </c>
      <c r="G24" s="235"/>
      <c r="H24" s="241" t="s">
        <v>170</v>
      </c>
      <c r="I24" s="241" t="s">
        <v>170</v>
      </c>
      <c r="J24" s="242" t="s">
        <v>170</v>
      </c>
      <c r="K24" s="243" t="s">
        <v>170</v>
      </c>
      <c r="L24" s="235"/>
      <c r="M24" s="241" t="s">
        <v>170</v>
      </c>
      <c r="N24" s="241" t="s">
        <v>170</v>
      </c>
      <c r="O24" s="242" t="s">
        <v>170</v>
      </c>
      <c r="P24" s="162"/>
      <c r="Q24" s="162"/>
      <c r="R24" s="243" t="s">
        <v>170</v>
      </c>
      <c r="S24" s="235"/>
      <c r="T24" s="241" t="s">
        <v>170</v>
      </c>
      <c r="U24" s="241" t="s">
        <v>170</v>
      </c>
      <c r="V24" s="242" t="s">
        <v>170</v>
      </c>
      <c r="W24" s="243" t="s">
        <v>170</v>
      </c>
      <c r="X24" s="235"/>
      <c r="Y24" s="241" t="s">
        <v>170</v>
      </c>
      <c r="Z24" s="241" t="s">
        <v>170</v>
      </c>
      <c r="AA24" s="242" t="s">
        <v>170</v>
      </c>
      <c r="AB24" s="162"/>
      <c r="AC24" s="162"/>
      <c r="AD24" s="243" t="s">
        <v>170</v>
      </c>
      <c r="AE24" s="235"/>
      <c r="AF24" s="241" t="s">
        <v>170</v>
      </c>
      <c r="AG24" s="241" t="s">
        <v>170</v>
      </c>
      <c r="AH24" s="242" t="s">
        <v>170</v>
      </c>
      <c r="AI24" s="162"/>
      <c r="AJ24" s="162"/>
      <c r="AK24" s="243" t="s">
        <v>170</v>
      </c>
      <c r="AL24" s="241">
        <f>SUM(G24,L24,S24,X24,AE24)</f>
        <v>0</v>
      </c>
      <c r="AM24" s="241" t="s">
        <v>170</v>
      </c>
      <c r="AN24" s="241" t="s">
        <v>170</v>
      </c>
      <c r="AO24" s="242" t="s">
        <v>170</v>
      </c>
    </row>
    <row r="25" spans="1:41" s="88" customFormat="1" outlineLevel="1">
      <c r="A25" s="355" t="s">
        <v>174</v>
      </c>
      <c r="B25" s="166" t="s">
        <v>169</v>
      </c>
      <c r="D25" s="89" t="s">
        <v>110</v>
      </c>
      <c r="E25" s="162"/>
      <c r="F25" s="243" t="s">
        <v>170</v>
      </c>
      <c r="G25" s="241" t="s">
        <v>170</v>
      </c>
      <c r="H25" s="235"/>
      <c r="I25" s="241" t="s">
        <v>170</v>
      </c>
      <c r="J25" s="242" t="s">
        <v>170</v>
      </c>
      <c r="K25" s="243" t="s">
        <v>170</v>
      </c>
      <c r="L25" s="241" t="s">
        <v>170</v>
      </c>
      <c r="M25" s="235"/>
      <c r="N25" s="241" t="s">
        <v>170</v>
      </c>
      <c r="O25" s="242" t="s">
        <v>170</v>
      </c>
      <c r="P25" s="162"/>
      <c r="Q25" s="162"/>
      <c r="R25" s="243" t="s">
        <v>170</v>
      </c>
      <c r="S25" s="241" t="s">
        <v>170</v>
      </c>
      <c r="T25" s="235"/>
      <c r="U25" s="241" t="s">
        <v>170</v>
      </c>
      <c r="V25" s="242" t="s">
        <v>170</v>
      </c>
      <c r="W25" s="243" t="s">
        <v>170</v>
      </c>
      <c r="X25" s="241" t="s">
        <v>170</v>
      </c>
      <c r="Y25" s="235"/>
      <c r="Z25" s="241" t="s">
        <v>170</v>
      </c>
      <c r="AA25" s="242" t="s">
        <v>170</v>
      </c>
      <c r="AB25" s="162"/>
      <c r="AC25" s="162"/>
      <c r="AD25" s="243" t="s">
        <v>170</v>
      </c>
      <c r="AE25" s="241" t="s">
        <v>170</v>
      </c>
      <c r="AF25" s="235"/>
      <c r="AG25" s="241" t="s">
        <v>170</v>
      </c>
      <c r="AH25" s="242" t="s">
        <v>170</v>
      </c>
      <c r="AI25" s="162"/>
      <c r="AJ25" s="162"/>
      <c r="AK25" s="243" t="s">
        <v>170</v>
      </c>
      <c r="AL25" s="241" t="s">
        <v>170</v>
      </c>
      <c r="AM25" s="241">
        <f>SUM(H25,M25,T25,Y25,AF25)</f>
        <v>0</v>
      </c>
      <c r="AN25" s="241" t="s">
        <v>170</v>
      </c>
      <c r="AO25" s="242" t="s">
        <v>170</v>
      </c>
    </row>
    <row r="26" spans="1:41" s="88" customFormat="1" outlineLevel="1">
      <c r="A26" s="356"/>
      <c r="B26" s="244" t="s">
        <v>171</v>
      </c>
      <c r="D26" s="89" t="s">
        <v>110</v>
      </c>
      <c r="E26" s="162"/>
      <c r="F26" s="243" t="s">
        <v>170</v>
      </c>
      <c r="G26" s="241" t="s">
        <v>170</v>
      </c>
      <c r="H26" s="235"/>
      <c r="I26" s="241" t="s">
        <v>170</v>
      </c>
      <c r="J26" s="242" t="s">
        <v>170</v>
      </c>
      <c r="K26" s="243" t="s">
        <v>170</v>
      </c>
      <c r="L26" s="241" t="s">
        <v>170</v>
      </c>
      <c r="M26" s="235"/>
      <c r="N26" s="241" t="s">
        <v>170</v>
      </c>
      <c r="O26" s="242" t="s">
        <v>170</v>
      </c>
      <c r="P26" s="162"/>
      <c r="Q26" s="162"/>
      <c r="R26" s="243" t="s">
        <v>170</v>
      </c>
      <c r="S26" s="241" t="s">
        <v>170</v>
      </c>
      <c r="T26" s="235"/>
      <c r="U26" s="241" t="s">
        <v>170</v>
      </c>
      <c r="V26" s="242" t="s">
        <v>170</v>
      </c>
      <c r="W26" s="243" t="s">
        <v>170</v>
      </c>
      <c r="X26" s="241" t="s">
        <v>170</v>
      </c>
      <c r="Y26" s="235"/>
      <c r="Z26" s="241" t="s">
        <v>170</v>
      </c>
      <c r="AA26" s="242" t="s">
        <v>170</v>
      </c>
      <c r="AB26" s="162"/>
      <c r="AC26" s="162"/>
      <c r="AD26" s="243" t="s">
        <v>170</v>
      </c>
      <c r="AE26" s="241" t="s">
        <v>170</v>
      </c>
      <c r="AF26" s="235"/>
      <c r="AG26" s="241" t="s">
        <v>170</v>
      </c>
      <c r="AH26" s="242" t="s">
        <v>170</v>
      </c>
      <c r="AI26" s="162"/>
      <c r="AJ26" s="162"/>
      <c r="AK26" s="243" t="s">
        <v>170</v>
      </c>
      <c r="AL26" s="241" t="s">
        <v>170</v>
      </c>
      <c r="AM26" s="241">
        <f>SUM(H26,M26,T26,Y26,AF26)</f>
        <v>0</v>
      </c>
      <c r="AN26" s="241" t="s">
        <v>170</v>
      </c>
      <c r="AO26" s="242" t="s">
        <v>170</v>
      </c>
    </row>
    <row r="27" spans="1:41" s="88" customFormat="1" outlineLevel="1">
      <c r="A27" s="356"/>
      <c r="B27" s="244" t="s">
        <v>172</v>
      </c>
      <c r="D27" s="89" t="s">
        <v>110</v>
      </c>
      <c r="E27" s="162"/>
      <c r="F27" s="243" t="s">
        <v>170</v>
      </c>
      <c r="G27" s="241" t="s">
        <v>170</v>
      </c>
      <c r="H27" s="235"/>
      <c r="I27" s="241" t="s">
        <v>170</v>
      </c>
      <c r="J27" s="242" t="s">
        <v>170</v>
      </c>
      <c r="K27" s="243" t="s">
        <v>170</v>
      </c>
      <c r="L27" s="241" t="s">
        <v>170</v>
      </c>
      <c r="M27" s="235"/>
      <c r="N27" s="241" t="s">
        <v>170</v>
      </c>
      <c r="O27" s="242" t="s">
        <v>170</v>
      </c>
      <c r="P27" s="162"/>
      <c r="Q27" s="162"/>
      <c r="R27" s="243" t="s">
        <v>170</v>
      </c>
      <c r="S27" s="241" t="s">
        <v>170</v>
      </c>
      <c r="T27" s="235"/>
      <c r="U27" s="241" t="s">
        <v>170</v>
      </c>
      <c r="V27" s="242" t="s">
        <v>170</v>
      </c>
      <c r="W27" s="243" t="s">
        <v>170</v>
      </c>
      <c r="X27" s="241" t="s">
        <v>170</v>
      </c>
      <c r="Y27" s="235"/>
      <c r="Z27" s="241" t="s">
        <v>170</v>
      </c>
      <c r="AA27" s="242" t="s">
        <v>170</v>
      </c>
      <c r="AB27" s="162"/>
      <c r="AC27" s="162"/>
      <c r="AD27" s="243" t="s">
        <v>170</v>
      </c>
      <c r="AE27" s="241" t="s">
        <v>170</v>
      </c>
      <c r="AF27" s="235"/>
      <c r="AG27" s="241" t="s">
        <v>170</v>
      </c>
      <c r="AH27" s="242" t="s">
        <v>170</v>
      </c>
      <c r="AI27" s="162"/>
      <c r="AJ27" s="162"/>
      <c r="AK27" s="243" t="s">
        <v>170</v>
      </c>
      <c r="AL27" s="241" t="s">
        <v>170</v>
      </c>
      <c r="AM27" s="241">
        <f>SUM(H27,M27,T27,Y27,AF27)</f>
        <v>0</v>
      </c>
      <c r="AN27" s="241" t="s">
        <v>170</v>
      </c>
      <c r="AO27" s="242" t="s">
        <v>170</v>
      </c>
    </row>
    <row r="28" spans="1:41" s="88" customFormat="1" outlineLevel="1">
      <c r="A28" s="355" t="s">
        <v>175</v>
      </c>
      <c r="B28" s="166" t="s">
        <v>169</v>
      </c>
      <c r="D28" s="89" t="s">
        <v>110</v>
      </c>
      <c r="E28" s="162"/>
      <c r="F28" s="243" t="s">
        <v>170</v>
      </c>
      <c r="G28" s="241" t="s">
        <v>170</v>
      </c>
      <c r="H28" s="241" t="s">
        <v>170</v>
      </c>
      <c r="I28" s="235"/>
      <c r="J28" s="242" t="s">
        <v>170</v>
      </c>
      <c r="K28" s="243" t="s">
        <v>170</v>
      </c>
      <c r="L28" s="241" t="s">
        <v>170</v>
      </c>
      <c r="M28" s="241" t="s">
        <v>170</v>
      </c>
      <c r="N28" s="235"/>
      <c r="O28" s="242" t="s">
        <v>170</v>
      </c>
      <c r="P28" s="162"/>
      <c r="Q28" s="162"/>
      <c r="R28" s="243" t="s">
        <v>170</v>
      </c>
      <c r="S28" s="241" t="s">
        <v>170</v>
      </c>
      <c r="T28" s="241" t="s">
        <v>170</v>
      </c>
      <c r="U28" s="235"/>
      <c r="V28" s="242" t="s">
        <v>170</v>
      </c>
      <c r="W28" s="243" t="s">
        <v>170</v>
      </c>
      <c r="X28" s="241" t="s">
        <v>170</v>
      </c>
      <c r="Y28" s="241" t="s">
        <v>170</v>
      </c>
      <c r="Z28" s="235"/>
      <c r="AA28" s="242" t="s">
        <v>170</v>
      </c>
      <c r="AB28" s="162"/>
      <c r="AC28" s="162"/>
      <c r="AD28" s="243" t="s">
        <v>170</v>
      </c>
      <c r="AE28" s="241" t="s">
        <v>170</v>
      </c>
      <c r="AF28" s="241" t="s">
        <v>170</v>
      </c>
      <c r="AG28" s="235"/>
      <c r="AH28" s="242" t="s">
        <v>170</v>
      </c>
      <c r="AI28" s="162"/>
      <c r="AJ28" s="162"/>
      <c r="AK28" s="243" t="s">
        <v>170</v>
      </c>
      <c r="AL28" s="241" t="s">
        <v>170</v>
      </c>
      <c r="AM28" s="241" t="s">
        <v>170</v>
      </c>
      <c r="AN28" s="241">
        <f>SUM(I28,N28,U28,Z28,AG28)</f>
        <v>0</v>
      </c>
      <c r="AO28" s="242" t="s">
        <v>170</v>
      </c>
    </row>
    <row r="29" spans="1:41" s="88" customFormat="1" outlineLevel="1">
      <c r="A29" s="356"/>
      <c r="B29" s="244" t="s">
        <v>171</v>
      </c>
      <c r="D29" s="89" t="s">
        <v>110</v>
      </c>
      <c r="E29" s="162"/>
      <c r="F29" s="243" t="s">
        <v>170</v>
      </c>
      <c r="G29" s="241" t="s">
        <v>170</v>
      </c>
      <c r="H29" s="241" t="s">
        <v>170</v>
      </c>
      <c r="I29" s="235"/>
      <c r="J29" s="242" t="s">
        <v>170</v>
      </c>
      <c r="K29" s="243" t="s">
        <v>170</v>
      </c>
      <c r="L29" s="241" t="s">
        <v>170</v>
      </c>
      <c r="M29" s="241" t="s">
        <v>170</v>
      </c>
      <c r="N29" s="235"/>
      <c r="O29" s="242" t="s">
        <v>170</v>
      </c>
      <c r="P29" s="162"/>
      <c r="Q29" s="162"/>
      <c r="R29" s="243" t="s">
        <v>170</v>
      </c>
      <c r="S29" s="241" t="s">
        <v>170</v>
      </c>
      <c r="T29" s="241" t="s">
        <v>170</v>
      </c>
      <c r="U29" s="235"/>
      <c r="V29" s="242" t="s">
        <v>170</v>
      </c>
      <c r="W29" s="243" t="s">
        <v>170</v>
      </c>
      <c r="X29" s="241" t="s">
        <v>170</v>
      </c>
      <c r="Y29" s="241" t="s">
        <v>170</v>
      </c>
      <c r="Z29" s="235"/>
      <c r="AA29" s="242" t="s">
        <v>170</v>
      </c>
      <c r="AB29" s="162"/>
      <c r="AC29" s="162"/>
      <c r="AD29" s="243" t="s">
        <v>170</v>
      </c>
      <c r="AE29" s="241" t="s">
        <v>170</v>
      </c>
      <c r="AF29" s="241" t="s">
        <v>170</v>
      </c>
      <c r="AG29" s="235"/>
      <c r="AH29" s="242" t="s">
        <v>170</v>
      </c>
      <c r="AI29" s="162"/>
      <c r="AJ29" s="162"/>
      <c r="AK29" s="243" t="s">
        <v>170</v>
      </c>
      <c r="AL29" s="241" t="s">
        <v>170</v>
      </c>
      <c r="AM29" s="241" t="s">
        <v>170</v>
      </c>
      <c r="AN29" s="241">
        <f>SUM(I29,N29,U29,Z29,AG29)</f>
        <v>0</v>
      </c>
      <c r="AO29" s="242" t="s">
        <v>170</v>
      </c>
    </row>
    <row r="30" spans="1:41" s="88" customFormat="1" outlineLevel="1">
      <c r="A30" s="356"/>
      <c r="B30" s="244" t="s">
        <v>172</v>
      </c>
      <c r="D30" s="89" t="s">
        <v>110</v>
      </c>
      <c r="E30" s="162"/>
      <c r="F30" s="243" t="s">
        <v>170</v>
      </c>
      <c r="G30" s="241" t="s">
        <v>170</v>
      </c>
      <c r="H30" s="241" t="s">
        <v>170</v>
      </c>
      <c r="I30" s="235"/>
      <c r="J30" s="242" t="s">
        <v>170</v>
      </c>
      <c r="K30" s="243" t="s">
        <v>170</v>
      </c>
      <c r="L30" s="241" t="s">
        <v>170</v>
      </c>
      <c r="M30" s="241" t="s">
        <v>170</v>
      </c>
      <c r="N30" s="235"/>
      <c r="O30" s="242" t="s">
        <v>170</v>
      </c>
      <c r="P30" s="162"/>
      <c r="Q30" s="162"/>
      <c r="R30" s="243" t="s">
        <v>170</v>
      </c>
      <c r="S30" s="241" t="s">
        <v>170</v>
      </c>
      <c r="T30" s="241" t="s">
        <v>170</v>
      </c>
      <c r="U30" s="235"/>
      <c r="V30" s="242" t="s">
        <v>170</v>
      </c>
      <c r="W30" s="243" t="s">
        <v>170</v>
      </c>
      <c r="X30" s="241" t="s">
        <v>170</v>
      </c>
      <c r="Y30" s="241" t="s">
        <v>170</v>
      </c>
      <c r="Z30" s="235"/>
      <c r="AA30" s="242" t="s">
        <v>170</v>
      </c>
      <c r="AB30" s="162"/>
      <c r="AC30" s="162"/>
      <c r="AD30" s="243" t="s">
        <v>170</v>
      </c>
      <c r="AE30" s="241" t="s">
        <v>170</v>
      </c>
      <c r="AF30" s="241" t="s">
        <v>170</v>
      </c>
      <c r="AG30" s="235"/>
      <c r="AH30" s="242" t="s">
        <v>170</v>
      </c>
      <c r="AI30" s="162"/>
      <c r="AJ30" s="162"/>
      <c r="AK30" s="243" t="s">
        <v>170</v>
      </c>
      <c r="AL30" s="241" t="s">
        <v>170</v>
      </c>
      <c r="AM30" s="241" t="s">
        <v>170</v>
      </c>
      <c r="AN30" s="241">
        <f>SUM(I30,N30,U30,Z30,AG30)</f>
        <v>0</v>
      </c>
      <c r="AO30" s="242" t="s">
        <v>170</v>
      </c>
    </row>
    <row r="31" spans="1:41" s="88" customFormat="1" outlineLevel="1">
      <c r="A31" s="355" t="s">
        <v>176</v>
      </c>
      <c r="B31" s="166" t="s">
        <v>169</v>
      </c>
      <c r="D31" s="89" t="s">
        <v>110</v>
      </c>
      <c r="E31" s="162"/>
      <c r="F31" s="243" t="s">
        <v>170</v>
      </c>
      <c r="G31" s="241" t="s">
        <v>170</v>
      </c>
      <c r="H31" s="241" t="s">
        <v>170</v>
      </c>
      <c r="I31" s="241" t="s">
        <v>170</v>
      </c>
      <c r="J31" s="245"/>
      <c r="K31" s="243" t="s">
        <v>170</v>
      </c>
      <c r="L31" s="241" t="s">
        <v>170</v>
      </c>
      <c r="M31" s="241" t="s">
        <v>170</v>
      </c>
      <c r="N31" s="241" t="s">
        <v>170</v>
      </c>
      <c r="O31" s="245"/>
      <c r="P31" s="162"/>
      <c r="Q31" s="162"/>
      <c r="R31" s="243" t="s">
        <v>170</v>
      </c>
      <c r="S31" s="241" t="s">
        <v>170</v>
      </c>
      <c r="T31" s="241" t="s">
        <v>170</v>
      </c>
      <c r="U31" s="241" t="s">
        <v>170</v>
      </c>
      <c r="V31" s="245"/>
      <c r="W31" s="243" t="s">
        <v>170</v>
      </c>
      <c r="X31" s="241" t="s">
        <v>170</v>
      </c>
      <c r="Y31" s="241" t="s">
        <v>170</v>
      </c>
      <c r="Z31" s="241" t="s">
        <v>170</v>
      </c>
      <c r="AA31" s="245"/>
      <c r="AB31" s="162"/>
      <c r="AC31" s="162"/>
      <c r="AD31" s="243" t="s">
        <v>170</v>
      </c>
      <c r="AE31" s="241" t="s">
        <v>170</v>
      </c>
      <c r="AF31" s="241" t="s">
        <v>170</v>
      </c>
      <c r="AG31" s="241" t="s">
        <v>170</v>
      </c>
      <c r="AH31" s="245"/>
      <c r="AI31" s="162"/>
      <c r="AJ31" s="162"/>
      <c r="AK31" s="243" t="s">
        <v>170</v>
      </c>
      <c r="AL31" s="241" t="s">
        <v>170</v>
      </c>
      <c r="AM31" s="241" t="s">
        <v>170</v>
      </c>
      <c r="AN31" s="241" t="s">
        <v>170</v>
      </c>
      <c r="AO31" s="242">
        <f>SUM(J31,O31,V31,AA31,AH31)</f>
        <v>0</v>
      </c>
    </row>
    <row r="32" spans="1:41" s="88" customFormat="1" outlineLevel="1">
      <c r="A32" s="356"/>
      <c r="B32" s="244" t="s">
        <v>171</v>
      </c>
      <c r="D32" s="89" t="s">
        <v>110</v>
      </c>
      <c r="E32" s="162"/>
      <c r="F32" s="243" t="s">
        <v>170</v>
      </c>
      <c r="G32" s="241" t="s">
        <v>170</v>
      </c>
      <c r="H32" s="241" t="s">
        <v>170</v>
      </c>
      <c r="I32" s="241" t="s">
        <v>170</v>
      </c>
      <c r="J32" s="245"/>
      <c r="K32" s="243" t="s">
        <v>170</v>
      </c>
      <c r="L32" s="241" t="s">
        <v>170</v>
      </c>
      <c r="M32" s="241" t="s">
        <v>170</v>
      </c>
      <c r="N32" s="241" t="s">
        <v>170</v>
      </c>
      <c r="O32" s="245"/>
      <c r="P32" s="161"/>
      <c r="Q32" s="161"/>
      <c r="R32" s="243" t="s">
        <v>170</v>
      </c>
      <c r="S32" s="241" t="s">
        <v>170</v>
      </c>
      <c r="T32" s="241" t="s">
        <v>170</v>
      </c>
      <c r="U32" s="241" t="s">
        <v>170</v>
      </c>
      <c r="V32" s="245"/>
      <c r="W32" s="243" t="s">
        <v>170</v>
      </c>
      <c r="X32" s="241" t="s">
        <v>170</v>
      </c>
      <c r="Y32" s="241" t="s">
        <v>170</v>
      </c>
      <c r="Z32" s="241" t="s">
        <v>170</v>
      </c>
      <c r="AA32" s="245"/>
      <c r="AB32" s="162"/>
      <c r="AC32" s="162"/>
      <c r="AD32" s="243" t="s">
        <v>170</v>
      </c>
      <c r="AE32" s="241" t="s">
        <v>170</v>
      </c>
      <c r="AF32" s="241" t="s">
        <v>170</v>
      </c>
      <c r="AG32" s="241" t="s">
        <v>170</v>
      </c>
      <c r="AH32" s="245"/>
      <c r="AI32" s="162"/>
      <c r="AJ32" s="162"/>
      <c r="AK32" s="243" t="s">
        <v>170</v>
      </c>
      <c r="AL32" s="241" t="s">
        <v>170</v>
      </c>
      <c r="AM32" s="241" t="s">
        <v>170</v>
      </c>
      <c r="AN32" s="241" t="s">
        <v>170</v>
      </c>
      <c r="AO32" s="242">
        <f>SUM(J32,O32,V32,AA32,AH32)</f>
        <v>0</v>
      </c>
    </row>
    <row r="33" spans="1:41" s="88" customFormat="1" outlineLevel="1">
      <c r="A33" s="356"/>
      <c r="B33" s="244" t="s">
        <v>172</v>
      </c>
      <c r="D33" s="89" t="s">
        <v>110</v>
      </c>
      <c r="E33" s="162"/>
      <c r="F33" s="243" t="s">
        <v>170</v>
      </c>
      <c r="G33" s="241" t="s">
        <v>170</v>
      </c>
      <c r="H33" s="241" t="s">
        <v>170</v>
      </c>
      <c r="I33" s="241" t="s">
        <v>170</v>
      </c>
      <c r="J33" s="245"/>
      <c r="K33" s="243" t="s">
        <v>170</v>
      </c>
      <c r="L33" s="241" t="s">
        <v>170</v>
      </c>
      <c r="M33" s="241" t="s">
        <v>170</v>
      </c>
      <c r="N33" s="241" t="s">
        <v>170</v>
      </c>
      <c r="O33" s="245"/>
      <c r="P33" s="162"/>
      <c r="Q33" s="162"/>
      <c r="R33" s="243" t="s">
        <v>170</v>
      </c>
      <c r="S33" s="241" t="s">
        <v>170</v>
      </c>
      <c r="T33" s="241" t="s">
        <v>170</v>
      </c>
      <c r="U33" s="241" t="s">
        <v>170</v>
      </c>
      <c r="V33" s="245"/>
      <c r="W33" s="243" t="s">
        <v>170</v>
      </c>
      <c r="X33" s="241" t="s">
        <v>170</v>
      </c>
      <c r="Y33" s="241" t="s">
        <v>170</v>
      </c>
      <c r="Z33" s="241" t="s">
        <v>170</v>
      </c>
      <c r="AA33" s="245"/>
      <c r="AB33" s="162"/>
      <c r="AC33" s="162"/>
      <c r="AD33" s="243" t="s">
        <v>170</v>
      </c>
      <c r="AE33" s="241" t="s">
        <v>170</v>
      </c>
      <c r="AF33" s="241" t="s">
        <v>170</v>
      </c>
      <c r="AG33" s="241" t="s">
        <v>170</v>
      </c>
      <c r="AH33" s="245"/>
      <c r="AI33" s="162"/>
      <c r="AJ33" s="162"/>
      <c r="AK33" s="243" t="s">
        <v>170</v>
      </c>
      <c r="AL33" s="241" t="s">
        <v>170</v>
      </c>
      <c r="AM33" s="241" t="s">
        <v>170</v>
      </c>
      <c r="AN33" s="241" t="s">
        <v>170</v>
      </c>
      <c r="AO33" s="242">
        <f>SUM(J33,O33,V33,AA33,AH33)</f>
        <v>0</v>
      </c>
    </row>
    <row r="34" spans="1:41" s="88" customFormat="1" ht="15">
      <c r="A34" s="352" t="s">
        <v>136</v>
      </c>
      <c r="B34" s="353"/>
      <c r="C34" s="353"/>
      <c r="D34" s="353"/>
      <c r="E34" s="354"/>
      <c r="F34" s="125">
        <f t="shared" ref="F34:O34" si="2">SUM(F19:F33)</f>
        <v>1000</v>
      </c>
      <c r="G34" s="92">
        <f t="shared" si="2"/>
        <v>0</v>
      </c>
      <c r="H34" s="92">
        <f t="shared" si="2"/>
        <v>0</v>
      </c>
      <c r="I34" s="92">
        <f t="shared" si="2"/>
        <v>0</v>
      </c>
      <c r="J34" s="92">
        <f t="shared" si="2"/>
        <v>0</v>
      </c>
      <c r="K34" s="125">
        <f t="shared" si="2"/>
        <v>1000</v>
      </c>
      <c r="L34" s="92">
        <f t="shared" si="2"/>
        <v>0</v>
      </c>
      <c r="M34" s="92">
        <f t="shared" si="2"/>
        <v>0</v>
      </c>
      <c r="N34" s="92">
        <f t="shared" si="2"/>
        <v>0</v>
      </c>
      <c r="O34" s="246">
        <f t="shared" si="2"/>
        <v>0</v>
      </c>
      <c r="P34" s="163"/>
      <c r="Q34" s="163"/>
      <c r="R34" s="125">
        <f t="shared" ref="R34:AA34" si="3">SUM(R19:R33)</f>
        <v>1000</v>
      </c>
      <c r="S34" s="92">
        <f t="shared" si="3"/>
        <v>0</v>
      </c>
      <c r="T34" s="92">
        <f t="shared" si="3"/>
        <v>0</v>
      </c>
      <c r="U34" s="92">
        <f t="shared" si="3"/>
        <v>0</v>
      </c>
      <c r="V34" s="92">
        <f t="shared" si="3"/>
        <v>0</v>
      </c>
      <c r="W34" s="125">
        <f t="shared" si="3"/>
        <v>1000</v>
      </c>
      <c r="X34" s="92">
        <f t="shared" si="3"/>
        <v>0</v>
      </c>
      <c r="Y34" s="92">
        <f t="shared" si="3"/>
        <v>0</v>
      </c>
      <c r="Z34" s="92">
        <f t="shared" si="3"/>
        <v>0</v>
      </c>
      <c r="AA34" s="246">
        <f t="shared" si="3"/>
        <v>0</v>
      </c>
      <c r="AB34" s="162"/>
      <c r="AC34" s="162"/>
      <c r="AD34" s="125">
        <f>SUM(AD19:AD33)</f>
        <v>1000</v>
      </c>
      <c r="AE34" s="92">
        <f>SUM(AE19:AE33)</f>
        <v>0</v>
      </c>
      <c r="AF34" s="92">
        <f>SUM(AF19:AF33)</f>
        <v>0</v>
      </c>
      <c r="AG34" s="92">
        <f>SUM(AG19:AG33)</f>
        <v>0</v>
      </c>
      <c r="AH34" s="246">
        <f>SUM(AH19:AH33)</f>
        <v>0</v>
      </c>
      <c r="AI34" s="162"/>
      <c r="AJ34" s="162"/>
      <c r="AK34" s="125">
        <f>SUM(AK19:AK33)</f>
        <v>5000</v>
      </c>
      <c r="AL34" s="92">
        <f>SUM(AL19:AL33)</f>
        <v>0</v>
      </c>
      <c r="AM34" s="92">
        <f>SUM(AM19:AM33)</f>
        <v>0</v>
      </c>
      <c r="AN34" s="92">
        <f>SUM(AN19:AN33)</f>
        <v>0</v>
      </c>
      <c r="AO34" s="246">
        <f>SUM(AO19:AO33)</f>
        <v>0</v>
      </c>
    </row>
    <row r="35" spans="1:41">
      <c r="E35" s="162"/>
      <c r="F35" s="63"/>
      <c r="G35" s="65"/>
      <c r="H35" s="65"/>
      <c r="I35" s="65"/>
      <c r="J35" s="65"/>
      <c r="K35" s="63"/>
      <c r="L35" s="65"/>
      <c r="M35" s="65"/>
      <c r="N35" s="65"/>
      <c r="O35" s="64"/>
      <c r="P35" s="161"/>
      <c r="Q35" s="161"/>
      <c r="R35" s="63"/>
      <c r="S35" s="65"/>
      <c r="T35" s="65"/>
      <c r="U35" s="65"/>
      <c r="V35" s="64"/>
      <c r="W35" s="63"/>
      <c r="X35" s="65"/>
      <c r="AA35" s="62"/>
      <c r="AB35" s="162"/>
      <c r="AC35" s="162"/>
      <c r="AD35" s="61"/>
      <c r="AH35" s="62"/>
      <c r="AI35" s="162"/>
      <c r="AJ35" s="162"/>
      <c r="AK35" s="61"/>
      <c r="AO35" s="62"/>
    </row>
    <row r="36" spans="1:41" s="96" customFormat="1" outlineLevel="1">
      <c r="A36" s="328" t="s">
        <v>177</v>
      </c>
      <c r="B36" s="329" t="s">
        <v>178</v>
      </c>
      <c r="C36" s="247" t="s">
        <v>116</v>
      </c>
      <c r="D36" s="247" t="s">
        <v>0</v>
      </c>
      <c r="E36" s="187"/>
      <c r="F36" s="248">
        <v>0.02</v>
      </c>
      <c r="G36" s="249">
        <v>0.04</v>
      </c>
      <c r="H36" s="249"/>
      <c r="I36" s="249"/>
      <c r="J36" s="250"/>
      <c r="K36" s="248">
        <v>0.02</v>
      </c>
      <c r="L36" s="249">
        <v>0.04</v>
      </c>
      <c r="M36" s="249"/>
      <c r="N36" s="249"/>
      <c r="O36" s="250"/>
      <c r="P36" s="181"/>
      <c r="Q36" s="181"/>
      <c r="R36" s="248"/>
      <c r="S36" s="249"/>
      <c r="T36" s="249"/>
      <c r="U36" s="249"/>
      <c r="V36" s="250"/>
      <c r="W36" s="248"/>
      <c r="X36" s="249"/>
      <c r="Y36" s="249"/>
      <c r="Z36" s="249"/>
      <c r="AA36" s="250"/>
      <c r="AB36" s="187"/>
      <c r="AC36" s="187"/>
      <c r="AD36" s="248"/>
      <c r="AE36" s="249"/>
      <c r="AF36" s="249"/>
      <c r="AG36" s="249"/>
      <c r="AH36" s="250"/>
      <c r="AI36" s="187"/>
      <c r="AJ36" s="187"/>
      <c r="AK36" s="251">
        <f t="shared" ref="AK36:AO39" si="4">F36+K36+R36+W36+AD36</f>
        <v>0.04</v>
      </c>
      <c r="AL36" s="252">
        <f t="shared" si="4"/>
        <v>0.08</v>
      </c>
      <c r="AM36" s="252">
        <f t="shared" si="4"/>
        <v>0</v>
      </c>
      <c r="AN36" s="252">
        <f t="shared" si="4"/>
        <v>0</v>
      </c>
      <c r="AO36" s="253">
        <f t="shared" si="4"/>
        <v>0</v>
      </c>
    </row>
    <row r="37" spans="1:41" s="96" customFormat="1" outlineLevel="1">
      <c r="A37" s="328"/>
      <c r="B37" s="329"/>
      <c r="C37" s="96" t="s">
        <v>167</v>
      </c>
      <c r="D37" s="236">
        <v>350000</v>
      </c>
      <c r="E37" s="162"/>
      <c r="F37" s="234">
        <f>F36*$D37</f>
        <v>7000</v>
      </c>
      <c r="G37" s="235">
        <f>G36*$D37</f>
        <v>14000</v>
      </c>
      <c r="H37" s="221"/>
      <c r="I37" s="221"/>
      <c r="J37" s="222"/>
      <c r="K37" s="234">
        <f>K36*$D37</f>
        <v>7000</v>
      </c>
      <c r="L37" s="235">
        <f>L36*$D37</f>
        <v>14000</v>
      </c>
      <c r="M37" s="221"/>
      <c r="N37" s="221"/>
      <c r="O37" s="222"/>
      <c r="P37" s="161"/>
      <c r="Q37" s="161"/>
      <c r="R37" s="234"/>
      <c r="S37" s="235"/>
      <c r="T37" s="221"/>
      <c r="U37" s="221"/>
      <c r="V37" s="222"/>
      <c r="W37" s="234"/>
      <c r="X37" s="235"/>
      <c r="Y37" s="221"/>
      <c r="Z37" s="221"/>
      <c r="AA37" s="222"/>
      <c r="AB37" s="162"/>
      <c r="AC37" s="162"/>
      <c r="AD37" s="234"/>
      <c r="AE37" s="235"/>
      <c r="AF37" s="221"/>
      <c r="AG37" s="221"/>
      <c r="AH37" s="222"/>
      <c r="AI37" s="162"/>
      <c r="AJ37" s="162"/>
      <c r="AK37" s="254">
        <f t="shared" si="4"/>
        <v>14000</v>
      </c>
      <c r="AL37" s="104">
        <f t="shared" si="4"/>
        <v>28000</v>
      </c>
      <c r="AM37" s="255">
        <f t="shared" si="4"/>
        <v>0</v>
      </c>
      <c r="AN37" s="255">
        <f t="shared" si="4"/>
        <v>0</v>
      </c>
      <c r="AO37" s="256">
        <f t="shared" si="4"/>
        <v>0</v>
      </c>
    </row>
    <row r="38" spans="1:41" s="96" customFormat="1" outlineLevel="1">
      <c r="A38" s="328"/>
      <c r="B38" s="329" t="s">
        <v>107</v>
      </c>
      <c r="C38" s="96" t="s">
        <v>116</v>
      </c>
      <c r="D38" s="96" t="s">
        <v>0</v>
      </c>
      <c r="E38" s="171"/>
      <c r="F38" s="220">
        <v>0.02</v>
      </c>
      <c r="G38" s="221">
        <v>0.04</v>
      </c>
      <c r="H38" s="221"/>
      <c r="I38" s="221"/>
      <c r="J38" s="222"/>
      <c r="K38" s="220">
        <v>0.02</v>
      </c>
      <c r="L38" s="221">
        <v>0.04</v>
      </c>
      <c r="M38" s="221"/>
      <c r="N38" s="221"/>
      <c r="O38" s="222"/>
      <c r="P38" s="161"/>
      <c r="Q38" s="161"/>
      <c r="R38" s="220"/>
      <c r="S38" s="221"/>
      <c r="T38" s="221"/>
      <c r="U38" s="221"/>
      <c r="V38" s="222"/>
      <c r="W38" s="220"/>
      <c r="X38" s="221"/>
      <c r="Y38" s="221"/>
      <c r="Z38" s="221"/>
      <c r="AA38" s="222"/>
      <c r="AB38" s="162"/>
      <c r="AC38" s="162"/>
      <c r="AD38" s="220"/>
      <c r="AE38" s="221"/>
      <c r="AF38" s="221"/>
      <c r="AG38" s="221"/>
      <c r="AH38" s="222"/>
      <c r="AI38" s="162"/>
      <c r="AJ38" s="162"/>
      <c r="AK38" s="126">
        <f t="shared" si="4"/>
        <v>0.04</v>
      </c>
      <c r="AL38" s="105">
        <f t="shared" si="4"/>
        <v>0.08</v>
      </c>
      <c r="AM38" s="105">
        <f t="shared" si="4"/>
        <v>0</v>
      </c>
      <c r="AN38" s="105">
        <f t="shared" si="4"/>
        <v>0</v>
      </c>
      <c r="AO38" s="127">
        <f t="shared" si="4"/>
        <v>0</v>
      </c>
    </row>
    <row r="39" spans="1:41" s="96" customFormat="1" outlineLevel="1">
      <c r="A39" s="328"/>
      <c r="B39" s="329"/>
      <c r="C39" s="257" t="s">
        <v>167</v>
      </c>
      <c r="D39" s="239"/>
      <c r="E39" s="200"/>
      <c r="F39" s="258">
        <f>F38*$D39</f>
        <v>0</v>
      </c>
      <c r="G39" s="259">
        <f>G38*$D39</f>
        <v>0</v>
      </c>
      <c r="H39" s="229"/>
      <c r="I39" s="229"/>
      <c r="J39" s="230"/>
      <c r="K39" s="258">
        <f>K38*$D39</f>
        <v>0</v>
      </c>
      <c r="L39" s="259">
        <f>L38*$D39</f>
        <v>0</v>
      </c>
      <c r="M39" s="229"/>
      <c r="N39" s="229"/>
      <c r="O39" s="230"/>
      <c r="P39" s="185"/>
      <c r="Q39" s="185"/>
      <c r="R39" s="258"/>
      <c r="S39" s="259"/>
      <c r="T39" s="229"/>
      <c r="U39" s="229"/>
      <c r="V39" s="230"/>
      <c r="W39" s="258"/>
      <c r="X39" s="259"/>
      <c r="Y39" s="229"/>
      <c r="Z39" s="229"/>
      <c r="AA39" s="230"/>
      <c r="AB39" s="200"/>
      <c r="AC39" s="200"/>
      <c r="AD39" s="258"/>
      <c r="AE39" s="259"/>
      <c r="AF39" s="229"/>
      <c r="AG39" s="229"/>
      <c r="AH39" s="230"/>
      <c r="AI39" s="200"/>
      <c r="AJ39" s="200"/>
      <c r="AK39" s="260">
        <f t="shared" si="4"/>
        <v>0</v>
      </c>
      <c r="AL39" s="261">
        <f t="shared" si="4"/>
        <v>0</v>
      </c>
      <c r="AM39" s="262">
        <f t="shared" si="4"/>
        <v>0</v>
      </c>
      <c r="AN39" s="262">
        <f t="shared" si="4"/>
        <v>0</v>
      </c>
      <c r="AO39" s="263">
        <f t="shared" si="4"/>
        <v>0</v>
      </c>
    </row>
    <row r="40" spans="1:41" s="96" customFormat="1" ht="15">
      <c r="A40" s="330" t="s">
        <v>136</v>
      </c>
      <c r="B40" s="331"/>
      <c r="C40" s="331"/>
      <c r="D40" s="331"/>
      <c r="E40" s="332"/>
      <c r="F40" s="260">
        <f t="shared" ref="F40:O40" si="5">F37+F39</f>
        <v>7000</v>
      </c>
      <c r="G40" s="261">
        <f t="shared" si="5"/>
        <v>14000</v>
      </c>
      <c r="H40" s="261">
        <f t="shared" si="5"/>
        <v>0</v>
      </c>
      <c r="I40" s="261">
        <f t="shared" si="5"/>
        <v>0</v>
      </c>
      <c r="J40" s="261">
        <f t="shared" si="5"/>
        <v>0</v>
      </c>
      <c r="K40" s="260">
        <f t="shared" si="5"/>
        <v>7000</v>
      </c>
      <c r="L40" s="261">
        <f t="shared" si="5"/>
        <v>14000</v>
      </c>
      <c r="M40" s="261">
        <f t="shared" si="5"/>
        <v>0</v>
      </c>
      <c r="N40" s="261">
        <f t="shared" si="5"/>
        <v>0</v>
      </c>
      <c r="O40" s="261">
        <f t="shared" si="5"/>
        <v>0</v>
      </c>
      <c r="P40" s="185"/>
      <c r="Q40" s="185"/>
      <c r="R40" s="260">
        <f t="shared" ref="R40:AA40" si="6">R37+R39</f>
        <v>0</v>
      </c>
      <c r="S40" s="261">
        <f t="shared" si="6"/>
        <v>0</v>
      </c>
      <c r="T40" s="261">
        <f t="shared" si="6"/>
        <v>0</v>
      </c>
      <c r="U40" s="261">
        <f t="shared" si="6"/>
        <v>0</v>
      </c>
      <c r="V40" s="261">
        <f t="shared" si="6"/>
        <v>0</v>
      </c>
      <c r="W40" s="260">
        <f t="shared" si="6"/>
        <v>0</v>
      </c>
      <c r="X40" s="261">
        <f t="shared" si="6"/>
        <v>0</v>
      </c>
      <c r="Y40" s="261">
        <f t="shared" si="6"/>
        <v>0</v>
      </c>
      <c r="Z40" s="261">
        <f t="shared" si="6"/>
        <v>0</v>
      </c>
      <c r="AA40" s="261">
        <f t="shared" si="6"/>
        <v>0</v>
      </c>
      <c r="AB40" s="162"/>
      <c r="AC40" s="162"/>
      <c r="AD40" s="260">
        <f>AD37+AD39</f>
        <v>0</v>
      </c>
      <c r="AE40" s="261">
        <f>AE37+AE39</f>
        <v>0</v>
      </c>
      <c r="AF40" s="261">
        <f>AF37+AF39</f>
        <v>0</v>
      </c>
      <c r="AG40" s="261">
        <f>AG37+AG39</f>
        <v>0</v>
      </c>
      <c r="AH40" s="261">
        <f>AH37+AH39</f>
        <v>0</v>
      </c>
      <c r="AI40" s="162"/>
      <c r="AJ40" s="162"/>
      <c r="AK40" s="260">
        <f>AK37+AK39</f>
        <v>14000</v>
      </c>
      <c r="AL40" s="261">
        <f>AL37+AL39</f>
        <v>28000</v>
      </c>
      <c r="AM40" s="261">
        <f>AM37+AM39</f>
        <v>0</v>
      </c>
      <c r="AN40" s="261">
        <f>AN37+AN39</f>
        <v>0</v>
      </c>
      <c r="AO40" s="264">
        <f>AO37+AO39</f>
        <v>0</v>
      </c>
    </row>
    <row r="41" spans="1:41">
      <c r="E41" s="162"/>
      <c r="F41" s="63"/>
      <c r="G41" s="65"/>
      <c r="H41" s="65"/>
      <c r="I41" s="65"/>
      <c r="J41" s="65"/>
      <c r="K41" s="63"/>
      <c r="L41" s="65"/>
      <c r="M41" s="65"/>
      <c r="N41" s="65"/>
      <c r="O41" s="64"/>
      <c r="P41" s="161"/>
      <c r="Q41" s="161"/>
      <c r="R41" s="63"/>
      <c r="S41" s="65"/>
      <c r="T41" s="65"/>
      <c r="U41" s="65"/>
      <c r="V41" s="64"/>
      <c r="W41" s="63"/>
      <c r="X41" s="65"/>
      <c r="AA41" s="62"/>
      <c r="AB41" s="162"/>
      <c r="AC41" s="162"/>
      <c r="AD41" s="61"/>
      <c r="AH41" s="62"/>
      <c r="AI41" s="162"/>
      <c r="AJ41" s="162"/>
      <c r="AK41" s="61"/>
      <c r="AO41" s="62"/>
    </row>
    <row r="42" spans="1:41" s="107" customFormat="1" outlineLevel="1">
      <c r="A42" s="318" t="s">
        <v>179</v>
      </c>
      <c r="B42" s="319" t="s">
        <v>37</v>
      </c>
      <c r="C42" s="265" t="s">
        <v>116</v>
      </c>
      <c r="D42" s="265" t="s">
        <v>0</v>
      </c>
      <c r="E42" s="187"/>
      <c r="F42" s="248"/>
      <c r="G42" s="249"/>
      <c r="H42" s="249"/>
      <c r="I42" s="249"/>
      <c r="J42" s="249"/>
      <c r="K42" s="248"/>
      <c r="L42" s="249"/>
      <c r="M42" s="249"/>
      <c r="N42" s="249"/>
      <c r="O42" s="249"/>
      <c r="P42" s="181"/>
      <c r="Q42" s="181"/>
      <c r="R42" s="248">
        <v>1</v>
      </c>
      <c r="S42" s="249"/>
      <c r="T42" s="249"/>
      <c r="U42" s="249"/>
      <c r="V42" s="249"/>
      <c r="W42" s="248">
        <v>0.75</v>
      </c>
      <c r="X42" s="249"/>
      <c r="Y42" s="249"/>
      <c r="Z42" s="249"/>
      <c r="AA42" s="249"/>
      <c r="AB42" s="187"/>
      <c r="AC42" s="187"/>
      <c r="AD42" s="248"/>
      <c r="AE42" s="249"/>
      <c r="AF42" s="249"/>
      <c r="AG42" s="249"/>
      <c r="AH42" s="250"/>
      <c r="AI42" s="187"/>
      <c r="AJ42" s="187"/>
      <c r="AK42" s="266">
        <f t="shared" ref="AK42:AO43" si="7">F42+K42+R42+W42+AD42</f>
        <v>1.75</v>
      </c>
      <c r="AL42" s="267">
        <f t="shared" si="7"/>
        <v>0</v>
      </c>
      <c r="AM42" s="267">
        <f t="shared" si="7"/>
        <v>0</v>
      </c>
      <c r="AN42" s="267">
        <f t="shared" si="7"/>
        <v>0</v>
      </c>
      <c r="AO42" s="267">
        <f t="shared" si="7"/>
        <v>0</v>
      </c>
    </row>
    <row r="43" spans="1:41" s="107" customFormat="1" outlineLevel="1">
      <c r="A43" s="319"/>
      <c r="B43" s="319"/>
      <c r="C43" s="107" t="s">
        <v>167</v>
      </c>
      <c r="D43" s="233">
        <v>350000</v>
      </c>
      <c r="E43" s="162"/>
      <c r="F43" s="234">
        <f t="shared" ref="F43:O43" si="8">F42*$D43</f>
        <v>0</v>
      </c>
      <c r="G43" s="235">
        <f t="shared" si="8"/>
        <v>0</v>
      </c>
      <c r="H43" s="235">
        <f t="shared" si="8"/>
        <v>0</v>
      </c>
      <c r="I43" s="235">
        <f t="shared" si="8"/>
        <v>0</v>
      </c>
      <c r="J43" s="245">
        <f t="shared" si="8"/>
        <v>0</v>
      </c>
      <c r="K43" s="234">
        <f t="shared" si="8"/>
        <v>0</v>
      </c>
      <c r="L43" s="235">
        <f t="shared" si="8"/>
        <v>0</v>
      </c>
      <c r="M43" s="235">
        <f t="shared" si="8"/>
        <v>0</v>
      </c>
      <c r="N43" s="235">
        <f t="shared" si="8"/>
        <v>0</v>
      </c>
      <c r="O43" s="245">
        <f t="shared" si="8"/>
        <v>0</v>
      </c>
      <c r="P43" s="161"/>
      <c r="Q43" s="161"/>
      <c r="R43" s="234">
        <f t="shared" ref="R43:AA43" si="9">R42*$D43</f>
        <v>350000</v>
      </c>
      <c r="S43" s="235">
        <f t="shared" si="9"/>
        <v>0</v>
      </c>
      <c r="T43" s="235">
        <f t="shared" si="9"/>
        <v>0</v>
      </c>
      <c r="U43" s="235">
        <f t="shared" si="9"/>
        <v>0</v>
      </c>
      <c r="V43" s="245">
        <f t="shared" si="9"/>
        <v>0</v>
      </c>
      <c r="W43" s="234">
        <f t="shared" si="9"/>
        <v>262500</v>
      </c>
      <c r="X43" s="235">
        <f t="shared" si="9"/>
        <v>0</v>
      </c>
      <c r="Y43" s="235">
        <f t="shared" si="9"/>
        <v>0</v>
      </c>
      <c r="Z43" s="235">
        <f t="shared" si="9"/>
        <v>0</v>
      </c>
      <c r="AA43" s="245">
        <f t="shared" si="9"/>
        <v>0</v>
      </c>
      <c r="AB43" s="162"/>
      <c r="AC43" s="162"/>
      <c r="AD43" s="258">
        <f>AD42*$D43</f>
        <v>0</v>
      </c>
      <c r="AE43" s="259">
        <f>AE42*$D43</f>
        <v>0</v>
      </c>
      <c r="AF43" s="259">
        <f>AF42*$D43</f>
        <v>0</v>
      </c>
      <c r="AG43" s="259">
        <f>AG42*$D43</f>
        <v>0</v>
      </c>
      <c r="AH43" s="268">
        <f>AH42*$D43</f>
        <v>0</v>
      </c>
      <c r="AI43" s="162"/>
      <c r="AJ43" s="162"/>
      <c r="AK43" s="133">
        <f t="shared" si="7"/>
        <v>612500</v>
      </c>
      <c r="AL43" s="134">
        <f t="shared" si="7"/>
        <v>0</v>
      </c>
      <c r="AM43" s="134">
        <f t="shared" si="7"/>
        <v>0</v>
      </c>
      <c r="AN43" s="134">
        <f t="shared" si="7"/>
        <v>0</v>
      </c>
      <c r="AO43" s="269">
        <f t="shared" si="7"/>
        <v>0</v>
      </c>
    </row>
    <row r="44" spans="1:41" s="107" customFormat="1" ht="15">
      <c r="A44" s="320" t="s">
        <v>136</v>
      </c>
      <c r="B44" s="321"/>
      <c r="C44" s="321"/>
      <c r="D44" s="321"/>
      <c r="E44" s="322"/>
      <c r="F44" s="135">
        <f t="shared" ref="F44:O44" si="10">F43</f>
        <v>0</v>
      </c>
      <c r="G44" s="112">
        <f t="shared" si="10"/>
        <v>0</v>
      </c>
      <c r="H44" s="112">
        <f t="shared" si="10"/>
        <v>0</v>
      </c>
      <c r="I44" s="112">
        <f t="shared" si="10"/>
        <v>0</v>
      </c>
      <c r="J44" s="112">
        <f t="shared" si="10"/>
        <v>0</v>
      </c>
      <c r="K44" s="135">
        <f t="shared" si="10"/>
        <v>0</v>
      </c>
      <c r="L44" s="112">
        <f t="shared" si="10"/>
        <v>0</v>
      </c>
      <c r="M44" s="112">
        <f t="shared" si="10"/>
        <v>0</v>
      </c>
      <c r="N44" s="112">
        <f t="shared" si="10"/>
        <v>0</v>
      </c>
      <c r="O44" s="112">
        <f t="shared" si="10"/>
        <v>0</v>
      </c>
      <c r="P44" s="163"/>
      <c r="Q44" s="163"/>
      <c r="R44" s="135">
        <f t="shared" ref="R44:AA44" si="11">R43</f>
        <v>350000</v>
      </c>
      <c r="S44" s="112">
        <f t="shared" si="11"/>
        <v>0</v>
      </c>
      <c r="T44" s="112">
        <f t="shared" si="11"/>
        <v>0</v>
      </c>
      <c r="U44" s="112">
        <f t="shared" si="11"/>
        <v>0</v>
      </c>
      <c r="V44" s="112">
        <f t="shared" si="11"/>
        <v>0</v>
      </c>
      <c r="W44" s="135">
        <f t="shared" si="11"/>
        <v>262500</v>
      </c>
      <c r="X44" s="112">
        <f t="shared" si="11"/>
        <v>0</v>
      </c>
      <c r="Y44" s="112">
        <f t="shared" si="11"/>
        <v>0</v>
      </c>
      <c r="Z44" s="112">
        <f t="shared" si="11"/>
        <v>0</v>
      </c>
      <c r="AA44" s="112">
        <f t="shared" si="11"/>
        <v>0</v>
      </c>
      <c r="AB44" s="162"/>
      <c r="AC44" s="162"/>
      <c r="AD44" s="135">
        <f>AD43</f>
        <v>0</v>
      </c>
      <c r="AE44" s="112">
        <f>AE43</f>
        <v>0</v>
      </c>
      <c r="AF44" s="112">
        <f>AF43</f>
        <v>0</v>
      </c>
      <c r="AG44" s="112">
        <f>AG43</f>
        <v>0</v>
      </c>
      <c r="AH44" s="112">
        <f>AH43</f>
        <v>0</v>
      </c>
      <c r="AI44" s="162"/>
      <c r="AJ44" s="162"/>
      <c r="AK44" s="135">
        <f>AK43</f>
        <v>612500</v>
      </c>
      <c r="AL44" s="112">
        <f>AL43</f>
        <v>0</v>
      </c>
      <c r="AM44" s="112">
        <f>AM43</f>
        <v>0</v>
      </c>
      <c r="AN44" s="112">
        <f>AN43</f>
        <v>0</v>
      </c>
      <c r="AO44" s="112">
        <f>AO43</f>
        <v>0</v>
      </c>
    </row>
    <row r="45" spans="1:41">
      <c r="E45" s="162"/>
      <c r="F45" s="136"/>
      <c r="G45" s="106"/>
      <c r="H45" s="65"/>
      <c r="I45" s="65"/>
      <c r="J45" s="65"/>
      <c r="K45" s="63"/>
      <c r="L45" s="65"/>
      <c r="M45" s="65"/>
      <c r="N45" s="65"/>
      <c r="O45" s="64"/>
      <c r="P45" s="161"/>
      <c r="Q45" s="161"/>
      <c r="R45" s="63"/>
      <c r="S45" s="65"/>
      <c r="T45" s="65"/>
      <c r="U45" s="65"/>
      <c r="V45" s="64"/>
      <c r="W45" s="63"/>
      <c r="X45" s="65"/>
      <c r="AA45" s="62"/>
      <c r="AB45" s="162"/>
      <c r="AC45" s="162"/>
      <c r="AD45" s="61"/>
      <c r="AH45" s="62"/>
      <c r="AI45" s="162"/>
      <c r="AJ45" s="162"/>
      <c r="AK45" s="61"/>
      <c r="AO45" s="62"/>
    </row>
    <row r="46" spans="1:41" s="278" customFormat="1" outlineLevel="1">
      <c r="A46" s="323" t="s">
        <v>180</v>
      </c>
      <c r="B46" s="244" t="s">
        <v>119</v>
      </c>
      <c r="C46" s="270" t="s">
        <v>122</v>
      </c>
      <c r="D46" s="271">
        <v>3000</v>
      </c>
      <c r="E46" s="187"/>
      <c r="F46" s="272">
        <f t="shared" ref="F46:O47" si="12">$D46*F6</f>
        <v>9000</v>
      </c>
      <c r="G46" s="273">
        <f t="shared" si="12"/>
        <v>9000</v>
      </c>
      <c r="H46" s="273">
        <f t="shared" si="12"/>
        <v>9000</v>
      </c>
      <c r="I46" s="273">
        <f t="shared" si="12"/>
        <v>9000</v>
      </c>
      <c r="J46" s="273">
        <f t="shared" si="12"/>
        <v>9000</v>
      </c>
      <c r="K46" s="272">
        <f t="shared" si="12"/>
        <v>18000</v>
      </c>
      <c r="L46" s="273">
        <f t="shared" si="12"/>
        <v>18000</v>
      </c>
      <c r="M46" s="273">
        <f t="shared" si="12"/>
        <v>18000</v>
      </c>
      <c r="N46" s="273">
        <f t="shared" si="12"/>
        <v>18000</v>
      </c>
      <c r="O46" s="273">
        <f t="shared" si="12"/>
        <v>18000</v>
      </c>
      <c r="P46" s="187"/>
      <c r="Q46" s="187"/>
      <c r="R46" s="272">
        <f t="shared" ref="R46:AA47" si="13">$D46*R6</f>
        <v>0</v>
      </c>
      <c r="S46" s="273">
        <f t="shared" si="13"/>
        <v>0</v>
      </c>
      <c r="T46" s="273">
        <f t="shared" si="13"/>
        <v>0</v>
      </c>
      <c r="U46" s="273">
        <f t="shared" si="13"/>
        <v>0</v>
      </c>
      <c r="V46" s="273">
        <f t="shared" si="13"/>
        <v>0</v>
      </c>
      <c r="W46" s="272">
        <f t="shared" si="13"/>
        <v>0</v>
      </c>
      <c r="X46" s="273">
        <f t="shared" si="13"/>
        <v>0</v>
      </c>
      <c r="Y46" s="273">
        <f t="shared" si="13"/>
        <v>0</v>
      </c>
      <c r="Z46" s="273">
        <f t="shared" si="13"/>
        <v>0</v>
      </c>
      <c r="AA46" s="273">
        <f t="shared" si="13"/>
        <v>0</v>
      </c>
      <c r="AB46" s="187"/>
      <c r="AC46" s="187"/>
      <c r="AD46" s="272">
        <f t="shared" ref="AD46:AH47" si="14">$D46*AD6</f>
        <v>0</v>
      </c>
      <c r="AE46" s="273">
        <f t="shared" si="14"/>
        <v>0</v>
      </c>
      <c r="AF46" s="273">
        <f t="shared" si="14"/>
        <v>0</v>
      </c>
      <c r="AG46" s="273">
        <f t="shared" si="14"/>
        <v>0</v>
      </c>
      <c r="AH46" s="274">
        <f t="shared" si="14"/>
        <v>0</v>
      </c>
      <c r="AI46" s="187"/>
      <c r="AJ46" s="187"/>
      <c r="AK46" s="275">
        <f t="shared" ref="AK46:AO50" si="15">F46+K46+R46+W46+AD46</f>
        <v>27000</v>
      </c>
      <c r="AL46" s="276">
        <f t="shared" si="15"/>
        <v>27000</v>
      </c>
      <c r="AM46" s="276">
        <f t="shared" si="15"/>
        <v>27000</v>
      </c>
      <c r="AN46" s="276">
        <f t="shared" si="15"/>
        <v>27000</v>
      </c>
      <c r="AO46" s="277">
        <f t="shared" si="15"/>
        <v>27000</v>
      </c>
    </row>
    <row r="47" spans="1:41" s="116" customFormat="1" outlineLevel="1">
      <c r="A47" s="324"/>
      <c r="B47" s="244" t="s">
        <v>120</v>
      </c>
      <c r="C47" s="218" t="s">
        <v>121</v>
      </c>
      <c r="D47" s="279">
        <v>50</v>
      </c>
      <c r="E47" s="172"/>
      <c r="F47" s="238">
        <f t="shared" si="12"/>
        <v>5000</v>
      </c>
      <c r="G47" s="236">
        <f t="shared" si="12"/>
        <v>6000</v>
      </c>
      <c r="H47" s="236">
        <f t="shared" si="12"/>
        <v>7000</v>
      </c>
      <c r="I47" s="236">
        <f t="shared" si="12"/>
        <v>8000</v>
      </c>
      <c r="J47" s="236">
        <f t="shared" si="12"/>
        <v>10000</v>
      </c>
      <c r="K47" s="238">
        <f t="shared" si="12"/>
        <v>1000</v>
      </c>
      <c r="L47" s="236">
        <f t="shared" si="12"/>
        <v>1100</v>
      </c>
      <c r="M47" s="236">
        <f t="shared" si="12"/>
        <v>1200</v>
      </c>
      <c r="N47" s="236">
        <f t="shared" si="12"/>
        <v>1300</v>
      </c>
      <c r="O47" s="236">
        <f t="shared" si="12"/>
        <v>1500</v>
      </c>
      <c r="P47" s="162"/>
      <c r="Q47" s="162"/>
      <c r="R47" s="238">
        <f t="shared" si="13"/>
        <v>0</v>
      </c>
      <c r="S47" s="236">
        <f t="shared" si="13"/>
        <v>0</v>
      </c>
      <c r="T47" s="236">
        <f t="shared" si="13"/>
        <v>0</v>
      </c>
      <c r="U47" s="236">
        <f t="shared" si="13"/>
        <v>0</v>
      </c>
      <c r="V47" s="236">
        <f t="shared" si="13"/>
        <v>0</v>
      </c>
      <c r="W47" s="238">
        <f t="shared" si="13"/>
        <v>0</v>
      </c>
      <c r="X47" s="236">
        <f t="shared" si="13"/>
        <v>0</v>
      </c>
      <c r="Y47" s="236">
        <f t="shared" si="13"/>
        <v>0</v>
      </c>
      <c r="Z47" s="236">
        <f t="shared" si="13"/>
        <v>0</v>
      </c>
      <c r="AA47" s="236">
        <f t="shared" si="13"/>
        <v>0</v>
      </c>
      <c r="AB47" s="162"/>
      <c r="AC47" s="162"/>
      <c r="AD47" s="238">
        <f t="shared" si="14"/>
        <v>0</v>
      </c>
      <c r="AE47" s="236">
        <f t="shared" si="14"/>
        <v>0</v>
      </c>
      <c r="AF47" s="236">
        <f t="shared" si="14"/>
        <v>0</v>
      </c>
      <c r="AG47" s="236">
        <f t="shared" si="14"/>
        <v>0</v>
      </c>
      <c r="AH47" s="237">
        <f t="shared" si="14"/>
        <v>0</v>
      </c>
      <c r="AI47" s="162"/>
      <c r="AJ47" s="162"/>
      <c r="AK47" s="139">
        <f t="shared" si="15"/>
        <v>6000</v>
      </c>
      <c r="AL47" s="140">
        <f t="shared" si="15"/>
        <v>7100</v>
      </c>
      <c r="AM47" s="140">
        <f t="shared" si="15"/>
        <v>8200</v>
      </c>
      <c r="AN47" s="140">
        <f t="shared" si="15"/>
        <v>9300</v>
      </c>
      <c r="AO47" s="141">
        <f t="shared" si="15"/>
        <v>11500</v>
      </c>
    </row>
    <row r="48" spans="1:41" s="116" customFormat="1" outlineLevel="1">
      <c r="A48" s="324"/>
      <c r="B48" s="244" t="s">
        <v>181</v>
      </c>
      <c r="C48" s="218"/>
      <c r="D48" s="223"/>
      <c r="E48" s="172"/>
      <c r="F48" s="238"/>
      <c r="G48" s="236"/>
      <c r="H48" s="236"/>
      <c r="I48" s="236"/>
      <c r="J48" s="236"/>
      <c r="K48" s="238"/>
      <c r="L48" s="236"/>
      <c r="M48" s="236"/>
      <c r="N48" s="236"/>
      <c r="O48" s="236"/>
      <c r="P48" s="162"/>
      <c r="Q48" s="162"/>
      <c r="R48" s="238"/>
      <c r="S48" s="236"/>
      <c r="T48" s="236"/>
      <c r="U48" s="236"/>
      <c r="V48" s="236"/>
      <c r="W48" s="238"/>
      <c r="X48" s="236"/>
      <c r="Y48" s="236"/>
      <c r="Z48" s="236"/>
      <c r="AA48" s="236"/>
      <c r="AB48" s="162"/>
      <c r="AC48" s="162"/>
      <c r="AD48" s="238"/>
      <c r="AE48" s="236"/>
      <c r="AF48" s="236"/>
      <c r="AG48" s="236"/>
      <c r="AH48" s="237"/>
      <c r="AI48" s="162"/>
      <c r="AJ48" s="162"/>
      <c r="AK48" s="139">
        <f t="shared" si="15"/>
        <v>0</v>
      </c>
      <c r="AL48" s="140">
        <f t="shared" si="15"/>
        <v>0</v>
      </c>
      <c r="AM48" s="140">
        <f t="shared" si="15"/>
        <v>0</v>
      </c>
      <c r="AN48" s="140">
        <f t="shared" si="15"/>
        <v>0</v>
      </c>
      <c r="AO48" s="141">
        <f t="shared" si="15"/>
        <v>0</v>
      </c>
    </row>
    <row r="49" spans="1:41" s="116" customFormat="1" outlineLevel="1">
      <c r="A49" s="324"/>
      <c r="B49" s="244" t="s">
        <v>182</v>
      </c>
      <c r="C49" s="218"/>
      <c r="D49" s="223"/>
      <c r="E49" s="172"/>
      <c r="F49" s="238"/>
      <c r="G49" s="236"/>
      <c r="H49" s="236"/>
      <c r="I49" s="236"/>
      <c r="J49" s="236"/>
      <c r="K49" s="238"/>
      <c r="L49" s="236"/>
      <c r="M49" s="236"/>
      <c r="N49" s="236"/>
      <c r="O49" s="236"/>
      <c r="P49" s="162"/>
      <c r="Q49" s="162"/>
      <c r="R49" s="238"/>
      <c r="S49" s="236"/>
      <c r="T49" s="236"/>
      <c r="U49" s="236"/>
      <c r="V49" s="236"/>
      <c r="W49" s="238"/>
      <c r="X49" s="236"/>
      <c r="Y49" s="236"/>
      <c r="Z49" s="236"/>
      <c r="AA49" s="236"/>
      <c r="AB49" s="162"/>
      <c r="AC49" s="162"/>
      <c r="AD49" s="238"/>
      <c r="AE49" s="236"/>
      <c r="AF49" s="236"/>
      <c r="AG49" s="236"/>
      <c r="AH49" s="237"/>
      <c r="AI49" s="162"/>
      <c r="AJ49" s="162"/>
      <c r="AK49" s="139">
        <f t="shared" si="15"/>
        <v>0</v>
      </c>
      <c r="AL49" s="140">
        <f t="shared" si="15"/>
        <v>0</v>
      </c>
      <c r="AM49" s="140">
        <f t="shared" si="15"/>
        <v>0</v>
      </c>
      <c r="AN49" s="140">
        <f t="shared" si="15"/>
        <v>0</v>
      </c>
      <c r="AO49" s="141">
        <f t="shared" si="15"/>
        <v>0</v>
      </c>
    </row>
    <row r="50" spans="1:41" s="116" customFormat="1" outlineLevel="1">
      <c r="A50" s="324"/>
      <c r="B50" s="280" t="s">
        <v>183</v>
      </c>
      <c r="C50" s="226"/>
      <c r="D50" s="231"/>
      <c r="E50" s="172"/>
      <c r="F50" s="238"/>
      <c r="G50" s="236"/>
      <c r="H50" s="236"/>
      <c r="I50" s="236"/>
      <c r="J50" s="236"/>
      <c r="K50" s="238"/>
      <c r="L50" s="236"/>
      <c r="M50" s="236"/>
      <c r="N50" s="236"/>
      <c r="O50" s="236"/>
      <c r="P50" s="162"/>
      <c r="Q50" s="162"/>
      <c r="R50" s="238"/>
      <c r="S50" s="236"/>
      <c r="T50" s="236"/>
      <c r="U50" s="236"/>
      <c r="V50" s="236"/>
      <c r="W50" s="238"/>
      <c r="X50" s="236"/>
      <c r="Y50" s="236"/>
      <c r="Z50" s="236"/>
      <c r="AA50" s="236"/>
      <c r="AB50" s="162"/>
      <c r="AC50" s="162"/>
      <c r="AD50" s="281"/>
      <c r="AE50" s="239"/>
      <c r="AF50" s="239"/>
      <c r="AG50" s="239"/>
      <c r="AH50" s="282"/>
      <c r="AI50" s="162"/>
      <c r="AJ50" s="162"/>
      <c r="AK50" s="139">
        <f t="shared" si="15"/>
        <v>0</v>
      </c>
      <c r="AL50" s="140">
        <f t="shared" si="15"/>
        <v>0</v>
      </c>
      <c r="AM50" s="140">
        <f t="shared" si="15"/>
        <v>0</v>
      </c>
      <c r="AN50" s="140">
        <f t="shared" si="15"/>
        <v>0</v>
      </c>
      <c r="AO50" s="141">
        <f t="shared" si="15"/>
        <v>0</v>
      </c>
    </row>
    <row r="51" spans="1:41" s="285" customFormat="1" ht="15">
      <c r="A51" s="325" t="s">
        <v>136</v>
      </c>
      <c r="B51" s="326"/>
      <c r="C51" s="326"/>
      <c r="D51" s="326"/>
      <c r="E51" s="327"/>
      <c r="F51" s="283">
        <f t="shared" ref="F51:O51" si="16">SUM(F46:F50)</f>
        <v>14000</v>
      </c>
      <c r="G51" s="284">
        <f t="shared" si="16"/>
        <v>15000</v>
      </c>
      <c r="H51" s="284">
        <f t="shared" si="16"/>
        <v>16000</v>
      </c>
      <c r="I51" s="284">
        <f t="shared" si="16"/>
        <v>17000</v>
      </c>
      <c r="J51" s="284">
        <f t="shared" si="16"/>
        <v>19000</v>
      </c>
      <c r="K51" s="283">
        <f t="shared" si="16"/>
        <v>19000</v>
      </c>
      <c r="L51" s="284">
        <f t="shared" si="16"/>
        <v>19100</v>
      </c>
      <c r="M51" s="284">
        <f t="shared" si="16"/>
        <v>19200</v>
      </c>
      <c r="N51" s="284">
        <f t="shared" si="16"/>
        <v>19300</v>
      </c>
      <c r="O51" s="284">
        <f t="shared" si="16"/>
        <v>19500</v>
      </c>
      <c r="P51" s="164"/>
      <c r="Q51" s="164"/>
      <c r="R51" s="283">
        <f t="shared" ref="R51:AA51" si="17">SUM(R46:R50)</f>
        <v>0</v>
      </c>
      <c r="S51" s="284">
        <f t="shared" si="17"/>
        <v>0</v>
      </c>
      <c r="T51" s="284">
        <f t="shared" si="17"/>
        <v>0</v>
      </c>
      <c r="U51" s="284">
        <f t="shared" si="17"/>
        <v>0</v>
      </c>
      <c r="V51" s="284">
        <f t="shared" si="17"/>
        <v>0</v>
      </c>
      <c r="W51" s="283">
        <f t="shared" si="17"/>
        <v>0</v>
      </c>
      <c r="X51" s="284">
        <f t="shared" si="17"/>
        <v>0</v>
      </c>
      <c r="Y51" s="284">
        <f t="shared" si="17"/>
        <v>0</v>
      </c>
      <c r="Z51" s="284">
        <f t="shared" si="17"/>
        <v>0</v>
      </c>
      <c r="AA51" s="284">
        <f t="shared" si="17"/>
        <v>0</v>
      </c>
      <c r="AB51" s="164"/>
      <c r="AC51" s="164"/>
      <c r="AD51" s="283">
        <f>SUM(AD46:AD50)</f>
        <v>0</v>
      </c>
      <c r="AE51" s="284">
        <f>SUM(AE46:AE50)</f>
        <v>0</v>
      </c>
      <c r="AF51" s="284">
        <f>SUM(AF46:AF50)</f>
        <v>0</v>
      </c>
      <c r="AG51" s="284">
        <f>SUM(AG46:AG50)</f>
        <v>0</v>
      </c>
      <c r="AH51" s="284">
        <f>SUM(AH46:AH50)</f>
        <v>0</v>
      </c>
      <c r="AI51" s="164"/>
      <c r="AJ51" s="164"/>
      <c r="AK51" s="283">
        <f>SUM(AK46:AK50)</f>
        <v>33000</v>
      </c>
      <c r="AL51" s="284">
        <f>SUM(AL46:AL50)</f>
        <v>34100</v>
      </c>
      <c r="AM51" s="284">
        <f>SUM(AM46:AM50)</f>
        <v>35200</v>
      </c>
      <c r="AN51" s="284">
        <f>SUM(AN46:AN50)</f>
        <v>36300</v>
      </c>
      <c r="AO51" s="284">
        <f>SUM(AO46:AO50)</f>
        <v>38500</v>
      </c>
    </row>
    <row r="52" spans="1:41">
      <c r="E52" s="162"/>
      <c r="F52" s="66"/>
      <c r="G52" s="46"/>
      <c r="H52" s="46"/>
      <c r="I52" s="46"/>
      <c r="J52" s="46"/>
      <c r="K52" s="66"/>
      <c r="L52" s="46"/>
      <c r="M52" s="46"/>
      <c r="N52" s="46"/>
      <c r="O52" s="142"/>
      <c r="P52" s="162"/>
      <c r="Q52" s="162"/>
      <c r="R52" s="61"/>
      <c r="V52" s="62"/>
      <c r="W52" s="61"/>
      <c r="AA52" s="62"/>
      <c r="AB52" s="162"/>
      <c r="AC52" s="162"/>
      <c r="AD52" s="61"/>
      <c r="AH52" s="62"/>
      <c r="AI52" s="162"/>
      <c r="AJ52" s="162"/>
      <c r="AK52" s="61"/>
      <c r="AO52" s="62"/>
    </row>
    <row r="53" spans="1:41" s="292" customFormat="1" ht="14.25" customHeight="1" outlineLevel="1">
      <c r="A53" s="314" t="s">
        <v>184</v>
      </c>
      <c r="B53" s="286" t="s">
        <v>153</v>
      </c>
      <c r="C53" s="287" t="s">
        <v>132</v>
      </c>
      <c r="D53" s="288">
        <v>100</v>
      </c>
      <c r="E53" s="187"/>
      <c r="F53" s="272">
        <f t="shared" ref="F53:O53" si="18">$D$53*F5*F9</f>
        <v>600</v>
      </c>
      <c r="G53" s="273">
        <f t="shared" si="18"/>
        <v>525</v>
      </c>
      <c r="H53" s="273">
        <f t="shared" si="18"/>
        <v>530</v>
      </c>
      <c r="I53" s="273">
        <f t="shared" si="18"/>
        <v>321</v>
      </c>
      <c r="J53" s="274">
        <f t="shared" si="18"/>
        <v>327</v>
      </c>
      <c r="K53" s="272">
        <f t="shared" si="18"/>
        <v>500</v>
      </c>
      <c r="L53" s="273">
        <f t="shared" si="18"/>
        <v>525</v>
      </c>
      <c r="M53" s="273">
        <f t="shared" si="18"/>
        <v>530</v>
      </c>
      <c r="N53" s="273">
        <f t="shared" si="18"/>
        <v>535</v>
      </c>
      <c r="O53" s="274">
        <f t="shared" si="18"/>
        <v>545</v>
      </c>
      <c r="P53" s="187"/>
      <c r="Q53" s="187"/>
      <c r="R53" s="272">
        <f t="shared" ref="R53:AA53" si="19">$D$53*R5*R9</f>
        <v>0</v>
      </c>
      <c r="S53" s="273">
        <f t="shared" si="19"/>
        <v>0</v>
      </c>
      <c r="T53" s="273">
        <f t="shared" si="19"/>
        <v>0</v>
      </c>
      <c r="U53" s="273">
        <f t="shared" si="19"/>
        <v>0</v>
      </c>
      <c r="V53" s="274">
        <f t="shared" si="19"/>
        <v>0</v>
      </c>
      <c r="W53" s="272">
        <f t="shared" si="19"/>
        <v>0</v>
      </c>
      <c r="X53" s="273">
        <f t="shared" si="19"/>
        <v>0</v>
      </c>
      <c r="Y53" s="273">
        <f t="shared" si="19"/>
        <v>0</v>
      </c>
      <c r="Z53" s="273">
        <f t="shared" si="19"/>
        <v>0</v>
      </c>
      <c r="AA53" s="274">
        <f t="shared" si="19"/>
        <v>0</v>
      </c>
      <c r="AB53" s="187"/>
      <c r="AC53" s="187"/>
      <c r="AD53" s="272">
        <f>$D$53*AD5*AD9</f>
        <v>0</v>
      </c>
      <c r="AE53" s="273">
        <f>$D$53*AE5*AE9</f>
        <v>0</v>
      </c>
      <c r="AF53" s="273">
        <f>$D$53*AF5*AF9</f>
        <v>0</v>
      </c>
      <c r="AG53" s="273">
        <f>$D$53*AG5*AG9</f>
        <v>0</v>
      </c>
      <c r="AH53" s="274">
        <f>$D$53*AH5*AH9</f>
        <v>0</v>
      </c>
      <c r="AI53" s="187"/>
      <c r="AJ53" s="187"/>
      <c r="AK53" s="289">
        <f t="shared" ref="AK53:AO57" si="20">F53+K53+R53+W53+AD53</f>
        <v>1100</v>
      </c>
      <c r="AL53" s="290">
        <f t="shared" si="20"/>
        <v>1050</v>
      </c>
      <c r="AM53" s="290">
        <f t="shared" si="20"/>
        <v>1060</v>
      </c>
      <c r="AN53" s="290">
        <f t="shared" si="20"/>
        <v>856</v>
      </c>
      <c r="AO53" s="291">
        <f t="shared" si="20"/>
        <v>872</v>
      </c>
    </row>
    <row r="54" spans="1:41" outlineLevel="1">
      <c r="A54" s="315"/>
      <c r="B54" s="286" t="s">
        <v>154</v>
      </c>
      <c r="C54" s="219" t="s">
        <v>132</v>
      </c>
      <c r="D54" s="233">
        <v>2000</v>
      </c>
      <c r="E54" s="162"/>
      <c r="F54" s="238">
        <f t="shared" ref="F54:O54" si="21">$D$54*F5*F9</f>
        <v>12000</v>
      </c>
      <c r="G54" s="236">
        <f t="shared" si="21"/>
        <v>10500</v>
      </c>
      <c r="H54" s="236">
        <f t="shared" si="21"/>
        <v>10600</v>
      </c>
      <c r="I54" s="236">
        <f t="shared" si="21"/>
        <v>6420</v>
      </c>
      <c r="J54" s="237">
        <f t="shared" si="21"/>
        <v>6540.0000000000009</v>
      </c>
      <c r="K54" s="238">
        <f t="shared" si="21"/>
        <v>10000</v>
      </c>
      <c r="L54" s="236">
        <f t="shared" si="21"/>
        <v>10500</v>
      </c>
      <c r="M54" s="236">
        <f t="shared" si="21"/>
        <v>10600</v>
      </c>
      <c r="N54" s="236">
        <f t="shared" si="21"/>
        <v>10700</v>
      </c>
      <c r="O54" s="237">
        <f t="shared" si="21"/>
        <v>10900</v>
      </c>
      <c r="P54" s="162"/>
      <c r="Q54" s="162"/>
      <c r="R54" s="238">
        <f t="shared" ref="R54:AA54" si="22">$D$54*R5*R9</f>
        <v>0</v>
      </c>
      <c r="S54" s="236">
        <f t="shared" si="22"/>
        <v>0</v>
      </c>
      <c r="T54" s="236">
        <f t="shared" si="22"/>
        <v>0</v>
      </c>
      <c r="U54" s="236">
        <f t="shared" si="22"/>
        <v>0</v>
      </c>
      <c r="V54" s="237">
        <f t="shared" si="22"/>
        <v>0</v>
      </c>
      <c r="W54" s="238">
        <f t="shared" si="22"/>
        <v>0</v>
      </c>
      <c r="X54" s="236">
        <f t="shared" si="22"/>
        <v>0</v>
      </c>
      <c r="Y54" s="236">
        <f t="shared" si="22"/>
        <v>0</v>
      </c>
      <c r="Z54" s="236">
        <f t="shared" si="22"/>
        <v>0</v>
      </c>
      <c r="AA54" s="237">
        <f t="shared" si="22"/>
        <v>0</v>
      </c>
      <c r="AB54" s="162"/>
      <c r="AC54" s="162"/>
      <c r="AD54" s="238">
        <f>$D$54*AD5*AD9</f>
        <v>0</v>
      </c>
      <c r="AE54" s="236">
        <f>$D$54*AE5*AE9</f>
        <v>0</v>
      </c>
      <c r="AF54" s="236">
        <f>$D$54*AF5*AF9</f>
        <v>0</v>
      </c>
      <c r="AG54" s="236">
        <f>$D$54*AG5*AG9</f>
        <v>0</v>
      </c>
      <c r="AH54" s="237">
        <f>$D$54*AH5*AH9</f>
        <v>0</v>
      </c>
      <c r="AI54" s="162"/>
      <c r="AJ54" s="162"/>
      <c r="AK54" s="66">
        <f t="shared" si="20"/>
        <v>22000</v>
      </c>
      <c r="AL54" s="46">
        <f t="shared" si="20"/>
        <v>21000</v>
      </c>
      <c r="AM54" s="46">
        <f t="shared" si="20"/>
        <v>21200</v>
      </c>
      <c r="AN54" s="46">
        <f t="shared" si="20"/>
        <v>17120</v>
      </c>
      <c r="AO54" s="142">
        <f t="shared" si="20"/>
        <v>17440</v>
      </c>
    </row>
    <row r="55" spans="1:41" outlineLevel="1">
      <c r="A55" s="315"/>
      <c r="B55" s="286" t="s">
        <v>143</v>
      </c>
      <c r="C55" s="219" t="s">
        <v>145</v>
      </c>
      <c r="D55" s="233">
        <v>15000</v>
      </c>
      <c r="E55" s="162"/>
      <c r="F55" s="238">
        <f>D55*F9</f>
        <v>15000</v>
      </c>
      <c r="G55" s="236">
        <f>F55*G9</f>
        <v>15750</v>
      </c>
      <c r="H55" s="236">
        <f>G55*H9</f>
        <v>16695</v>
      </c>
      <c r="I55" s="236">
        <f>H55*I9</f>
        <v>17863.650000000001</v>
      </c>
      <c r="J55" s="237">
        <f>I55*J9</f>
        <v>19471.378500000003</v>
      </c>
      <c r="K55" s="238">
        <f>I55*K9</f>
        <v>17863.650000000001</v>
      </c>
      <c r="L55" s="236">
        <f>K55*L9</f>
        <v>18756.832500000004</v>
      </c>
      <c r="M55" s="236">
        <f>L55*M9</f>
        <v>19882.242450000005</v>
      </c>
      <c r="N55" s="236">
        <f>M55*N9</f>
        <v>21273.999421500008</v>
      </c>
      <c r="O55" s="237">
        <f>N55*O9</f>
        <v>23188.659369435009</v>
      </c>
      <c r="P55" s="162"/>
      <c r="Q55" s="162"/>
      <c r="R55" s="238">
        <f>P55*R9</f>
        <v>0</v>
      </c>
      <c r="S55" s="236">
        <f>R55*S9</f>
        <v>0</v>
      </c>
      <c r="T55" s="236">
        <f>S55*T9</f>
        <v>0</v>
      </c>
      <c r="U55" s="236">
        <f>T55*U9</f>
        <v>0</v>
      </c>
      <c r="V55" s="237">
        <f>U55*V9</f>
        <v>0</v>
      </c>
      <c r="W55" s="238">
        <f>U55*W9</f>
        <v>0</v>
      </c>
      <c r="X55" s="236">
        <f>W55*X9</f>
        <v>0</v>
      </c>
      <c r="Y55" s="236">
        <f>X55*Y9</f>
        <v>0</v>
      </c>
      <c r="Z55" s="236">
        <f>Y55*Z9</f>
        <v>0</v>
      </c>
      <c r="AA55" s="237">
        <f>Z55*AA9</f>
        <v>0</v>
      </c>
      <c r="AB55" s="162"/>
      <c r="AC55" s="162"/>
      <c r="AD55" s="238">
        <f>AB55*AD9</f>
        <v>0</v>
      </c>
      <c r="AE55" s="236">
        <f>AD55*AE9</f>
        <v>0</v>
      </c>
      <c r="AF55" s="236">
        <f>AE55*AF9</f>
        <v>0</v>
      </c>
      <c r="AG55" s="236">
        <f>AF55*AG9</f>
        <v>0</v>
      </c>
      <c r="AH55" s="237">
        <f>AG55*AH9</f>
        <v>0</v>
      </c>
      <c r="AI55" s="162"/>
      <c r="AJ55" s="162"/>
      <c r="AK55" s="66">
        <f t="shared" si="20"/>
        <v>32863.65</v>
      </c>
      <c r="AL55" s="46">
        <f t="shared" si="20"/>
        <v>34506.832500000004</v>
      </c>
      <c r="AM55" s="46">
        <f t="shared" si="20"/>
        <v>36577.242450000005</v>
      </c>
      <c r="AN55" s="46">
        <f t="shared" si="20"/>
        <v>39137.649421500013</v>
      </c>
      <c r="AO55" s="142">
        <f t="shared" si="20"/>
        <v>42660.037869435007</v>
      </c>
    </row>
    <row r="56" spans="1:41" outlineLevel="1">
      <c r="A56" s="315"/>
      <c r="B56" s="286" t="s">
        <v>156</v>
      </c>
      <c r="C56" s="219" t="s">
        <v>157</v>
      </c>
      <c r="D56" s="233">
        <f>120*5500</f>
        <v>660000</v>
      </c>
      <c r="E56" s="171"/>
      <c r="F56" s="238">
        <f>D56</f>
        <v>660000</v>
      </c>
      <c r="G56" s="236"/>
      <c r="H56" s="236"/>
      <c r="I56" s="236"/>
      <c r="J56" s="237"/>
      <c r="K56" s="238"/>
      <c r="L56" s="236"/>
      <c r="M56" s="236"/>
      <c r="N56" s="236"/>
      <c r="O56" s="237"/>
      <c r="P56" s="162"/>
      <c r="Q56" s="162"/>
      <c r="R56" s="238"/>
      <c r="S56" s="236"/>
      <c r="T56" s="236"/>
      <c r="U56" s="236"/>
      <c r="V56" s="237"/>
      <c r="W56" s="238"/>
      <c r="X56" s="236"/>
      <c r="Y56" s="236"/>
      <c r="Z56" s="236"/>
      <c r="AA56" s="237"/>
      <c r="AB56" s="162"/>
      <c r="AC56" s="162"/>
      <c r="AD56" s="238"/>
      <c r="AE56" s="236"/>
      <c r="AF56" s="236"/>
      <c r="AG56" s="236"/>
      <c r="AH56" s="237"/>
      <c r="AI56" s="162"/>
      <c r="AJ56" s="162"/>
      <c r="AK56" s="66">
        <f t="shared" si="20"/>
        <v>660000</v>
      </c>
      <c r="AL56" s="46">
        <f t="shared" si="20"/>
        <v>0</v>
      </c>
      <c r="AM56" s="46">
        <f t="shared" si="20"/>
        <v>0</v>
      </c>
      <c r="AN56" s="46">
        <f t="shared" si="20"/>
        <v>0</v>
      </c>
      <c r="AO56" s="142">
        <f t="shared" si="20"/>
        <v>0</v>
      </c>
    </row>
    <row r="57" spans="1:41" s="296" customFormat="1" outlineLevel="1">
      <c r="A57" s="315"/>
      <c r="B57" s="286"/>
      <c r="C57" s="227"/>
      <c r="D57" s="227"/>
      <c r="E57" s="200"/>
      <c r="F57" s="226"/>
      <c r="G57" s="227"/>
      <c r="H57" s="227"/>
      <c r="I57" s="227"/>
      <c r="J57" s="231"/>
      <c r="K57" s="226"/>
      <c r="L57" s="227"/>
      <c r="M57" s="227"/>
      <c r="N57" s="227"/>
      <c r="O57" s="231"/>
      <c r="P57" s="200"/>
      <c r="Q57" s="200"/>
      <c r="R57" s="226"/>
      <c r="S57" s="227"/>
      <c r="T57" s="227"/>
      <c r="U57" s="227"/>
      <c r="V57" s="231"/>
      <c r="W57" s="226"/>
      <c r="X57" s="227"/>
      <c r="Y57" s="227"/>
      <c r="Z57" s="227"/>
      <c r="AA57" s="231"/>
      <c r="AB57" s="200"/>
      <c r="AC57" s="200"/>
      <c r="AD57" s="226"/>
      <c r="AE57" s="227"/>
      <c r="AF57" s="227"/>
      <c r="AG57" s="227"/>
      <c r="AH57" s="231"/>
      <c r="AI57" s="200"/>
      <c r="AJ57" s="200"/>
      <c r="AK57" s="293">
        <f t="shared" si="20"/>
        <v>0</v>
      </c>
      <c r="AL57" s="294">
        <f t="shared" si="20"/>
        <v>0</v>
      </c>
      <c r="AM57" s="294">
        <f t="shared" si="20"/>
        <v>0</v>
      </c>
      <c r="AN57" s="294">
        <f t="shared" si="20"/>
        <v>0</v>
      </c>
      <c r="AO57" s="295">
        <f t="shared" si="20"/>
        <v>0</v>
      </c>
    </row>
    <row r="58" spans="1:41" s="60" customFormat="1" ht="15">
      <c r="A58" s="349" t="s">
        <v>136</v>
      </c>
      <c r="B58" s="350"/>
      <c r="C58" s="350"/>
      <c r="D58" s="350"/>
      <c r="E58" s="351"/>
      <c r="F58" s="293">
        <f t="shared" ref="F58:O58" si="23">SUM(F53:F56)</f>
        <v>687600</v>
      </c>
      <c r="G58" s="294">
        <f t="shared" si="23"/>
        <v>26775</v>
      </c>
      <c r="H58" s="294">
        <f t="shared" si="23"/>
        <v>27825</v>
      </c>
      <c r="I58" s="294">
        <f t="shared" si="23"/>
        <v>24604.65</v>
      </c>
      <c r="J58" s="294">
        <f t="shared" si="23"/>
        <v>26338.378500000003</v>
      </c>
      <c r="K58" s="143">
        <f t="shared" si="23"/>
        <v>28363.65</v>
      </c>
      <c r="L58" s="117">
        <f t="shared" si="23"/>
        <v>29781.832500000004</v>
      </c>
      <c r="M58" s="117">
        <f t="shared" si="23"/>
        <v>31012.242450000005</v>
      </c>
      <c r="N58" s="117">
        <f t="shared" si="23"/>
        <v>32508.999421500008</v>
      </c>
      <c r="O58" s="297">
        <f t="shared" si="23"/>
        <v>34633.659369435009</v>
      </c>
      <c r="P58" s="164"/>
      <c r="Q58" s="164"/>
      <c r="R58" s="143">
        <f t="shared" ref="R58:AA58" si="24">SUM(R53:R56)</f>
        <v>0</v>
      </c>
      <c r="S58" s="117">
        <f t="shared" si="24"/>
        <v>0</v>
      </c>
      <c r="T58" s="117">
        <f t="shared" si="24"/>
        <v>0</v>
      </c>
      <c r="U58" s="117">
        <f t="shared" si="24"/>
        <v>0</v>
      </c>
      <c r="V58" s="297">
        <f t="shared" si="24"/>
        <v>0</v>
      </c>
      <c r="W58" s="143">
        <f t="shared" si="24"/>
        <v>0</v>
      </c>
      <c r="X58" s="117">
        <f t="shared" si="24"/>
        <v>0</v>
      </c>
      <c r="Y58" s="117">
        <f t="shared" si="24"/>
        <v>0</v>
      </c>
      <c r="Z58" s="117">
        <f t="shared" si="24"/>
        <v>0</v>
      </c>
      <c r="AA58" s="297">
        <f t="shared" si="24"/>
        <v>0</v>
      </c>
      <c r="AB58" s="164"/>
      <c r="AC58" s="164"/>
      <c r="AD58" s="143">
        <f>SUM(AD53:AD56)</f>
        <v>0</v>
      </c>
      <c r="AE58" s="117">
        <f>SUM(AE53:AE56)</f>
        <v>0</v>
      </c>
      <c r="AF58" s="117">
        <f>SUM(AF53:AF56)</f>
        <v>0</v>
      </c>
      <c r="AG58" s="117">
        <f>SUM(AG53:AG56)</f>
        <v>0</v>
      </c>
      <c r="AH58" s="297">
        <f>SUM(AH53:AH56)</f>
        <v>0</v>
      </c>
      <c r="AI58" s="164"/>
      <c r="AJ58" s="164"/>
      <c r="AK58" s="143">
        <f>SUM(AK53:AK56)</f>
        <v>715963.65</v>
      </c>
      <c r="AL58" s="117">
        <f>SUM(AL53:AL56)</f>
        <v>56556.832500000004</v>
      </c>
      <c r="AM58" s="117">
        <f>SUM(AM53:AM56)</f>
        <v>58837.242450000005</v>
      </c>
      <c r="AN58" s="117">
        <f>SUM(AN53:AN56)</f>
        <v>57113.649421500013</v>
      </c>
      <c r="AO58" s="297">
        <f>SUM(AO53:AO56)</f>
        <v>60972.037869435007</v>
      </c>
    </row>
    <row r="59" spans="1:41">
      <c r="E59" s="162"/>
      <c r="F59" s="61"/>
      <c r="K59" s="61"/>
      <c r="O59" s="62"/>
      <c r="P59" s="162"/>
      <c r="Q59" s="162"/>
      <c r="R59" s="61"/>
      <c r="V59" s="62"/>
      <c r="W59" s="61"/>
      <c r="AA59" s="62"/>
      <c r="AB59" s="162"/>
      <c r="AC59" s="162"/>
      <c r="AD59" s="61"/>
      <c r="AH59" s="62"/>
      <c r="AI59" s="162"/>
      <c r="AJ59" s="162"/>
      <c r="AK59" s="61"/>
      <c r="AO59" s="62"/>
    </row>
    <row r="60" spans="1:41">
      <c r="E60" s="162"/>
      <c r="F60" s="61"/>
      <c r="K60" s="61"/>
      <c r="O60" s="62"/>
      <c r="P60" s="162"/>
      <c r="Q60" s="162"/>
      <c r="R60" s="61"/>
      <c r="V60" s="62"/>
      <c r="W60" s="61"/>
      <c r="AA60" s="62"/>
      <c r="AB60" s="162"/>
      <c r="AC60" s="162"/>
      <c r="AD60" s="61"/>
      <c r="AH60" s="62"/>
      <c r="AI60" s="162"/>
      <c r="AJ60" s="162"/>
      <c r="AK60" s="61"/>
      <c r="AO60" s="62"/>
    </row>
    <row r="61" spans="1:41">
      <c r="A61" t="s">
        <v>129</v>
      </c>
      <c r="E61" s="162"/>
      <c r="F61" s="61"/>
      <c r="K61" s="61"/>
      <c r="O61" s="62"/>
      <c r="P61" s="162"/>
      <c r="Q61" s="162"/>
      <c r="R61" s="61"/>
      <c r="V61" s="62"/>
      <c r="W61" s="61"/>
      <c r="AA61" s="62"/>
      <c r="AB61" s="162"/>
      <c r="AC61" s="162"/>
      <c r="AD61" s="61"/>
      <c r="AH61" s="62"/>
      <c r="AI61" s="162"/>
      <c r="AJ61" s="162"/>
      <c r="AK61" s="61"/>
      <c r="AO61" s="62"/>
    </row>
    <row r="62" spans="1:41" ht="15" thickBot="1">
      <c r="C62" t="s">
        <v>146</v>
      </c>
      <c r="D62">
        <v>1E-3</v>
      </c>
      <c r="E62" s="162"/>
      <c r="F62" s="61"/>
      <c r="K62" s="61"/>
      <c r="O62" s="62"/>
      <c r="P62" s="162"/>
      <c r="Q62" s="162"/>
      <c r="R62" s="61"/>
      <c r="V62" s="62"/>
      <c r="W62" s="61"/>
      <c r="AA62" s="62"/>
      <c r="AB62" s="162"/>
      <c r="AC62" s="162"/>
      <c r="AD62" s="61"/>
      <c r="AH62" s="62"/>
      <c r="AI62" s="162"/>
      <c r="AJ62" s="162"/>
      <c r="AK62" s="61"/>
      <c r="AO62" s="62"/>
    </row>
    <row r="63" spans="1:41" ht="15" thickBot="1">
      <c r="C63" t="s">
        <v>147</v>
      </c>
      <c r="D63" t="s">
        <v>110</v>
      </c>
      <c r="E63" s="162"/>
      <c r="F63" s="149">
        <f t="shared" ref="F63:O63" si="25">F58+F44+F40+F34+F17</f>
        <v>750600</v>
      </c>
      <c r="G63" s="150">
        <f t="shared" si="25"/>
        <v>324025</v>
      </c>
      <c r="H63" s="150">
        <f t="shared" si="25"/>
        <v>27825</v>
      </c>
      <c r="I63" s="150">
        <f t="shared" si="25"/>
        <v>24604.65</v>
      </c>
      <c r="J63" s="150">
        <f t="shared" si="25"/>
        <v>26338.378500000003</v>
      </c>
      <c r="K63" s="149">
        <f t="shared" si="25"/>
        <v>36363.65</v>
      </c>
      <c r="L63" s="150">
        <f t="shared" si="25"/>
        <v>43781.832500000004</v>
      </c>
      <c r="M63" s="150">
        <f t="shared" si="25"/>
        <v>31012.242450000005</v>
      </c>
      <c r="N63" s="150">
        <f t="shared" si="25"/>
        <v>32508.999421500008</v>
      </c>
      <c r="O63" s="150">
        <f t="shared" si="25"/>
        <v>34633.659369435009</v>
      </c>
      <c r="P63" s="162"/>
      <c r="Q63" s="162"/>
      <c r="R63" s="149">
        <f t="shared" ref="R63:AA63" si="26">R58+R44+R40+R34+R17</f>
        <v>681000.6</v>
      </c>
      <c r="S63" s="150">
        <f t="shared" si="26"/>
        <v>0</v>
      </c>
      <c r="T63" s="150">
        <f t="shared" si="26"/>
        <v>0</v>
      </c>
      <c r="U63" s="150">
        <f t="shared" si="26"/>
        <v>0</v>
      </c>
      <c r="V63" s="150">
        <f t="shared" si="26"/>
        <v>0</v>
      </c>
      <c r="W63" s="149">
        <f t="shared" si="26"/>
        <v>373500.2</v>
      </c>
      <c r="X63" s="150">
        <f t="shared" si="26"/>
        <v>0</v>
      </c>
      <c r="Y63" s="150">
        <f t="shared" si="26"/>
        <v>0</v>
      </c>
      <c r="Z63" s="150">
        <f t="shared" si="26"/>
        <v>0</v>
      </c>
      <c r="AA63" s="150">
        <f t="shared" si="26"/>
        <v>0</v>
      </c>
      <c r="AB63" s="162"/>
      <c r="AC63" s="162"/>
      <c r="AD63" s="149">
        <f>AD58+AD44+AD40+AD34+AD17</f>
        <v>111000.2</v>
      </c>
      <c r="AE63" s="150">
        <f>AE58+AE44+AE40+AE34+AE17</f>
        <v>0</v>
      </c>
      <c r="AF63" s="150">
        <f>AF58+AF44+AF40+AF34+AF17</f>
        <v>0</v>
      </c>
      <c r="AG63" s="150">
        <f>AG58+AG44+AG40+AG34+AG17</f>
        <v>0</v>
      </c>
      <c r="AH63" s="150">
        <f>AH58+AH44+AH40+AH34+AH17</f>
        <v>0</v>
      </c>
      <c r="AI63" s="162"/>
      <c r="AJ63" s="162"/>
      <c r="AK63" s="149">
        <f t="shared" ref="AK63:AO65" si="27">F63+K63+R63+W63+AD63</f>
        <v>1952464.65</v>
      </c>
      <c r="AL63" s="150">
        <f t="shared" si="27"/>
        <v>367806.83250000002</v>
      </c>
      <c r="AM63" s="150">
        <f t="shared" si="27"/>
        <v>58837.242450000005</v>
      </c>
      <c r="AN63" s="150">
        <f t="shared" si="27"/>
        <v>57113.649421500013</v>
      </c>
      <c r="AO63" s="150">
        <f t="shared" si="27"/>
        <v>60972.037869435007</v>
      </c>
    </row>
    <row r="64" spans="1:41" ht="15" thickBot="1">
      <c r="E64" s="162"/>
      <c r="F64" s="66">
        <f t="shared" ref="F64:O64" si="28">F63*$D$62</f>
        <v>750.6</v>
      </c>
      <c r="G64" s="46">
        <f t="shared" si="28"/>
        <v>324.02500000000003</v>
      </c>
      <c r="H64" s="46">
        <f t="shared" si="28"/>
        <v>27.824999999999999</v>
      </c>
      <c r="I64" s="46">
        <f t="shared" si="28"/>
        <v>24.604650000000003</v>
      </c>
      <c r="J64" s="46">
        <f t="shared" si="28"/>
        <v>26.338378500000005</v>
      </c>
      <c r="K64" s="66">
        <f t="shared" si="28"/>
        <v>36.36365</v>
      </c>
      <c r="L64" s="46">
        <f t="shared" si="28"/>
        <v>43.781832500000007</v>
      </c>
      <c r="M64" s="46">
        <f t="shared" si="28"/>
        <v>31.012242450000006</v>
      </c>
      <c r="N64" s="46">
        <f t="shared" si="28"/>
        <v>32.508999421500008</v>
      </c>
      <c r="O64" s="46">
        <f t="shared" si="28"/>
        <v>34.633659369435009</v>
      </c>
      <c r="P64" s="162"/>
      <c r="Q64" s="162"/>
      <c r="R64" s="66">
        <f t="shared" ref="R64:AA64" si="29">R63*$D$62</f>
        <v>681.00059999999996</v>
      </c>
      <c r="S64" s="46">
        <f t="shared" si="29"/>
        <v>0</v>
      </c>
      <c r="T64" s="46">
        <f t="shared" si="29"/>
        <v>0</v>
      </c>
      <c r="U64" s="46">
        <f t="shared" si="29"/>
        <v>0</v>
      </c>
      <c r="V64" s="46">
        <f t="shared" si="29"/>
        <v>0</v>
      </c>
      <c r="W64" s="66">
        <f t="shared" si="29"/>
        <v>373.50020000000001</v>
      </c>
      <c r="X64" s="46">
        <f t="shared" si="29"/>
        <v>0</v>
      </c>
      <c r="Y64" s="46">
        <f t="shared" si="29"/>
        <v>0</v>
      </c>
      <c r="Z64" s="46">
        <f t="shared" si="29"/>
        <v>0</v>
      </c>
      <c r="AA64" s="46">
        <f t="shared" si="29"/>
        <v>0</v>
      </c>
      <c r="AB64" s="162"/>
      <c r="AC64" s="162"/>
      <c r="AD64" s="66">
        <f>AD63*$D$62</f>
        <v>111.00019999999999</v>
      </c>
      <c r="AE64" s="46">
        <f>AE63*$D$62</f>
        <v>0</v>
      </c>
      <c r="AF64" s="46">
        <f>AF63*$D$62</f>
        <v>0</v>
      </c>
      <c r="AG64" s="46">
        <f>AG63*$D$62</f>
        <v>0</v>
      </c>
      <c r="AH64" s="46">
        <f>AH63*$D$62</f>
        <v>0</v>
      </c>
      <c r="AI64" s="162"/>
      <c r="AJ64" s="162"/>
      <c r="AK64" s="66">
        <f t="shared" si="27"/>
        <v>1952.4646499999999</v>
      </c>
      <c r="AL64" s="46">
        <f t="shared" si="27"/>
        <v>367.80683250000004</v>
      </c>
      <c r="AM64" s="46">
        <f t="shared" si="27"/>
        <v>58.837242450000005</v>
      </c>
      <c r="AN64" s="46">
        <f t="shared" si="27"/>
        <v>57.113649421500014</v>
      </c>
      <c r="AO64" s="46">
        <f t="shared" si="27"/>
        <v>60.972037869435013</v>
      </c>
    </row>
    <row r="65" spans="3:41" ht="15.75" thickBot="1">
      <c r="C65" t="s">
        <v>133</v>
      </c>
      <c r="E65" s="162"/>
      <c r="F65" s="152">
        <f t="shared" ref="F65:O65" si="30">F63+F64</f>
        <v>751350.6</v>
      </c>
      <c r="G65" s="153">
        <f t="shared" si="30"/>
        <v>324349.02500000002</v>
      </c>
      <c r="H65" s="153">
        <f t="shared" si="30"/>
        <v>27852.825000000001</v>
      </c>
      <c r="I65" s="153">
        <f t="shared" si="30"/>
        <v>24629.254650000003</v>
      </c>
      <c r="J65" s="153">
        <f t="shared" si="30"/>
        <v>26364.716878500003</v>
      </c>
      <c r="K65" s="152">
        <f t="shared" si="30"/>
        <v>36400.013650000001</v>
      </c>
      <c r="L65" s="153">
        <f t="shared" si="30"/>
        <v>43825.614332500001</v>
      </c>
      <c r="M65" s="153">
        <f t="shared" si="30"/>
        <v>31043.254692450006</v>
      </c>
      <c r="N65" s="153">
        <f t="shared" si="30"/>
        <v>32541.508420921509</v>
      </c>
      <c r="O65" s="153">
        <f t="shared" si="30"/>
        <v>34668.293028804444</v>
      </c>
      <c r="P65" s="162"/>
      <c r="Q65" s="162"/>
      <c r="R65" s="152">
        <f t="shared" ref="R65:AA65" si="31">R63+R64</f>
        <v>681681.60060000001</v>
      </c>
      <c r="S65" s="153">
        <f t="shared" si="31"/>
        <v>0</v>
      </c>
      <c r="T65" s="153">
        <f t="shared" si="31"/>
        <v>0</v>
      </c>
      <c r="U65" s="153">
        <f t="shared" si="31"/>
        <v>0</v>
      </c>
      <c r="V65" s="153">
        <f t="shared" si="31"/>
        <v>0</v>
      </c>
      <c r="W65" s="152">
        <f t="shared" si="31"/>
        <v>373873.70020000002</v>
      </c>
      <c r="X65" s="153">
        <f t="shared" si="31"/>
        <v>0</v>
      </c>
      <c r="Y65" s="153">
        <f t="shared" si="31"/>
        <v>0</v>
      </c>
      <c r="Z65" s="153">
        <f t="shared" si="31"/>
        <v>0</v>
      </c>
      <c r="AA65" s="153">
        <f t="shared" si="31"/>
        <v>0</v>
      </c>
      <c r="AB65" s="162"/>
      <c r="AC65" s="162"/>
      <c r="AD65" s="152">
        <f>AD63+AD64</f>
        <v>111111.20019999999</v>
      </c>
      <c r="AE65" s="153">
        <f>AE63+AE64</f>
        <v>0</v>
      </c>
      <c r="AF65" s="153">
        <f>AF63+AF64</f>
        <v>0</v>
      </c>
      <c r="AG65" s="153">
        <f>AG63+AG64</f>
        <v>0</v>
      </c>
      <c r="AH65" s="153">
        <f>AH63+AH64</f>
        <v>0</v>
      </c>
      <c r="AI65" s="162"/>
      <c r="AJ65" s="162"/>
      <c r="AK65" s="152">
        <f t="shared" si="27"/>
        <v>1954417.1146500001</v>
      </c>
      <c r="AL65" s="153">
        <f t="shared" si="27"/>
        <v>368174.63933250005</v>
      </c>
      <c r="AM65" s="153">
        <f t="shared" si="27"/>
        <v>58896.079692450003</v>
      </c>
      <c r="AN65" s="153">
        <f t="shared" si="27"/>
        <v>57170.763070921515</v>
      </c>
      <c r="AO65" s="153">
        <f t="shared" si="27"/>
        <v>61033.009907304448</v>
      </c>
    </row>
  </sheetData>
  <mergeCells count="36">
    <mergeCell ref="C4:D4"/>
    <mergeCell ref="AK2:AO2"/>
    <mergeCell ref="F3:J3"/>
    <mergeCell ref="K3:O3"/>
    <mergeCell ref="R3:V3"/>
    <mergeCell ref="W3:AA3"/>
    <mergeCell ref="AD3:AH3"/>
    <mergeCell ref="AK3:AO3"/>
    <mergeCell ref="AD2:AH2"/>
    <mergeCell ref="A1:N1"/>
    <mergeCell ref="F2:J2"/>
    <mergeCell ref="K2:O2"/>
    <mergeCell ref="R2:V2"/>
    <mergeCell ref="W2:AA2"/>
    <mergeCell ref="A11:A16"/>
    <mergeCell ref="B11:B12"/>
    <mergeCell ref="B13:B14"/>
    <mergeCell ref="B15:B16"/>
    <mergeCell ref="A17:E17"/>
    <mergeCell ref="A19:A21"/>
    <mergeCell ref="A22:A24"/>
    <mergeCell ref="A25:A27"/>
    <mergeCell ref="A28:A30"/>
    <mergeCell ref="A31:A33"/>
    <mergeCell ref="A34:E34"/>
    <mergeCell ref="A36:A39"/>
    <mergeCell ref="B36:B37"/>
    <mergeCell ref="B38:B39"/>
    <mergeCell ref="A40:E40"/>
    <mergeCell ref="A53:A57"/>
    <mergeCell ref="A58:E58"/>
    <mergeCell ref="A42:A43"/>
    <mergeCell ref="B42:B43"/>
    <mergeCell ref="A44:E44"/>
    <mergeCell ref="A46:A50"/>
    <mergeCell ref="A51:E5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3624E-6681-43F6-9592-70FED1143AA9}">
  <dimension ref="A1:AO65"/>
  <sheetViews>
    <sheetView workbookViewId="0">
      <selection sqref="A1:N1"/>
    </sheetView>
  </sheetViews>
  <sheetFormatPr defaultRowHeight="14.25" outlineLevelRow="1" outlineLevelCol="1"/>
  <cols>
    <col min="1" max="1" width="13.875" bestFit="1" customWidth="1"/>
    <col min="2" max="2" width="17.875" bestFit="1" customWidth="1"/>
    <col min="3" max="3" width="19" bestFit="1" customWidth="1"/>
    <col min="4" max="4" width="12.125" bestFit="1" customWidth="1"/>
    <col min="5" max="5" width="14.625" customWidth="1" outlineLevel="1"/>
    <col min="6" max="15" width="14.75" customWidth="1" outlineLevel="1"/>
    <col min="17" max="17" width="19.875" customWidth="1" outlineLevel="1"/>
    <col min="18" max="27" width="14.75" customWidth="1" outlineLevel="1"/>
    <col min="29" max="29" width="11.75" customWidth="1" outlineLevel="1"/>
    <col min="30" max="34" width="14.75" customWidth="1" outlineLevel="1"/>
    <col min="35" max="35" width="9" outlineLevel="1"/>
    <col min="36" max="36" width="7.25" bestFit="1" customWidth="1"/>
    <col min="37" max="41" width="14.75" customWidth="1"/>
  </cols>
  <sheetData>
    <row r="1" spans="1:41" ht="78.75" customHeight="1">
      <c r="A1" s="316" t="s">
        <v>189</v>
      </c>
      <c r="B1" s="317"/>
      <c r="C1" s="317"/>
      <c r="D1" s="317"/>
      <c r="E1" s="317"/>
      <c r="F1" s="317"/>
      <c r="G1" s="317"/>
      <c r="H1" s="317"/>
      <c r="I1" s="317"/>
      <c r="J1" s="317"/>
      <c r="K1" s="317"/>
      <c r="L1" s="317"/>
      <c r="M1" s="317"/>
      <c r="N1" s="317"/>
    </row>
    <row r="2" spans="1:41" s="210" customFormat="1" ht="14.25" customHeight="1">
      <c r="A2" s="205"/>
      <c r="B2" s="205"/>
      <c r="C2" s="205"/>
      <c r="D2" s="206"/>
      <c r="E2" s="207" t="s">
        <v>162</v>
      </c>
      <c r="F2" s="345" t="s">
        <v>96</v>
      </c>
      <c r="G2" s="346"/>
      <c r="H2" s="346"/>
      <c r="I2" s="346"/>
      <c r="J2" s="346"/>
      <c r="K2" s="345" t="s">
        <v>97</v>
      </c>
      <c r="L2" s="346"/>
      <c r="M2" s="346"/>
      <c r="N2" s="346"/>
      <c r="O2" s="357"/>
      <c r="P2" s="208"/>
      <c r="Q2" s="209" t="s">
        <v>163</v>
      </c>
      <c r="R2" s="345" t="s">
        <v>93</v>
      </c>
      <c r="S2" s="346"/>
      <c r="T2" s="346"/>
      <c r="U2" s="346"/>
      <c r="V2" s="357"/>
      <c r="W2" s="345" t="s">
        <v>95</v>
      </c>
      <c r="X2" s="346"/>
      <c r="Y2" s="346"/>
      <c r="Z2" s="346"/>
      <c r="AA2" s="357"/>
      <c r="AB2" s="205"/>
      <c r="AC2" s="205" t="s">
        <v>127</v>
      </c>
      <c r="AD2" s="358"/>
      <c r="AE2" s="359"/>
      <c r="AF2" s="359"/>
      <c r="AG2" s="359"/>
      <c r="AH2" s="360"/>
      <c r="AI2" s="205"/>
      <c r="AJ2" s="205" t="s">
        <v>29</v>
      </c>
      <c r="AK2" s="358"/>
      <c r="AL2" s="359"/>
      <c r="AM2" s="359"/>
      <c r="AN2" s="359"/>
      <c r="AO2" s="360"/>
    </row>
    <row r="3" spans="1:41" s="210" customFormat="1" ht="14.25" customHeight="1">
      <c r="A3" s="205"/>
      <c r="B3" s="205"/>
      <c r="C3" s="205"/>
      <c r="D3" s="211"/>
      <c r="E3" s="212" t="s">
        <v>90</v>
      </c>
      <c r="F3" s="347" t="s">
        <v>91</v>
      </c>
      <c r="G3" s="348"/>
      <c r="H3" s="348"/>
      <c r="I3" s="348"/>
      <c r="J3" s="348"/>
      <c r="K3" s="347" t="s">
        <v>100</v>
      </c>
      <c r="L3" s="348"/>
      <c r="M3" s="348"/>
      <c r="N3" s="348"/>
      <c r="O3" s="361"/>
      <c r="P3" s="208"/>
      <c r="Q3" s="209" t="s">
        <v>164</v>
      </c>
      <c r="R3" s="347" t="s">
        <v>92</v>
      </c>
      <c r="S3" s="348"/>
      <c r="T3" s="348"/>
      <c r="U3" s="348"/>
      <c r="V3" s="361"/>
      <c r="W3" s="347" t="s">
        <v>94</v>
      </c>
      <c r="X3" s="348"/>
      <c r="Y3" s="348"/>
      <c r="Z3" s="348"/>
      <c r="AA3" s="361"/>
      <c r="AB3" s="205"/>
      <c r="AC3" s="205" t="s">
        <v>126</v>
      </c>
      <c r="AD3" s="362"/>
      <c r="AE3" s="363"/>
      <c r="AF3" s="363"/>
      <c r="AG3" s="363"/>
      <c r="AH3" s="364"/>
      <c r="AI3" s="205"/>
      <c r="AJ3" s="205" t="s">
        <v>128</v>
      </c>
      <c r="AK3" s="362"/>
      <c r="AL3" s="363"/>
      <c r="AM3" s="363"/>
      <c r="AN3" s="363"/>
      <c r="AO3" s="364"/>
    </row>
    <row r="4" spans="1:41" s="210" customFormat="1" ht="15">
      <c r="A4" s="213" t="s">
        <v>50</v>
      </c>
      <c r="B4" s="213" t="s">
        <v>165</v>
      </c>
      <c r="C4" s="343" t="s">
        <v>98</v>
      </c>
      <c r="D4" s="343"/>
      <c r="E4" s="196"/>
      <c r="F4" s="214" t="s">
        <v>83</v>
      </c>
      <c r="G4" s="215" t="s">
        <v>84</v>
      </c>
      <c r="H4" s="215" t="s">
        <v>85</v>
      </c>
      <c r="I4" s="215" t="s">
        <v>86</v>
      </c>
      <c r="J4" s="215" t="s">
        <v>87</v>
      </c>
      <c r="K4" s="214" t="s">
        <v>83</v>
      </c>
      <c r="L4" s="215" t="s">
        <v>84</v>
      </c>
      <c r="M4" s="215" t="s">
        <v>85</v>
      </c>
      <c r="N4" s="215" t="s">
        <v>86</v>
      </c>
      <c r="O4" s="216" t="s">
        <v>87</v>
      </c>
      <c r="P4" s="217"/>
      <c r="Q4" s="217"/>
      <c r="R4" s="214" t="s">
        <v>83</v>
      </c>
      <c r="S4" s="215" t="s">
        <v>84</v>
      </c>
      <c r="T4" s="215" t="s">
        <v>85</v>
      </c>
      <c r="U4" s="215" t="s">
        <v>86</v>
      </c>
      <c r="V4" s="216" t="s">
        <v>87</v>
      </c>
      <c r="W4" s="214" t="s">
        <v>83</v>
      </c>
      <c r="X4" s="215" t="s">
        <v>84</v>
      </c>
      <c r="Y4" s="215" t="s">
        <v>85</v>
      </c>
      <c r="Z4" s="215" t="s">
        <v>86</v>
      </c>
      <c r="AA4" s="216" t="s">
        <v>87</v>
      </c>
      <c r="AB4" s="205"/>
      <c r="AC4" s="217"/>
      <c r="AD4" s="214" t="s">
        <v>83</v>
      </c>
      <c r="AE4" s="215" t="s">
        <v>84</v>
      </c>
      <c r="AF4" s="215" t="s">
        <v>85</v>
      </c>
      <c r="AG4" s="215" t="s">
        <v>86</v>
      </c>
      <c r="AH4" s="216" t="s">
        <v>87</v>
      </c>
      <c r="AI4" s="205"/>
      <c r="AJ4" s="217"/>
      <c r="AK4" s="214" t="s">
        <v>83</v>
      </c>
      <c r="AL4" s="215" t="s">
        <v>84</v>
      </c>
      <c r="AM4" s="215" t="s">
        <v>85</v>
      </c>
      <c r="AN4" s="215" t="s">
        <v>86</v>
      </c>
      <c r="AO4" s="216" t="s">
        <v>87</v>
      </c>
    </row>
    <row r="5" spans="1:41" s="58" customFormat="1">
      <c r="A5" s="144"/>
      <c r="B5" s="145"/>
      <c r="C5" s="218" t="s">
        <v>117</v>
      </c>
      <c r="D5" s="219" t="s">
        <v>0</v>
      </c>
      <c r="E5" s="162"/>
      <c r="F5" s="220">
        <v>6</v>
      </c>
      <c r="G5" s="221">
        <v>5</v>
      </c>
      <c r="H5" s="221">
        <v>5</v>
      </c>
      <c r="I5" s="221">
        <v>3</v>
      </c>
      <c r="J5" s="221">
        <v>3</v>
      </c>
      <c r="K5" s="220">
        <v>5</v>
      </c>
      <c r="L5" s="221">
        <v>5</v>
      </c>
      <c r="M5" s="221">
        <v>5</v>
      </c>
      <c r="N5" s="221">
        <v>5</v>
      </c>
      <c r="O5" s="222">
        <v>5</v>
      </c>
      <c r="P5" s="161"/>
      <c r="Q5" s="161"/>
      <c r="R5" s="220"/>
      <c r="S5" s="221"/>
      <c r="T5" s="221"/>
      <c r="U5" s="221"/>
      <c r="V5" s="222"/>
      <c r="W5" s="220"/>
      <c r="X5" s="221"/>
      <c r="Y5" s="221"/>
      <c r="Z5" s="221"/>
      <c r="AA5" s="222"/>
      <c r="AB5" s="162"/>
      <c r="AC5" s="162"/>
      <c r="AD5" s="218"/>
      <c r="AE5" s="219"/>
      <c r="AF5" s="219"/>
      <c r="AG5" s="219"/>
      <c r="AH5" s="223"/>
      <c r="AI5" s="162"/>
      <c r="AJ5" s="162"/>
      <c r="AK5" s="144"/>
      <c r="AO5" s="145"/>
    </row>
    <row r="6" spans="1:41" s="58" customFormat="1">
      <c r="A6" s="144"/>
      <c r="B6" s="145"/>
      <c r="C6" s="218" t="s">
        <v>118</v>
      </c>
      <c r="D6" s="219" t="s">
        <v>125</v>
      </c>
      <c r="E6" s="162"/>
      <c r="F6" s="220">
        <v>3</v>
      </c>
      <c r="G6" s="221">
        <v>3</v>
      </c>
      <c r="H6" s="221">
        <v>3</v>
      </c>
      <c r="I6" s="221">
        <v>3</v>
      </c>
      <c r="J6" s="221">
        <v>3</v>
      </c>
      <c r="K6" s="220">
        <v>6</v>
      </c>
      <c r="L6" s="221">
        <v>6</v>
      </c>
      <c r="M6" s="221">
        <v>6</v>
      </c>
      <c r="N6" s="221">
        <v>6</v>
      </c>
      <c r="O6" s="222">
        <v>6</v>
      </c>
      <c r="P6" s="161"/>
      <c r="Q6" s="161"/>
      <c r="R6" s="220"/>
      <c r="S6" s="221"/>
      <c r="T6" s="221"/>
      <c r="U6" s="221"/>
      <c r="V6" s="222"/>
      <c r="W6" s="220"/>
      <c r="X6" s="221"/>
      <c r="Y6" s="221"/>
      <c r="Z6" s="221"/>
      <c r="AA6" s="222"/>
      <c r="AB6" s="162"/>
      <c r="AC6" s="162"/>
      <c r="AD6" s="218"/>
      <c r="AE6" s="219"/>
      <c r="AF6" s="219"/>
      <c r="AG6" s="219"/>
      <c r="AH6" s="223"/>
      <c r="AI6" s="162"/>
      <c r="AJ6" s="162"/>
      <c r="AK6" s="144"/>
      <c r="AO6" s="145"/>
    </row>
    <row r="7" spans="1:41" s="58" customFormat="1">
      <c r="A7" s="144"/>
      <c r="B7" s="145"/>
      <c r="C7" s="218" t="s">
        <v>123</v>
      </c>
      <c r="D7" s="219" t="s">
        <v>124</v>
      </c>
      <c r="E7" s="162"/>
      <c r="F7" s="220">
        <v>100</v>
      </c>
      <c r="G7" s="221">
        <v>120</v>
      </c>
      <c r="H7" s="221">
        <v>140</v>
      </c>
      <c r="I7" s="221">
        <v>160</v>
      </c>
      <c r="J7" s="221">
        <v>200</v>
      </c>
      <c r="K7" s="220">
        <v>20</v>
      </c>
      <c r="L7" s="221">
        <v>22</v>
      </c>
      <c r="M7" s="221">
        <v>24</v>
      </c>
      <c r="N7" s="221">
        <v>26</v>
      </c>
      <c r="O7" s="222">
        <v>30</v>
      </c>
      <c r="P7" s="161"/>
      <c r="Q7" s="161"/>
      <c r="R7" s="220"/>
      <c r="S7" s="221"/>
      <c r="T7" s="221"/>
      <c r="U7" s="221"/>
      <c r="V7" s="222"/>
      <c r="W7" s="220"/>
      <c r="X7" s="221"/>
      <c r="Y7" s="221"/>
      <c r="Z7" s="221"/>
      <c r="AA7" s="222"/>
      <c r="AB7" s="162"/>
      <c r="AC7" s="162"/>
      <c r="AD7" s="218"/>
      <c r="AE7" s="219"/>
      <c r="AF7" s="219"/>
      <c r="AG7" s="219"/>
      <c r="AH7" s="223"/>
      <c r="AI7" s="162"/>
      <c r="AJ7" s="162"/>
      <c r="AK7" s="144"/>
      <c r="AO7" s="145"/>
    </row>
    <row r="8" spans="1:41" s="58" customFormat="1">
      <c r="A8" s="144"/>
      <c r="B8" s="145"/>
      <c r="C8" s="218" t="s">
        <v>135</v>
      </c>
      <c r="D8" s="219"/>
      <c r="E8" s="162"/>
      <c r="F8" s="220">
        <v>1</v>
      </c>
      <c r="G8" s="221">
        <v>1.03</v>
      </c>
      <c r="H8" s="221">
        <v>1.04</v>
      </c>
      <c r="I8" s="221">
        <v>1.04</v>
      </c>
      <c r="J8" s="221">
        <v>1.04</v>
      </c>
      <c r="K8" s="220">
        <v>1</v>
      </c>
      <c r="L8" s="221">
        <v>1.03</v>
      </c>
      <c r="M8" s="221">
        <v>1.04</v>
      </c>
      <c r="N8" s="221">
        <v>1.04</v>
      </c>
      <c r="O8" s="222">
        <v>1.04</v>
      </c>
      <c r="P8" s="161"/>
      <c r="Q8" s="161"/>
      <c r="R8" s="220"/>
      <c r="S8" s="221"/>
      <c r="T8" s="221"/>
      <c r="U8" s="221"/>
      <c r="V8" s="222"/>
      <c r="W8" s="220"/>
      <c r="X8" s="221"/>
      <c r="Y8" s="221"/>
      <c r="Z8" s="221"/>
      <c r="AA8" s="222"/>
      <c r="AB8" s="162"/>
      <c r="AC8" s="162"/>
      <c r="AD8" s="218"/>
      <c r="AE8" s="219"/>
      <c r="AF8" s="219"/>
      <c r="AG8" s="219"/>
      <c r="AH8" s="223"/>
      <c r="AI8" s="162"/>
      <c r="AJ8" s="162"/>
      <c r="AK8" s="144"/>
      <c r="AO8" s="145"/>
    </row>
    <row r="9" spans="1:41" s="232" customFormat="1">
      <c r="A9" s="224"/>
      <c r="B9" s="225"/>
      <c r="C9" s="226" t="s">
        <v>188</v>
      </c>
      <c r="D9" s="227"/>
      <c r="E9" s="200"/>
      <c r="F9" s="228">
        <v>1</v>
      </c>
      <c r="G9" s="229">
        <v>1.05</v>
      </c>
      <c r="H9" s="229">
        <v>1.06</v>
      </c>
      <c r="I9" s="229">
        <v>1.07</v>
      </c>
      <c r="J9" s="229">
        <v>1.0900000000000001</v>
      </c>
      <c r="K9" s="228">
        <v>1</v>
      </c>
      <c r="L9" s="229">
        <v>1.05</v>
      </c>
      <c r="M9" s="229">
        <v>1.06</v>
      </c>
      <c r="N9" s="229">
        <v>1.07</v>
      </c>
      <c r="O9" s="230">
        <v>1.0900000000000001</v>
      </c>
      <c r="P9" s="185"/>
      <c r="Q9" s="185"/>
      <c r="R9" s="228"/>
      <c r="S9" s="229"/>
      <c r="T9" s="229"/>
      <c r="U9" s="229"/>
      <c r="V9" s="230"/>
      <c r="W9" s="228"/>
      <c r="X9" s="229"/>
      <c r="Y9" s="229"/>
      <c r="Z9" s="229"/>
      <c r="AA9" s="230"/>
      <c r="AB9" s="200"/>
      <c r="AC9" s="200"/>
      <c r="AD9" s="226"/>
      <c r="AE9" s="227"/>
      <c r="AF9" s="227"/>
      <c r="AG9" s="227"/>
      <c r="AH9" s="231"/>
      <c r="AI9" s="200"/>
      <c r="AJ9" s="200"/>
      <c r="AK9" s="224"/>
      <c r="AO9" s="225"/>
    </row>
    <row r="10" spans="1:41">
      <c r="A10" s="61"/>
      <c r="B10" s="62"/>
      <c r="C10" s="61"/>
      <c r="E10" s="162"/>
      <c r="F10" s="63"/>
      <c r="G10" s="65"/>
      <c r="H10" s="65"/>
      <c r="I10" s="65"/>
      <c r="J10" s="65"/>
      <c r="K10" s="63"/>
      <c r="L10" s="65"/>
      <c r="M10" s="65"/>
      <c r="N10" s="65"/>
      <c r="O10" s="64"/>
      <c r="P10" s="161"/>
      <c r="Q10" s="161"/>
      <c r="R10" s="63"/>
      <c r="S10" s="65"/>
      <c r="T10" s="65"/>
      <c r="U10" s="65"/>
      <c r="V10" s="64"/>
      <c r="W10" s="63"/>
      <c r="X10" s="65"/>
      <c r="AA10" s="62"/>
      <c r="AB10" s="162"/>
      <c r="AC10" s="162"/>
      <c r="AD10" s="61"/>
      <c r="AH10" s="62"/>
      <c r="AI10" s="162"/>
      <c r="AJ10" s="162"/>
      <c r="AK10" s="61"/>
      <c r="AO10" s="62"/>
    </row>
    <row r="11" spans="1:41" s="72" customFormat="1" outlineLevel="1">
      <c r="A11" s="335" t="s">
        <v>166</v>
      </c>
      <c r="B11" s="337" t="s">
        <v>93</v>
      </c>
      <c r="C11" s="67" t="s">
        <v>116</v>
      </c>
      <c r="D11" s="72" t="s">
        <v>0</v>
      </c>
      <c r="E11" s="162"/>
      <c r="F11" s="220"/>
      <c r="G11" s="221"/>
      <c r="H11" s="221"/>
      <c r="I11" s="221"/>
      <c r="J11" s="221"/>
      <c r="K11" s="220"/>
      <c r="L11" s="221"/>
      <c r="M11" s="221"/>
      <c r="N11" s="221"/>
      <c r="O11" s="222"/>
      <c r="P11" s="161"/>
      <c r="Q11" s="161"/>
      <c r="R11" s="220"/>
      <c r="S11" s="221"/>
      <c r="T11" s="221"/>
      <c r="U11" s="221"/>
      <c r="V11" s="222"/>
      <c r="W11" s="220"/>
      <c r="X11" s="221"/>
      <c r="Y11" s="219"/>
      <c r="Z11" s="219"/>
      <c r="AA11" s="223"/>
      <c r="AB11" s="162"/>
      <c r="AC11" s="162"/>
      <c r="AD11" s="220"/>
      <c r="AE11" s="221"/>
      <c r="AF11" s="219"/>
      <c r="AG11" s="219"/>
      <c r="AH11" s="223"/>
      <c r="AI11" s="162"/>
      <c r="AJ11" s="162"/>
      <c r="AK11" s="220">
        <f t="shared" ref="AK11:AO16" si="0">F11+K11+R11+W11+AD11</f>
        <v>0</v>
      </c>
      <c r="AL11" s="221">
        <f t="shared" si="0"/>
        <v>0</v>
      </c>
      <c r="AM11" s="221">
        <f t="shared" si="0"/>
        <v>0</v>
      </c>
      <c r="AN11" s="221">
        <f t="shared" si="0"/>
        <v>0</v>
      </c>
      <c r="AO11" s="222">
        <f t="shared" si="0"/>
        <v>0</v>
      </c>
    </row>
    <row r="12" spans="1:41" s="72" customFormat="1" outlineLevel="1">
      <c r="A12" s="336"/>
      <c r="B12" s="337"/>
      <c r="C12" s="67" t="s">
        <v>167</v>
      </c>
      <c r="D12" s="233"/>
      <c r="E12" s="162"/>
      <c r="F12" s="234"/>
      <c r="G12" s="235"/>
      <c r="H12" s="221"/>
      <c r="I12" s="221"/>
      <c r="J12" s="221"/>
      <c r="K12" s="220"/>
      <c r="L12" s="221"/>
      <c r="M12" s="221"/>
      <c r="N12" s="221"/>
      <c r="O12" s="222"/>
      <c r="P12" s="161"/>
      <c r="Q12" s="161"/>
      <c r="R12" s="220"/>
      <c r="S12" s="221"/>
      <c r="T12" s="221"/>
      <c r="U12" s="221"/>
      <c r="V12" s="222"/>
      <c r="W12" s="220"/>
      <c r="X12" s="221"/>
      <c r="Y12" s="219"/>
      <c r="Z12" s="219"/>
      <c r="AA12" s="223"/>
      <c r="AB12" s="162"/>
      <c r="AC12" s="162"/>
      <c r="AD12" s="220"/>
      <c r="AE12" s="221"/>
      <c r="AF12" s="219"/>
      <c r="AG12" s="219"/>
      <c r="AH12" s="223"/>
      <c r="AI12" s="162"/>
      <c r="AJ12" s="162"/>
      <c r="AK12" s="234">
        <f t="shared" si="0"/>
        <v>0</v>
      </c>
      <c r="AL12" s="235">
        <f t="shared" si="0"/>
        <v>0</v>
      </c>
      <c r="AM12" s="236">
        <f t="shared" si="0"/>
        <v>0</v>
      </c>
      <c r="AN12" s="236">
        <f t="shared" si="0"/>
        <v>0</v>
      </c>
      <c r="AO12" s="237">
        <f t="shared" si="0"/>
        <v>0</v>
      </c>
    </row>
    <row r="13" spans="1:41" s="72" customFormat="1" outlineLevel="1">
      <c r="A13" s="336"/>
      <c r="B13" s="338" t="s">
        <v>38</v>
      </c>
      <c r="C13" s="67" t="s">
        <v>116</v>
      </c>
      <c r="D13" s="72" t="s">
        <v>0</v>
      </c>
      <c r="E13" s="162"/>
      <c r="F13" s="220">
        <v>0.1</v>
      </c>
      <c r="G13" s="221">
        <v>0.5</v>
      </c>
      <c r="H13" s="221"/>
      <c r="I13" s="221"/>
      <c r="J13" s="221"/>
      <c r="K13" s="220"/>
      <c r="L13" s="221"/>
      <c r="M13" s="221"/>
      <c r="N13" s="221"/>
      <c r="O13" s="222"/>
      <c r="P13" s="161"/>
      <c r="Q13" s="161"/>
      <c r="R13" s="220">
        <v>0.6</v>
      </c>
      <c r="S13" s="221"/>
      <c r="T13" s="221"/>
      <c r="U13" s="221"/>
      <c r="V13" s="222"/>
      <c r="W13" s="220">
        <v>0.2</v>
      </c>
      <c r="X13" s="221"/>
      <c r="Y13" s="219"/>
      <c r="Z13" s="219"/>
      <c r="AA13" s="223"/>
      <c r="AB13" s="162"/>
      <c r="AC13" s="162"/>
      <c r="AD13" s="220">
        <v>0.2</v>
      </c>
      <c r="AE13" s="221"/>
      <c r="AF13" s="219"/>
      <c r="AG13" s="219"/>
      <c r="AH13" s="223"/>
      <c r="AI13" s="162"/>
      <c r="AJ13" s="162"/>
      <c r="AK13" s="220">
        <f t="shared" si="0"/>
        <v>1.0999999999999999</v>
      </c>
      <c r="AL13" s="221">
        <f t="shared" si="0"/>
        <v>0.5</v>
      </c>
      <c r="AM13" s="221">
        <f t="shared" si="0"/>
        <v>0</v>
      </c>
      <c r="AN13" s="221">
        <f t="shared" si="0"/>
        <v>0</v>
      </c>
      <c r="AO13" s="222">
        <f t="shared" si="0"/>
        <v>0</v>
      </c>
    </row>
    <row r="14" spans="1:41" s="72" customFormat="1" outlineLevel="1">
      <c r="A14" s="336"/>
      <c r="B14" s="339"/>
      <c r="C14" s="67" t="s">
        <v>167</v>
      </c>
      <c r="D14" s="233">
        <v>550000</v>
      </c>
      <c r="E14" s="162"/>
      <c r="F14" s="238">
        <f>F13*D14</f>
        <v>55000</v>
      </c>
      <c r="G14" s="236">
        <f>G13*G8*D14</f>
        <v>283250</v>
      </c>
      <c r="H14" s="219"/>
      <c r="I14" s="219"/>
      <c r="J14" s="219"/>
      <c r="K14" s="218"/>
      <c r="L14" s="219"/>
      <c r="M14" s="219"/>
      <c r="N14" s="219"/>
      <c r="O14" s="223"/>
      <c r="P14" s="162"/>
      <c r="Q14" s="162"/>
      <c r="R14" s="238">
        <f>R13*$D14</f>
        <v>330000</v>
      </c>
      <c r="S14" s="219"/>
      <c r="T14" s="219"/>
      <c r="U14" s="219"/>
      <c r="V14" s="223"/>
      <c r="W14" s="238">
        <f>W13*$D14</f>
        <v>110000</v>
      </c>
      <c r="X14" s="221"/>
      <c r="Y14" s="219"/>
      <c r="Z14" s="219"/>
      <c r="AA14" s="223"/>
      <c r="AB14" s="162"/>
      <c r="AC14" s="162"/>
      <c r="AD14" s="238">
        <f>AD13*$D14</f>
        <v>110000</v>
      </c>
      <c r="AE14" s="221"/>
      <c r="AF14" s="219"/>
      <c r="AG14" s="219"/>
      <c r="AH14" s="223"/>
      <c r="AI14" s="162"/>
      <c r="AJ14" s="162"/>
      <c r="AK14" s="238">
        <f t="shared" si="0"/>
        <v>605000</v>
      </c>
      <c r="AL14" s="235">
        <f t="shared" si="0"/>
        <v>283250</v>
      </c>
      <c r="AM14" s="236">
        <f t="shared" si="0"/>
        <v>0</v>
      </c>
      <c r="AN14" s="236">
        <f t="shared" si="0"/>
        <v>0</v>
      </c>
      <c r="AO14" s="237">
        <f t="shared" si="0"/>
        <v>0</v>
      </c>
    </row>
    <row r="15" spans="1:41" s="72" customFormat="1" outlineLevel="1">
      <c r="A15" s="336"/>
      <c r="B15" s="338"/>
      <c r="C15" s="67" t="s">
        <v>116</v>
      </c>
      <c r="D15" s="72" t="s">
        <v>0</v>
      </c>
      <c r="E15" s="162"/>
      <c r="F15" s="238"/>
      <c r="G15" s="236"/>
      <c r="H15" s="219"/>
      <c r="I15" s="219"/>
      <c r="J15" s="219"/>
      <c r="K15" s="218"/>
      <c r="L15" s="219"/>
      <c r="M15" s="219"/>
      <c r="N15" s="219"/>
      <c r="O15" s="223"/>
      <c r="P15" s="162"/>
      <c r="Q15" s="162"/>
      <c r="R15" s="218"/>
      <c r="S15" s="219"/>
      <c r="T15" s="219"/>
      <c r="U15" s="219"/>
      <c r="V15" s="223"/>
      <c r="W15" s="218"/>
      <c r="X15" s="221"/>
      <c r="Y15" s="219"/>
      <c r="Z15" s="219"/>
      <c r="AA15" s="223"/>
      <c r="AB15" s="162"/>
      <c r="AC15" s="162"/>
      <c r="AD15" s="218"/>
      <c r="AE15" s="221"/>
      <c r="AF15" s="219"/>
      <c r="AG15" s="219"/>
      <c r="AH15" s="223"/>
      <c r="AI15" s="162"/>
      <c r="AJ15" s="162"/>
      <c r="AK15" s="220">
        <f t="shared" si="0"/>
        <v>0</v>
      </c>
      <c r="AL15" s="221">
        <f t="shared" si="0"/>
        <v>0</v>
      </c>
      <c r="AM15" s="221">
        <f t="shared" si="0"/>
        <v>0</v>
      </c>
      <c r="AN15" s="221">
        <f t="shared" si="0"/>
        <v>0</v>
      </c>
      <c r="AO15" s="222">
        <f t="shared" si="0"/>
        <v>0</v>
      </c>
    </row>
    <row r="16" spans="1:41" s="72" customFormat="1" outlineLevel="1">
      <c r="A16" s="336"/>
      <c r="B16" s="339"/>
      <c r="C16" s="67" t="s">
        <v>167</v>
      </c>
      <c r="D16" s="239"/>
      <c r="E16" s="162"/>
      <c r="F16" s="228"/>
      <c r="G16" s="229"/>
      <c r="H16" s="229"/>
      <c r="I16" s="229"/>
      <c r="J16" s="229"/>
      <c r="K16" s="228"/>
      <c r="L16" s="229"/>
      <c r="M16" s="229"/>
      <c r="N16" s="229"/>
      <c r="O16" s="230"/>
      <c r="P16" s="161"/>
      <c r="Q16" s="161"/>
      <c r="R16" s="220"/>
      <c r="S16" s="221"/>
      <c r="T16" s="221"/>
      <c r="U16" s="221"/>
      <c r="V16" s="222"/>
      <c r="W16" s="220"/>
      <c r="X16" s="221"/>
      <c r="Y16" s="219"/>
      <c r="Z16" s="219"/>
      <c r="AA16" s="223"/>
      <c r="AB16" s="162"/>
      <c r="AC16" s="162"/>
      <c r="AD16" s="220"/>
      <c r="AE16" s="221"/>
      <c r="AF16" s="219"/>
      <c r="AG16" s="219"/>
      <c r="AH16" s="223"/>
      <c r="AI16" s="162"/>
      <c r="AJ16" s="162"/>
      <c r="AK16" s="234">
        <f t="shared" si="0"/>
        <v>0</v>
      </c>
      <c r="AL16" s="235">
        <f t="shared" si="0"/>
        <v>0</v>
      </c>
      <c r="AM16" s="236">
        <f t="shared" si="0"/>
        <v>0</v>
      </c>
      <c r="AN16" s="236">
        <f t="shared" si="0"/>
        <v>0</v>
      </c>
      <c r="AO16" s="237">
        <f t="shared" si="0"/>
        <v>0</v>
      </c>
    </row>
    <row r="17" spans="1:41" s="72" customFormat="1" ht="15">
      <c r="A17" s="340" t="s">
        <v>136</v>
      </c>
      <c r="B17" s="341"/>
      <c r="C17" s="341"/>
      <c r="D17" s="341"/>
      <c r="E17" s="342"/>
      <c r="F17" s="120">
        <f>SUM(F12,F14,F16)</f>
        <v>55000</v>
      </c>
      <c r="G17" s="84">
        <f>SUM(G12,G14,G16)</f>
        <v>283250</v>
      </c>
      <c r="H17" s="84">
        <f>SUM(H12,H14,H16)</f>
        <v>0</v>
      </c>
      <c r="I17" s="84">
        <f>SUM(I12,I14,I16)</f>
        <v>0</v>
      </c>
      <c r="J17" s="84">
        <f>SUM(J12,J14,J16)</f>
        <v>0</v>
      </c>
      <c r="K17" s="84"/>
      <c r="L17" s="84"/>
      <c r="M17" s="84"/>
      <c r="N17" s="84"/>
      <c r="O17" s="84"/>
      <c r="P17" s="163"/>
      <c r="Q17" s="163"/>
      <c r="R17" s="84">
        <f t="shared" ref="R17:AA17" si="1">SUM(R11:R16)</f>
        <v>330000.59999999998</v>
      </c>
      <c r="S17" s="84">
        <f t="shared" si="1"/>
        <v>0</v>
      </c>
      <c r="T17" s="84">
        <f t="shared" si="1"/>
        <v>0</v>
      </c>
      <c r="U17" s="84">
        <f t="shared" si="1"/>
        <v>0</v>
      </c>
      <c r="V17" s="84">
        <f t="shared" si="1"/>
        <v>0</v>
      </c>
      <c r="W17" s="84">
        <f t="shared" si="1"/>
        <v>110000.2</v>
      </c>
      <c r="X17" s="84">
        <f t="shared" si="1"/>
        <v>0</v>
      </c>
      <c r="Y17" s="84">
        <f t="shared" si="1"/>
        <v>0</v>
      </c>
      <c r="Z17" s="84">
        <f t="shared" si="1"/>
        <v>0</v>
      </c>
      <c r="AA17" s="84">
        <f t="shared" si="1"/>
        <v>0</v>
      </c>
      <c r="AB17" s="162"/>
      <c r="AC17" s="162"/>
      <c r="AD17" s="84">
        <f>SUM(AD11:AD16)</f>
        <v>110000.2</v>
      </c>
      <c r="AE17" s="84">
        <f>SUM(AE11:AE16)</f>
        <v>0</v>
      </c>
      <c r="AF17" s="84">
        <f>SUM(AF11:AF16)</f>
        <v>0</v>
      </c>
      <c r="AG17" s="84">
        <f>SUM(AG11:AG16)</f>
        <v>0</v>
      </c>
      <c r="AH17" s="84">
        <f>SUM(AH11:AH16)</f>
        <v>0</v>
      </c>
      <c r="AI17" s="162"/>
      <c r="AJ17" s="162"/>
      <c r="AK17" s="84">
        <f>SUM(AK11:AK16)</f>
        <v>605001.1</v>
      </c>
      <c r="AL17" s="84">
        <f>SUM(AL11:AL16)</f>
        <v>283250.5</v>
      </c>
      <c r="AM17" s="84">
        <f>SUM(AM11:AM16)</f>
        <v>0</v>
      </c>
      <c r="AN17" s="84">
        <f>SUM(AN11:AN16)</f>
        <v>0</v>
      </c>
      <c r="AO17" s="240">
        <f>SUM(AO11:AO16)</f>
        <v>0</v>
      </c>
    </row>
    <row r="18" spans="1:41">
      <c r="E18" s="162"/>
      <c r="F18" s="61"/>
      <c r="K18" s="61"/>
      <c r="O18" s="62"/>
      <c r="P18" s="162"/>
      <c r="Q18" s="162"/>
      <c r="R18" s="61"/>
      <c r="V18" s="62"/>
      <c r="W18" s="61"/>
      <c r="AA18" s="62"/>
      <c r="AB18" s="162"/>
      <c r="AC18" s="162"/>
      <c r="AD18" s="61"/>
      <c r="AH18" s="62"/>
      <c r="AI18" s="162"/>
      <c r="AJ18" s="162"/>
      <c r="AK18" s="61"/>
      <c r="AO18" s="62"/>
    </row>
    <row r="19" spans="1:41" s="88" customFormat="1" outlineLevel="1">
      <c r="A19" s="355" t="s">
        <v>168</v>
      </c>
      <c r="B19" s="166" t="s">
        <v>169</v>
      </c>
      <c r="D19" s="89" t="s">
        <v>110</v>
      </c>
      <c r="E19" s="162"/>
      <c r="F19" s="234">
        <v>1000</v>
      </c>
      <c r="G19" s="241" t="s">
        <v>170</v>
      </c>
      <c r="H19" s="241" t="s">
        <v>170</v>
      </c>
      <c r="I19" s="241" t="s">
        <v>170</v>
      </c>
      <c r="J19" s="242" t="s">
        <v>170</v>
      </c>
      <c r="K19" s="234">
        <v>1000</v>
      </c>
      <c r="L19" s="241" t="s">
        <v>170</v>
      </c>
      <c r="M19" s="241" t="s">
        <v>170</v>
      </c>
      <c r="N19" s="241" t="s">
        <v>170</v>
      </c>
      <c r="O19" s="242" t="s">
        <v>170</v>
      </c>
      <c r="P19" s="162"/>
      <c r="Q19" s="162"/>
      <c r="R19" s="234">
        <v>1000</v>
      </c>
      <c r="S19" s="241" t="s">
        <v>170</v>
      </c>
      <c r="T19" s="241" t="s">
        <v>170</v>
      </c>
      <c r="U19" s="241" t="s">
        <v>170</v>
      </c>
      <c r="V19" s="242" t="s">
        <v>170</v>
      </c>
      <c r="W19" s="234">
        <v>1000</v>
      </c>
      <c r="X19" s="241" t="s">
        <v>170</v>
      </c>
      <c r="Y19" s="241" t="s">
        <v>170</v>
      </c>
      <c r="Z19" s="241" t="s">
        <v>170</v>
      </c>
      <c r="AA19" s="242" t="s">
        <v>170</v>
      </c>
      <c r="AB19" s="162"/>
      <c r="AC19" s="162"/>
      <c r="AD19" s="234">
        <v>1000</v>
      </c>
      <c r="AE19" s="241" t="s">
        <v>170</v>
      </c>
      <c r="AF19" s="241" t="s">
        <v>170</v>
      </c>
      <c r="AG19" s="241" t="s">
        <v>170</v>
      </c>
      <c r="AH19" s="242" t="s">
        <v>170</v>
      </c>
      <c r="AI19" s="162"/>
      <c r="AJ19" s="162"/>
      <c r="AK19" s="243">
        <f>SUM(F19,K19,R19,W19,AD19)</f>
        <v>5000</v>
      </c>
      <c r="AL19" s="241" t="s">
        <v>170</v>
      </c>
      <c r="AM19" s="241" t="s">
        <v>170</v>
      </c>
      <c r="AN19" s="241" t="s">
        <v>170</v>
      </c>
      <c r="AO19" s="242" t="s">
        <v>170</v>
      </c>
    </row>
    <row r="20" spans="1:41" s="88" customFormat="1" outlineLevel="1">
      <c r="A20" s="356"/>
      <c r="B20" s="244" t="s">
        <v>171</v>
      </c>
      <c r="D20" s="89" t="s">
        <v>110</v>
      </c>
      <c r="E20" s="162"/>
      <c r="F20" s="234"/>
      <c r="G20" s="241" t="s">
        <v>170</v>
      </c>
      <c r="H20" s="241" t="s">
        <v>170</v>
      </c>
      <c r="I20" s="241" t="s">
        <v>170</v>
      </c>
      <c r="J20" s="242" t="s">
        <v>170</v>
      </c>
      <c r="K20" s="234"/>
      <c r="L20" s="241" t="s">
        <v>170</v>
      </c>
      <c r="M20" s="241" t="s">
        <v>170</v>
      </c>
      <c r="N20" s="241" t="s">
        <v>170</v>
      </c>
      <c r="O20" s="242" t="s">
        <v>170</v>
      </c>
      <c r="P20" s="162"/>
      <c r="Q20" s="162"/>
      <c r="R20" s="234"/>
      <c r="S20" s="241" t="s">
        <v>170</v>
      </c>
      <c r="T20" s="241" t="s">
        <v>170</v>
      </c>
      <c r="U20" s="241" t="s">
        <v>170</v>
      </c>
      <c r="V20" s="242" t="s">
        <v>170</v>
      </c>
      <c r="W20" s="234"/>
      <c r="X20" s="241" t="s">
        <v>170</v>
      </c>
      <c r="Y20" s="241" t="s">
        <v>170</v>
      </c>
      <c r="Z20" s="241" t="s">
        <v>170</v>
      </c>
      <c r="AA20" s="242" t="s">
        <v>170</v>
      </c>
      <c r="AB20" s="162"/>
      <c r="AC20" s="162"/>
      <c r="AD20" s="234"/>
      <c r="AE20" s="241" t="s">
        <v>170</v>
      </c>
      <c r="AF20" s="241" t="s">
        <v>170</v>
      </c>
      <c r="AG20" s="241" t="s">
        <v>170</v>
      </c>
      <c r="AH20" s="242" t="s">
        <v>170</v>
      </c>
      <c r="AI20" s="162"/>
      <c r="AJ20" s="162"/>
      <c r="AK20" s="243">
        <f>SUM(F20,K20,R20,W20,AD20)</f>
        <v>0</v>
      </c>
      <c r="AL20" s="241" t="s">
        <v>170</v>
      </c>
      <c r="AM20" s="241" t="s">
        <v>170</v>
      </c>
      <c r="AN20" s="241" t="s">
        <v>170</v>
      </c>
      <c r="AO20" s="242" t="s">
        <v>170</v>
      </c>
    </row>
    <row r="21" spans="1:41" s="88" customFormat="1" outlineLevel="1">
      <c r="A21" s="356"/>
      <c r="B21" s="244" t="s">
        <v>172</v>
      </c>
      <c r="D21" s="89" t="s">
        <v>110</v>
      </c>
      <c r="E21" s="162"/>
      <c r="F21" s="234"/>
      <c r="G21" s="241" t="s">
        <v>170</v>
      </c>
      <c r="H21" s="241" t="s">
        <v>170</v>
      </c>
      <c r="I21" s="241" t="s">
        <v>170</v>
      </c>
      <c r="J21" s="242" t="s">
        <v>170</v>
      </c>
      <c r="K21" s="234"/>
      <c r="L21" s="241" t="s">
        <v>170</v>
      </c>
      <c r="M21" s="241" t="s">
        <v>170</v>
      </c>
      <c r="N21" s="241" t="s">
        <v>170</v>
      </c>
      <c r="O21" s="242" t="s">
        <v>170</v>
      </c>
      <c r="P21" s="162"/>
      <c r="Q21" s="162"/>
      <c r="R21" s="234"/>
      <c r="S21" s="241" t="s">
        <v>170</v>
      </c>
      <c r="T21" s="241" t="s">
        <v>170</v>
      </c>
      <c r="U21" s="241" t="s">
        <v>170</v>
      </c>
      <c r="V21" s="242" t="s">
        <v>170</v>
      </c>
      <c r="W21" s="234"/>
      <c r="X21" s="241" t="s">
        <v>170</v>
      </c>
      <c r="Y21" s="241" t="s">
        <v>170</v>
      </c>
      <c r="Z21" s="241" t="s">
        <v>170</v>
      </c>
      <c r="AA21" s="242" t="s">
        <v>170</v>
      </c>
      <c r="AB21" s="162"/>
      <c r="AC21" s="162"/>
      <c r="AD21" s="234"/>
      <c r="AE21" s="241" t="s">
        <v>170</v>
      </c>
      <c r="AF21" s="241" t="s">
        <v>170</v>
      </c>
      <c r="AG21" s="241" t="s">
        <v>170</v>
      </c>
      <c r="AH21" s="242" t="s">
        <v>170</v>
      </c>
      <c r="AI21" s="162"/>
      <c r="AJ21" s="162"/>
      <c r="AK21" s="243">
        <f>SUM(F21,K21,R21,W21,AD21)</f>
        <v>0</v>
      </c>
      <c r="AL21" s="241" t="s">
        <v>170</v>
      </c>
      <c r="AM21" s="241" t="s">
        <v>170</v>
      </c>
      <c r="AN21" s="241" t="s">
        <v>170</v>
      </c>
      <c r="AO21" s="242" t="s">
        <v>170</v>
      </c>
    </row>
    <row r="22" spans="1:41" s="88" customFormat="1" outlineLevel="1">
      <c r="A22" s="355" t="s">
        <v>173</v>
      </c>
      <c r="B22" s="166" t="s">
        <v>169</v>
      </c>
      <c r="D22" s="89" t="s">
        <v>110</v>
      </c>
      <c r="E22" s="162"/>
      <c r="F22" s="243" t="s">
        <v>170</v>
      </c>
      <c r="G22" s="235"/>
      <c r="H22" s="241" t="s">
        <v>170</v>
      </c>
      <c r="I22" s="241" t="s">
        <v>170</v>
      </c>
      <c r="J22" s="242" t="s">
        <v>170</v>
      </c>
      <c r="K22" s="243" t="s">
        <v>170</v>
      </c>
      <c r="L22" s="235"/>
      <c r="M22" s="241" t="s">
        <v>170</v>
      </c>
      <c r="N22" s="241" t="s">
        <v>170</v>
      </c>
      <c r="O22" s="242" t="s">
        <v>170</v>
      </c>
      <c r="P22" s="162"/>
      <c r="Q22" s="162"/>
      <c r="R22" s="243" t="s">
        <v>170</v>
      </c>
      <c r="S22" s="235"/>
      <c r="T22" s="241" t="s">
        <v>170</v>
      </c>
      <c r="U22" s="241" t="s">
        <v>170</v>
      </c>
      <c r="V22" s="242" t="s">
        <v>170</v>
      </c>
      <c r="W22" s="243" t="s">
        <v>170</v>
      </c>
      <c r="X22" s="235"/>
      <c r="Y22" s="241" t="s">
        <v>170</v>
      </c>
      <c r="Z22" s="241" t="s">
        <v>170</v>
      </c>
      <c r="AA22" s="242" t="s">
        <v>170</v>
      </c>
      <c r="AB22" s="162"/>
      <c r="AC22" s="162"/>
      <c r="AD22" s="243" t="s">
        <v>170</v>
      </c>
      <c r="AE22" s="235"/>
      <c r="AF22" s="241" t="s">
        <v>170</v>
      </c>
      <c r="AG22" s="241" t="s">
        <v>170</v>
      </c>
      <c r="AH22" s="242" t="s">
        <v>170</v>
      </c>
      <c r="AI22" s="162"/>
      <c r="AJ22" s="162"/>
      <c r="AK22" s="243" t="s">
        <v>170</v>
      </c>
      <c r="AL22" s="241">
        <f>SUM(G22,L22,S22,X22,AE22)</f>
        <v>0</v>
      </c>
      <c r="AM22" s="241" t="s">
        <v>170</v>
      </c>
      <c r="AN22" s="241" t="s">
        <v>170</v>
      </c>
      <c r="AO22" s="242" t="s">
        <v>170</v>
      </c>
    </row>
    <row r="23" spans="1:41" s="88" customFormat="1" outlineLevel="1">
      <c r="A23" s="356"/>
      <c r="B23" s="244" t="s">
        <v>171</v>
      </c>
      <c r="D23" s="89" t="s">
        <v>110</v>
      </c>
      <c r="E23" s="162"/>
      <c r="F23" s="243" t="s">
        <v>170</v>
      </c>
      <c r="G23" s="235"/>
      <c r="H23" s="241" t="s">
        <v>170</v>
      </c>
      <c r="I23" s="241" t="s">
        <v>170</v>
      </c>
      <c r="J23" s="242" t="s">
        <v>170</v>
      </c>
      <c r="K23" s="243" t="s">
        <v>170</v>
      </c>
      <c r="L23" s="235"/>
      <c r="M23" s="241" t="s">
        <v>170</v>
      </c>
      <c r="N23" s="241" t="s">
        <v>170</v>
      </c>
      <c r="O23" s="242" t="s">
        <v>170</v>
      </c>
      <c r="P23" s="162"/>
      <c r="Q23" s="162"/>
      <c r="R23" s="243" t="s">
        <v>170</v>
      </c>
      <c r="S23" s="235"/>
      <c r="T23" s="241" t="s">
        <v>170</v>
      </c>
      <c r="U23" s="241" t="s">
        <v>170</v>
      </c>
      <c r="V23" s="242" t="s">
        <v>170</v>
      </c>
      <c r="W23" s="243" t="s">
        <v>170</v>
      </c>
      <c r="X23" s="235"/>
      <c r="Y23" s="241" t="s">
        <v>170</v>
      </c>
      <c r="Z23" s="241" t="s">
        <v>170</v>
      </c>
      <c r="AA23" s="242" t="s">
        <v>170</v>
      </c>
      <c r="AB23" s="162"/>
      <c r="AC23" s="162"/>
      <c r="AD23" s="243" t="s">
        <v>170</v>
      </c>
      <c r="AE23" s="235"/>
      <c r="AF23" s="241" t="s">
        <v>170</v>
      </c>
      <c r="AG23" s="241" t="s">
        <v>170</v>
      </c>
      <c r="AH23" s="242" t="s">
        <v>170</v>
      </c>
      <c r="AI23" s="162"/>
      <c r="AJ23" s="162"/>
      <c r="AK23" s="243" t="s">
        <v>170</v>
      </c>
      <c r="AL23" s="241">
        <f>SUM(G23,L23,S23,X23,AE23)</f>
        <v>0</v>
      </c>
      <c r="AM23" s="241" t="s">
        <v>170</v>
      </c>
      <c r="AN23" s="241" t="s">
        <v>170</v>
      </c>
      <c r="AO23" s="242" t="s">
        <v>170</v>
      </c>
    </row>
    <row r="24" spans="1:41" s="88" customFormat="1" outlineLevel="1">
      <c r="A24" s="356"/>
      <c r="B24" s="244" t="s">
        <v>172</v>
      </c>
      <c r="D24" s="89" t="s">
        <v>110</v>
      </c>
      <c r="E24" s="162"/>
      <c r="F24" s="243" t="s">
        <v>170</v>
      </c>
      <c r="G24" s="235"/>
      <c r="H24" s="241" t="s">
        <v>170</v>
      </c>
      <c r="I24" s="241" t="s">
        <v>170</v>
      </c>
      <c r="J24" s="242" t="s">
        <v>170</v>
      </c>
      <c r="K24" s="243" t="s">
        <v>170</v>
      </c>
      <c r="L24" s="235"/>
      <c r="M24" s="241" t="s">
        <v>170</v>
      </c>
      <c r="N24" s="241" t="s">
        <v>170</v>
      </c>
      <c r="O24" s="242" t="s">
        <v>170</v>
      </c>
      <c r="P24" s="162"/>
      <c r="Q24" s="162"/>
      <c r="R24" s="243" t="s">
        <v>170</v>
      </c>
      <c r="S24" s="235"/>
      <c r="T24" s="241" t="s">
        <v>170</v>
      </c>
      <c r="U24" s="241" t="s">
        <v>170</v>
      </c>
      <c r="V24" s="242" t="s">
        <v>170</v>
      </c>
      <c r="W24" s="243" t="s">
        <v>170</v>
      </c>
      <c r="X24" s="235"/>
      <c r="Y24" s="241" t="s">
        <v>170</v>
      </c>
      <c r="Z24" s="241" t="s">
        <v>170</v>
      </c>
      <c r="AA24" s="242" t="s">
        <v>170</v>
      </c>
      <c r="AB24" s="162"/>
      <c r="AC24" s="162"/>
      <c r="AD24" s="243" t="s">
        <v>170</v>
      </c>
      <c r="AE24" s="235"/>
      <c r="AF24" s="241" t="s">
        <v>170</v>
      </c>
      <c r="AG24" s="241" t="s">
        <v>170</v>
      </c>
      <c r="AH24" s="242" t="s">
        <v>170</v>
      </c>
      <c r="AI24" s="162"/>
      <c r="AJ24" s="162"/>
      <c r="AK24" s="243" t="s">
        <v>170</v>
      </c>
      <c r="AL24" s="241">
        <f>SUM(G24,L24,S24,X24,AE24)</f>
        <v>0</v>
      </c>
      <c r="AM24" s="241" t="s">
        <v>170</v>
      </c>
      <c r="AN24" s="241" t="s">
        <v>170</v>
      </c>
      <c r="AO24" s="242" t="s">
        <v>170</v>
      </c>
    </row>
    <row r="25" spans="1:41" s="88" customFormat="1" outlineLevel="1">
      <c r="A25" s="355" t="s">
        <v>174</v>
      </c>
      <c r="B25" s="166" t="s">
        <v>169</v>
      </c>
      <c r="D25" s="89" t="s">
        <v>110</v>
      </c>
      <c r="E25" s="162"/>
      <c r="F25" s="243" t="s">
        <v>170</v>
      </c>
      <c r="G25" s="241" t="s">
        <v>170</v>
      </c>
      <c r="H25" s="235"/>
      <c r="I25" s="241" t="s">
        <v>170</v>
      </c>
      <c r="J25" s="242" t="s">
        <v>170</v>
      </c>
      <c r="K25" s="243" t="s">
        <v>170</v>
      </c>
      <c r="L25" s="241" t="s">
        <v>170</v>
      </c>
      <c r="M25" s="235"/>
      <c r="N25" s="241" t="s">
        <v>170</v>
      </c>
      <c r="O25" s="242" t="s">
        <v>170</v>
      </c>
      <c r="P25" s="162"/>
      <c r="Q25" s="162"/>
      <c r="R25" s="243" t="s">
        <v>170</v>
      </c>
      <c r="S25" s="241" t="s">
        <v>170</v>
      </c>
      <c r="T25" s="235"/>
      <c r="U25" s="241" t="s">
        <v>170</v>
      </c>
      <c r="V25" s="242" t="s">
        <v>170</v>
      </c>
      <c r="W25" s="243" t="s">
        <v>170</v>
      </c>
      <c r="X25" s="241" t="s">
        <v>170</v>
      </c>
      <c r="Y25" s="235"/>
      <c r="Z25" s="241" t="s">
        <v>170</v>
      </c>
      <c r="AA25" s="242" t="s">
        <v>170</v>
      </c>
      <c r="AB25" s="162"/>
      <c r="AC25" s="162"/>
      <c r="AD25" s="243" t="s">
        <v>170</v>
      </c>
      <c r="AE25" s="241" t="s">
        <v>170</v>
      </c>
      <c r="AF25" s="235"/>
      <c r="AG25" s="241" t="s">
        <v>170</v>
      </c>
      <c r="AH25" s="242" t="s">
        <v>170</v>
      </c>
      <c r="AI25" s="162"/>
      <c r="AJ25" s="162"/>
      <c r="AK25" s="243" t="s">
        <v>170</v>
      </c>
      <c r="AL25" s="241" t="s">
        <v>170</v>
      </c>
      <c r="AM25" s="241">
        <f>SUM(H25,M25,T25,Y25,AF25)</f>
        <v>0</v>
      </c>
      <c r="AN25" s="241" t="s">
        <v>170</v>
      </c>
      <c r="AO25" s="242" t="s">
        <v>170</v>
      </c>
    </row>
    <row r="26" spans="1:41" s="88" customFormat="1" outlineLevel="1">
      <c r="A26" s="356"/>
      <c r="B26" s="244" t="s">
        <v>171</v>
      </c>
      <c r="D26" s="89" t="s">
        <v>110</v>
      </c>
      <c r="E26" s="162"/>
      <c r="F26" s="243" t="s">
        <v>170</v>
      </c>
      <c r="G26" s="241" t="s">
        <v>170</v>
      </c>
      <c r="H26" s="235"/>
      <c r="I26" s="241" t="s">
        <v>170</v>
      </c>
      <c r="J26" s="242" t="s">
        <v>170</v>
      </c>
      <c r="K26" s="243" t="s">
        <v>170</v>
      </c>
      <c r="L26" s="241" t="s">
        <v>170</v>
      </c>
      <c r="M26" s="235"/>
      <c r="N26" s="241" t="s">
        <v>170</v>
      </c>
      <c r="O26" s="242" t="s">
        <v>170</v>
      </c>
      <c r="P26" s="162"/>
      <c r="Q26" s="162"/>
      <c r="R26" s="243" t="s">
        <v>170</v>
      </c>
      <c r="S26" s="241" t="s">
        <v>170</v>
      </c>
      <c r="T26" s="235"/>
      <c r="U26" s="241" t="s">
        <v>170</v>
      </c>
      <c r="V26" s="242" t="s">
        <v>170</v>
      </c>
      <c r="W26" s="243" t="s">
        <v>170</v>
      </c>
      <c r="X26" s="241" t="s">
        <v>170</v>
      </c>
      <c r="Y26" s="235"/>
      <c r="Z26" s="241" t="s">
        <v>170</v>
      </c>
      <c r="AA26" s="242" t="s">
        <v>170</v>
      </c>
      <c r="AB26" s="162"/>
      <c r="AC26" s="162"/>
      <c r="AD26" s="243" t="s">
        <v>170</v>
      </c>
      <c r="AE26" s="241" t="s">
        <v>170</v>
      </c>
      <c r="AF26" s="235"/>
      <c r="AG26" s="241" t="s">
        <v>170</v>
      </c>
      <c r="AH26" s="242" t="s">
        <v>170</v>
      </c>
      <c r="AI26" s="162"/>
      <c r="AJ26" s="162"/>
      <c r="AK26" s="243" t="s">
        <v>170</v>
      </c>
      <c r="AL26" s="241" t="s">
        <v>170</v>
      </c>
      <c r="AM26" s="241">
        <f>SUM(H26,M26,T26,Y26,AF26)</f>
        <v>0</v>
      </c>
      <c r="AN26" s="241" t="s">
        <v>170</v>
      </c>
      <c r="AO26" s="242" t="s">
        <v>170</v>
      </c>
    </row>
    <row r="27" spans="1:41" s="88" customFormat="1" outlineLevel="1">
      <c r="A27" s="356"/>
      <c r="B27" s="244" t="s">
        <v>172</v>
      </c>
      <c r="D27" s="89" t="s">
        <v>110</v>
      </c>
      <c r="E27" s="162"/>
      <c r="F27" s="243" t="s">
        <v>170</v>
      </c>
      <c r="G27" s="241" t="s">
        <v>170</v>
      </c>
      <c r="H27" s="235"/>
      <c r="I27" s="241" t="s">
        <v>170</v>
      </c>
      <c r="J27" s="242" t="s">
        <v>170</v>
      </c>
      <c r="K27" s="243" t="s">
        <v>170</v>
      </c>
      <c r="L27" s="241" t="s">
        <v>170</v>
      </c>
      <c r="M27" s="235"/>
      <c r="N27" s="241" t="s">
        <v>170</v>
      </c>
      <c r="O27" s="242" t="s">
        <v>170</v>
      </c>
      <c r="P27" s="162"/>
      <c r="Q27" s="162"/>
      <c r="R27" s="243" t="s">
        <v>170</v>
      </c>
      <c r="S27" s="241" t="s">
        <v>170</v>
      </c>
      <c r="T27" s="235"/>
      <c r="U27" s="241" t="s">
        <v>170</v>
      </c>
      <c r="V27" s="242" t="s">
        <v>170</v>
      </c>
      <c r="W27" s="243" t="s">
        <v>170</v>
      </c>
      <c r="X27" s="241" t="s">
        <v>170</v>
      </c>
      <c r="Y27" s="235"/>
      <c r="Z27" s="241" t="s">
        <v>170</v>
      </c>
      <c r="AA27" s="242" t="s">
        <v>170</v>
      </c>
      <c r="AB27" s="162"/>
      <c r="AC27" s="162"/>
      <c r="AD27" s="243" t="s">
        <v>170</v>
      </c>
      <c r="AE27" s="241" t="s">
        <v>170</v>
      </c>
      <c r="AF27" s="235"/>
      <c r="AG27" s="241" t="s">
        <v>170</v>
      </c>
      <c r="AH27" s="242" t="s">
        <v>170</v>
      </c>
      <c r="AI27" s="162"/>
      <c r="AJ27" s="162"/>
      <c r="AK27" s="243" t="s">
        <v>170</v>
      </c>
      <c r="AL27" s="241" t="s">
        <v>170</v>
      </c>
      <c r="AM27" s="241">
        <f>SUM(H27,M27,T27,Y27,AF27)</f>
        <v>0</v>
      </c>
      <c r="AN27" s="241" t="s">
        <v>170</v>
      </c>
      <c r="AO27" s="242" t="s">
        <v>170</v>
      </c>
    </row>
    <row r="28" spans="1:41" s="88" customFormat="1" outlineLevel="1">
      <c r="A28" s="355" t="s">
        <v>175</v>
      </c>
      <c r="B28" s="166" t="s">
        <v>169</v>
      </c>
      <c r="D28" s="89" t="s">
        <v>110</v>
      </c>
      <c r="E28" s="162"/>
      <c r="F28" s="243" t="s">
        <v>170</v>
      </c>
      <c r="G28" s="241" t="s">
        <v>170</v>
      </c>
      <c r="H28" s="241" t="s">
        <v>170</v>
      </c>
      <c r="I28" s="235"/>
      <c r="J28" s="242" t="s">
        <v>170</v>
      </c>
      <c r="K28" s="243" t="s">
        <v>170</v>
      </c>
      <c r="L28" s="241" t="s">
        <v>170</v>
      </c>
      <c r="M28" s="241" t="s">
        <v>170</v>
      </c>
      <c r="N28" s="235"/>
      <c r="O28" s="242" t="s">
        <v>170</v>
      </c>
      <c r="P28" s="162"/>
      <c r="Q28" s="162"/>
      <c r="R28" s="243" t="s">
        <v>170</v>
      </c>
      <c r="S28" s="241" t="s">
        <v>170</v>
      </c>
      <c r="T28" s="241" t="s">
        <v>170</v>
      </c>
      <c r="U28" s="235"/>
      <c r="V28" s="242" t="s">
        <v>170</v>
      </c>
      <c r="W28" s="243" t="s">
        <v>170</v>
      </c>
      <c r="X28" s="241" t="s">
        <v>170</v>
      </c>
      <c r="Y28" s="241" t="s">
        <v>170</v>
      </c>
      <c r="Z28" s="235"/>
      <c r="AA28" s="242" t="s">
        <v>170</v>
      </c>
      <c r="AB28" s="162"/>
      <c r="AC28" s="162"/>
      <c r="AD28" s="243" t="s">
        <v>170</v>
      </c>
      <c r="AE28" s="241" t="s">
        <v>170</v>
      </c>
      <c r="AF28" s="241" t="s">
        <v>170</v>
      </c>
      <c r="AG28" s="235"/>
      <c r="AH28" s="242" t="s">
        <v>170</v>
      </c>
      <c r="AI28" s="162"/>
      <c r="AJ28" s="162"/>
      <c r="AK28" s="243" t="s">
        <v>170</v>
      </c>
      <c r="AL28" s="241" t="s">
        <v>170</v>
      </c>
      <c r="AM28" s="241" t="s">
        <v>170</v>
      </c>
      <c r="AN28" s="241">
        <f>SUM(I28,N28,U28,Z28,AG28)</f>
        <v>0</v>
      </c>
      <c r="AO28" s="242" t="s">
        <v>170</v>
      </c>
    </row>
    <row r="29" spans="1:41" s="88" customFormat="1" outlineLevel="1">
      <c r="A29" s="356"/>
      <c r="B29" s="244" t="s">
        <v>171</v>
      </c>
      <c r="D29" s="89" t="s">
        <v>110</v>
      </c>
      <c r="E29" s="162"/>
      <c r="F29" s="243" t="s">
        <v>170</v>
      </c>
      <c r="G29" s="241" t="s">
        <v>170</v>
      </c>
      <c r="H29" s="241" t="s">
        <v>170</v>
      </c>
      <c r="I29" s="235"/>
      <c r="J29" s="242" t="s">
        <v>170</v>
      </c>
      <c r="K29" s="243" t="s">
        <v>170</v>
      </c>
      <c r="L29" s="241" t="s">
        <v>170</v>
      </c>
      <c r="M29" s="241" t="s">
        <v>170</v>
      </c>
      <c r="N29" s="235"/>
      <c r="O29" s="242" t="s">
        <v>170</v>
      </c>
      <c r="P29" s="162"/>
      <c r="Q29" s="162"/>
      <c r="R29" s="243" t="s">
        <v>170</v>
      </c>
      <c r="S29" s="241" t="s">
        <v>170</v>
      </c>
      <c r="T29" s="241" t="s">
        <v>170</v>
      </c>
      <c r="U29" s="235"/>
      <c r="V29" s="242" t="s">
        <v>170</v>
      </c>
      <c r="W29" s="243" t="s">
        <v>170</v>
      </c>
      <c r="X29" s="241" t="s">
        <v>170</v>
      </c>
      <c r="Y29" s="241" t="s">
        <v>170</v>
      </c>
      <c r="Z29" s="235"/>
      <c r="AA29" s="242" t="s">
        <v>170</v>
      </c>
      <c r="AB29" s="162"/>
      <c r="AC29" s="162"/>
      <c r="AD29" s="243" t="s">
        <v>170</v>
      </c>
      <c r="AE29" s="241" t="s">
        <v>170</v>
      </c>
      <c r="AF29" s="241" t="s">
        <v>170</v>
      </c>
      <c r="AG29" s="235"/>
      <c r="AH29" s="242" t="s">
        <v>170</v>
      </c>
      <c r="AI29" s="162"/>
      <c r="AJ29" s="162"/>
      <c r="AK29" s="243" t="s">
        <v>170</v>
      </c>
      <c r="AL29" s="241" t="s">
        <v>170</v>
      </c>
      <c r="AM29" s="241" t="s">
        <v>170</v>
      </c>
      <c r="AN29" s="241">
        <f>SUM(I29,N29,U29,Z29,AG29)</f>
        <v>0</v>
      </c>
      <c r="AO29" s="242" t="s">
        <v>170</v>
      </c>
    </row>
    <row r="30" spans="1:41" s="88" customFormat="1" outlineLevel="1">
      <c r="A30" s="356"/>
      <c r="B30" s="244" t="s">
        <v>172</v>
      </c>
      <c r="D30" s="89" t="s">
        <v>110</v>
      </c>
      <c r="E30" s="162"/>
      <c r="F30" s="243" t="s">
        <v>170</v>
      </c>
      <c r="G30" s="241" t="s">
        <v>170</v>
      </c>
      <c r="H30" s="241" t="s">
        <v>170</v>
      </c>
      <c r="I30" s="235"/>
      <c r="J30" s="242" t="s">
        <v>170</v>
      </c>
      <c r="K30" s="243" t="s">
        <v>170</v>
      </c>
      <c r="L30" s="241" t="s">
        <v>170</v>
      </c>
      <c r="M30" s="241" t="s">
        <v>170</v>
      </c>
      <c r="N30" s="235"/>
      <c r="O30" s="242" t="s">
        <v>170</v>
      </c>
      <c r="P30" s="162"/>
      <c r="Q30" s="162"/>
      <c r="R30" s="243" t="s">
        <v>170</v>
      </c>
      <c r="S30" s="241" t="s">
        <v>170</v>
      </c>
      <c r="T30" s="241" t="s">
        <v>170</v>
      </c>
      <c r="U30" s="235"/>
      <c r="V30" s="242" t="s">
        <v>170</v>
      </c>
      <c r="W30" s="243" t="s">
        <v>170</v>
      </c>
      <c r="X30" s="241" t="s">
        <v>170</v>
      </c>
      <c r="Y30" s="241" t="s">
        <v>170</v>
      </c>
      <c r="Z30" s="235"/>
      <c r="AA30" s="242" t="s">
        <v>170</v>
      </c>
      <c r="AB30" s="162"/>
      <c r="AC30" s="162"/>
      <c r="AD30" s="243" t="s">
        <v>170</v>
      </c>
      <c r="AE30" s="241" t="s">
        <v>170</v>
      </c>
      <c r="AF30" s="241" t="s">
        <v>170</v>
      </c>
      <c r="AG30" s="235"/>
      <c r="AH30" s="242" t="s">
        <v>170</v>
      </c>
      <c r="AI30" s="162"/>
      <c r="AJ30" s="162"/>
      <c r="AK30" s="243" t="s">
        <v>170</v>
      </c>
      <c r="AL30" s="241" t="s">
        <v>170</v>
      </c>
      <c r="AM30" s="241" t="s">
        <v>170</v>
      </c>
      <c r="AN30" s="241">
        <f>SUM(I30,N30,U30,Z30,AG30)</f>
        <v>0</v>
      </c>
      <c r="AO30" s="242" t="s">
        <v>170</v>
      </c>
    </row>
    <row r="31" spans="1:41" s="88" customFormat="1" outlineLevel="1">
      <c r="A31" s="355" t="s">
        <v>176</v>
      </c>
      <c r="B31" s="166" t="s">
        <v>169</v>
      </c>
      <c r="D31" s="89" t="s">
        <v>110</v>
      </c>
      <c r="E31" s="162"/>
      <c r="F31" s="243" t="s">
        <v>170</v>
      </c>
      <c r="G31" s="241" t="s">
        <v>170</v>
      </c>
      <c r="H31" s="241" t="s">
        <v>170</v>
      </c>
      <c r="I31" s="241" t="s">
        <v>170</v>
      </c>
      <c r="J31" s="245"/>
      <c r="K31" s="243" t="s">
        <v>170</v>
      </c>
      <c r="L31" s="241" t="s">
        <v>170</v>
      </c>
      <c r="M31" s="241" t="s">
        <v>170</v>
      </c>
      <c r="N31" s="241" t="s">
        <v>170</v>
      </c>
      <c r="O31" s="245"/>
      <c r="P31" s="162"/>
      <c r="Q31" s="162"/>
      <c r="R31" s="243" t="s">
        <v>170</v>
      </c>
      <c r="S31" s="241" t="s">
        <v>170</v>
      </c>
      <c r="T31" s="241" t="s">
        <v>170</v>
      </c>
      <c r="U31" s="241" t="s">
        <v>170</v>
      </c>
      <c r="V31" s="245"/>
      <c r="W31" s="243" t="s">
        <v>170</v>
      </c>
      <c r="X31" s="241" t="s">
        <v>170</v>
      </c>
      <c r="Y31" s="241" t="s">
        <v>170</v>
      </c>
      <c r="Z31" s="241" t="s">
        <v>170</v>
      </c>
      <c r="AA31" s="245"/>
      <c r="AB31" s="162"/>
      <c r="AC31" s="162"/>
      <c r="AD31" s="243" t="s">
        <v>170</v>
      </c>
      <c r="AE31" s="241" t="s">
        <v>170</v>
      </c>
      <c r="AF31" s="241" t="s">
        <v>170</v>
      </c>
      <c r="AG31" s="241" t="s">
        <v>170</v>
      </c>
      <c r="AH31" s="245"/>
      <c r="AI31" s="162"/>
      <c r="AJ31" s="162"/>
      <c r="AK31" s="243" t="s">
        <v>170</v>
      </c>
      <c r="AL31" s="241" t="s">
        <v>170</v>
      </c>
      <c r="AM31" s="241" t="s">
        <v>170</v>
      </c>
      <c r="AN31" s="241" t="s">
        <v>170</v>
      </c>
      <c r="AO31" s="242">
        <f>SUM(J31,O31,V31,AA31,AH31)</f>
        <v>0</v>
      </c>
    </row>
    <row r="32" spans="1:41" s="88" customFormat="1" outlineLevel="1">
      <c r="A32" s="356"/>
      <c r="B32" s="244" t="s">
        <v>171</v>
      </c>
      <c r="D32" s="89" t="s">
        <v>110</v>
      </c>
      <c r="E32" s="162"/>
      <c r="F32" s="243" t="s">
        <v>170</v>
      </c>
      <c r="G32" s="241" t="s">
        <v>170</v>
      </c>
      <c r="H32" s="241" t="s">
        <v>170</v>
      </c>
      <c r="I32" s="241" t="s">
        <v>170</v>
      </c>
      <c r="J32" s="245"/>
      <c r="K32" s="243" t="s">
        <v>170</v>
      </c>
      <c r="L32" s="241" t="s">
        <v>170</v>
      </c>
      <c r="M32" s="241" t="s">
        <v>170</v>
      </c>
      <c r="N32" s="241" t="s">
        <v>170</v>
      </c>
      <c r="O32" s="245"/>
      <c r="P32" s="161"/>
      <c r="Q32" s="161"/>
      <c r="R32" s="243" t="s">
        <v>170</v>
      </c>
      <c r="S32" s="241" t="s">
        <v>170</v>
      </c>
      <c r="T32" s="241" t="s">
        <v>170</v>
      </c>
      <c r="U32" s="241" t="s">
        <v>170</v>
      </c>
      <c r="V32" s="245"/>
      <c r="W32" s="243" t="s">
        <v>170</v>
      </c>
      <c r="X32" s="241" t="s">
        <v>170</v>
      </c>
      <c r="Y32" s="241" t="s">
        <v>170</v>
      </c>
      <c r="Z32" s="241" t="s">
        <v>170</v>
      </c>
      <c r="AA32" s="245"/>
      <c r="AB32" s="162"/>
      <c r="AC32" s="162"/>
      <c r="AD32" s="243" t="s">
        <v>170</v>
      </c>
      <c r="AE32" s="241" t="s">
        <v>170</v>
      </c>
      <c r="AF32" s="241" t="s">
        <v>170</v>
      </c>
      <c r="AG32" s="241" t="s">
        <v>170</v>
      </c>
      <c r="AH32" s="245"/>
      <c r="AI32" s="162"/>
      <c r="AJ32" s="162"/>
      <c r="AK32" s="243" t="s">
        <v>170</v>
      </c>
      <c r="AL32" s="241" t="s">
        <v>170</v>
      </c>
      <c r="AM32" s="241" t="s">
        <v>170</v>
      </c>
      <c r="AN32" s="241" t="s">
        <v>170</v>
      </c>
      <c r="AO32" s="242">
        <f>SUM(J32,O32,V32,AA32,AH32)</f>
        <v>0</v>
      </c>
    </row>
    <row r="33" spans="1:41" s="88" customFormat="1" outlineLevel="1">
      <c r="A33" s="356"/>
      <c r="B33" s="244" t="s">
        <v>172</v>
      </c>
      <c r="D33" s="89" t="s">
        <v>110</v>
      </c>
      <c r="E33" s="162"/>
      <c r="F33" s="243" t="s">
        <v>170</v>
      </c>
      <c r="G33" s="241" t="s">
        <v>170</v>
      </c>
      <c r="H33" s="241" t="s">
        <v>170</v>
      </c>
      <c r="I33" s="241" t="s">
        <v>170</v>
      </c>
      <c r="J33" s="245"/>
      <c r="K33" s="243" t="s">
        <v>170</v>
      </c>
      <c r="L33" s="241" t="s">
        <v>170</v>
      </c>
      <c r="M33" s="241" t="s">
        <v>170</v>
      </c>
      <c r="N33" s="241" t="s">
        <v>170</v>
      </c>
      <c r="O33" s="245"/>
      <c r="P33" s="162"/>
      <c r="Q33" s="162"/>
      <c r="R33" s="243" t="s">
        <v>170</v>
      </c>
      <c r="S33" s="241" t="s">
        <v>170</v>
      </c>
      <c r="T33" s="241" t="s">
        <v>170</v>
      </c>
      <c r="U33" s="241" t="s">
        <v>170</v>
      </c>
      <c r="V33" s="245"/>
      <c r="W33" s="243" t="s">
        <v>170</v>
      </c>
      <c r="X33" s="241" t="s">
        <v>170</v>
      </c>
      <c r="Y33" s="241" t="s">
        <v>170</v>
      </c>
      <c r="Z33" s="241" t="s">
        <v>170</v>
      </c>
      <c r="AA33" s="245"/>
      <c r="AB33" s="162"/>
      <c r="AC33" s="162"/>
      <c r="AD33" s="243" t="s">
        <v>170</v>
      </c>
      <c r="AE33" s="241" t="s">
        <v>170</v>
      </c>
      <c r="AF33" s="241" t="s">
        <v>170</v>
      </c>
      <c r="AG33" s="241" t="s">
        <v>170</v>
      </c>
      <c r="AH33" s="245"/>
      <c r="AI33" s="162"/>
      <c r="AJ33" s="162"/>
      <c r="AK33" s="243" t="s">
        <v>170</v>
      </c>
      <c r="AL33" s="241" t="s">
        <v>170</v>
      </c>
      <c r="AM33" s="241" t="s">
        <v>170</v>
      </c>
      <c r="AN33" s="241" t="s">
        <v>170</v>
      </c>
      <c r="AO33" s="242">
        <f>SUM(J33,O33,V33,AA33,AH33)</f>
        <v>0</v>
      </c>
    </row>
    <row r="34" spans="1:41" s="88" customFormat="1" ht="15">
      <c r="A34" s="352" t="s">
        <v>136</v>
      </c>
      <c r="B34" s="353"/>
      <c r="C34" s="353"/>
      <c r="D34" s="353"/>
      <c r="E34" s="354"/>
      <c r="F34" s="125">
        <f t="shared" ref="F34:O34" si="2">SUM(F19:F33)</f>
        <v>1000</v>
      </c>
      <c r="G34" s="92">
        <f t="shared" si="2"/>
        <v>0</v>
      </c>
      <c r="H34" s="92">
        <f t="shared" si="2"/>
        <v>0</v>
      </c>
      <c r="I34" s="92">
        <f t="shared" si="2"/>
        <v>0</v>
      </c>
      <c r="J34" s="92">
        <f t="shared" si="2"/>
        <v>0</v>
      </c>
      <c r="K34" s="125">
        <f t="shared" si="2"/>
        <v>1000</v>
      </c>
      <c r="L34" s="92">
        <f t="shared" si="2"/>
        <v>0</v>
      </c>
      <c r="M34" s="92">
        <f t="shared" si="2"/>
        <v>0</v>
      </c>
      <c r="N34" s="92">
        <f t="shared" si="2"/>
        <v>0</v>
      </c>
      <c r="O34" s="246">
        <f t="shared" si="2"/>
        <v>0</v>
      </c>
      <c r="P34" s="163"/>
      <c r="Q34" s="163"/>
      <c r="R34" s="125">
        <f t="shared" ref="R34:AA34" si="3">SUM(R19:R33)</f>
        <v>1000</v>
      </c>
      <c r="S34" s="92">
        <f t="shared" si="3"/>
        <v>0</v>
      </c>
      <c r="T34" s="92">
        <f t="shared" si="3"/>
        <v>0</v>
      </c>
      <c r="U34" s="92">
        <f t="shared" si="3"/>
        <v>0</v>
      </c>
      <c r="V34" s="92">
        <f t="shared" si="3"/>
        <v>0</v>
      </c>
      <c r="W34" s="125">
        <f t="shared" si="3"/>
        <v>1000</v>
      </c>
      <c r="X34" s="92">
        <f t="shared" si="3"/>
        <v>0</v>
      </c>
      <c r="Y34" s="92">
        <f t="shared" si="3"/>
        <v>0</v>
      </c>
      <c r="Z34" s="92">
        <f t="shared" si="3"/>
        <v>0</v>
      </c>
      <c r="AA34" s="246">
        <f t="shared" si="3"/>
        <v>0</v>
      </c>
      <c r="AB34" s="162"/>
      <c r="AC34" s="162"/>
      <c r="AD34" s="125">
        <f>SUM(AD19:AD33)</f>
        <v>1000</v>
      </c>
      <c r="AE34" s="92">
        <f>SUM(AE19:AE33)</f>
        <v>0</v>
      </c>
      <c r="AF34" s="92">
        <f>SUM(AF19:AF33)</f>
        <v>0</v>
      </c>
      <c r="AG34" s="92">
        <f>SUM(AG19:AG33)</f>
        <v>0</v>
      </c>
      <c r="AH34" s="246">
        <f>SUM(AH19:AH33)</f>
        <v>0</v>
      </c>
      <c r="AI34" s="162"/>
      <c r="AJ34" s="162"/>
      <c r="AK34" s="125">
        <f>SUM(AK19:AK33)</f>
        <v>5000</v>
      </c>
      <c r="AL34" s="92">
        <f>SUM(AL19:AL33)</f>
        <v>0</v>
      </c>
      <c r="AM34" s="92">
        <f>SUM(AM19:AM33)</f>
        <v>0</v>
      </c>
      <c r="AN34" s="92">
        <f>SUM(AN19:AN33)</f>
        <v>0</v>
      </c>
      <c r="AO34" s="246">
        <f>SUM(AO19:AO33)</f>
        <v>0</v>
      </c>
    </row>
    <row r="35" spans="1:41">
      <c r="E35" s="162"/>
      <c r="F35" s="63"/>
      <c r="G35" s="65"/>
      <c r="H35" s="65"/>
      <c r="I35" s="65"/>
      <c r="J35" s="65"/>
      <c r="K35" s="63"/>
      <c r="L35" s="65"/>
      <c r="M35" s="65"/>
      <c r="N35" s="65"/>
      <c r="O35" s="64"/>
      <c r="P35" s="161"/>
      <c r="Q35" s="161"/>
      <c r="R35" s="63"/>
      <c r="S35" s="65"/>
      <c r="T35" s="65"/>
      <c r="U35" s="65"/>
      <c r="V35" s="64"/>
      <c r="W35" s="63"/>
      <c r="X35" s="65"/>
      <c r="AA35" s="62"/>
      <c r="AB35" s="162"/>
      <c r="AC35" s="162"/>
      <c r="AD35" s="61"/>
      <c r="AH35" s="62"/>
      <c r="AI35" s="162"/>
      <c r="AJ35" s="162"/>
      <c r="AK35" s="61"/>
      <c r="AO35" s="62"/>
    </row>
    <row r="36" spans="1:41" s="96" customFormat="1" outlineLevel="1">
      <c r="A36" s="328" t="s">
        <v>177</v>
      </c>
      <c r="B36" s="329" t="s">
        <v>178</v>
      </c>
      <c r="C36" s="247" t="s">
        <v>116</v>
      </c>
      <c r="D36" s="247" t="s">
        <v>0</v>
      </c>
      <c r="E36" s="187"/>
      <c r="F36" s="248">
        <v>0.02</v>
      </c>
      <c r="G36" s="249">
        <v>0.04</v>
      </c>
      <c r="H36" s="249"/>
      <c r="I36" s="249"/>
      <c r="J36" s="250"/>
      <c r="K36" s="248">
        <v>0.02</v>
      </c>
      <c r="L36" s="249">
        <v>0.04</v>
      </c>
      <c r="M36" s="249"/>
      <c r="N36" s="249"/>
      <c r="O36" s="250"/>
      <c r="P36" s="181"/>
      <c r="Q36" s="181"/>
      <c r="R36" s="248"/>
      <c r="S36" s="249"/>
      <c r="T36" s="249"/>
      <c r="U36" s="249"/>
      <c r="V36" s="250"/>
      <c r="W36" s="248"/>
      <c r="X36" s="249"/>
      <c r="Y36" s="249"/>
      <c r="Z36" s="249"/>
      <c r="AA36" s="250"/>
      <c r="AB36" s="187"/>
      <c r="AC36" s="187"/>
      <c r="AD36" s="248"/>
      <c r="AE36" s="249"/>
      <c r="AF36" s="249"/>
      <c r="AG36" s="249"/>
      <c r="AH36" s="250"/>
      <c r="AI36" s="187"/>
      <c r="AJ36" s="187"/>
      <c r="AK36" s="251">
        <f t="shared" ref="AK36:AO39" si="4">F36+K36+R36+W36+AD36</f>
        <v>0.04</v>
      </c>
      <c r="AL36" s="252">
        <f t="shared" si="4"/>
        <v>0.08</v>
      </c>
      <c r="AM36" s="252">
        <f t="shared" si="4"/>
        <v>0</v>
      </c>
      <c r="AN36" s="252">
        <f t="shared" si="4"/>
        <v>0</v>
      </c>
      <c r="AO36" s="253">
        <f t="shared" si="4"/>
        <v>0</v>
      </c>
    </row>
    <row r="37" spans="1:41" s="96" customFormat="1" outlineLevel="1">
      <c r="A37" s="328"/>
      <c r="B37" s="329"/>
      <c r="C37" s="96" t="s">
        <v>167</v>
      </c>
      <c r="D37" s="236">
        <v>350000</v>
      </c>
      <c r="E37" s="162"/>
      <c r="F37" s="234">
        <f>F36*$D37</f>
        <v>7000</v>
      </c>
      <c r="G37" s="235">
        <f>G36*$D37</f>
        <v>14000</v>
      </c>
      <c r="H37" s="221"/>
      <c r="I37" s="221"/>
      <c r="J37" s="222"/>
      <c r="K37" s="234">
        <f>K36*$D37</f>
        <v>7000</v>
      </c>
      <c r="L37" s="235">
        <f>L36*$D37</f>
        <v>14000</v>
      </c>
      <c r="M37" s="221"/>
      <c r="N37" s="221"/>
      <c r="O37" s="222"/>
      <c r="P37" s="161"/>
      <c r="Q37" s="161"/>
      <c r="R37" s="234"/>
      <c r="S37" s="235"/>
      <c r="T37" s="221"/>
      <c r="U37" s="221"/>
      <c r="V37" s="222"/>
      <c r="W37" s="234"/>
      <c r="X37" s="235"/>
      <c r="Y37" s="221"/>
      <c r="Z37" s="221"/>
      <c r="AA37" s="222"/>
      <c r="AB37" s="162"/>
      <c r="AC37" s="162"/>
      <c r="AD37" s="234"/>
      <c r="AE37" s="235"/>
      <c r="AF37" s="221"/>
      <c r="AG37" s="221"/>
      <c r="AH37" s="222"/>
      <c r="AI37" s="162"/>
      <c r="AJ37" s="162"/>
      <c r="AK37" s="254">
        <f t="shared" si="4"/>
        <v>14000</v>
      </c>
      <c r="AL37" s="104">
        <f t="shared" si="4"/>
        <v>28000</v>
      </c>
      <c r="AM37" s="255">
        <f t="shared" si="4"/>
        <v>0</v>
      </c>
      <c r="AN37" s="255">
        <f t="shared" si="4"/>
        <v>0</v>
      </c>
      <c r="AO37" s="256">
        <f t="shared" si="4"/>
        <v>0</v>
      </c>
    </row>
    <row r="38" spans="1:41" s="96" customFormat="1" outlineLevel="1">
      <c r="A38" s="328"/>
      <c r="B38" s="329" t="s">
        <v>107</v>
      </c>
      <c r="C38" s="96" t="s">
        <v>116</v>
      </c>
      <c r="D38" s="96" t="s">
        <v>0</v>
      </c>
      <c r="E38" s="171"/>
      <c r="F38" s="220">
        <v>0.02</v>
      </c>
      <c r="G38" s="221">
        <v>0.04</v>
      </c>
      <c r="H38" s="221"/>
      <c r="I38" s="221"/>
      <c r="J38" s="222"/>
      <c r="K38" s="220">
        <v>0.02</v>
      </c>
      <c r="L38" s="221">
        <v>0.04</v>
      </c>
      <c r="M38" s="221"/>
      <c r="N38" s="221"/>
      <c r="O38" s="222"/>
      <c r="P38" s="161"/>
      <c r="Q38" s="161"/>
      <c r="R38" s="220"/>
      <c r="S38" s="221"/>
      <c r="T38" s="221"/>
      <c r="U38" s="221"/>
      <c r="V38" s="222"/>
      <c r="W38" s="220"/>
      <c r="X38" s="221"/>
      <c r="Y38" s="221"/>
      <c r="Z38" s="221"/>
      <c r="AA38" s="222"/>
      <c r="AB38" s="162"/>
      <c r="AC38" s="162"/>
      <c r="AD38" s="220"/>
      <c r="AE38" s="221"/>
      <c r="AF38" s="221"/>
      <c r="AG38" s="221"/>
      <c r="AH38" s="222"/>
      <c r="AI38" s="162"/>
      <c r="AJ38" s="162"/>
      <c r="AK38" s="126">
        <f t="shared" si="4"/>
        <v>0.04</v>
      </c>
      <c r="AL38" s="105">
        <f t="shared" si="4"/>
        <v>0.08</v>
      </c>
      <c r="AM38" s="105">
        <f t="shared" si="4"/>
        <v>0</v>
      </c>
      <c r="AN38" s="105">
        <f t="shared" si="4"/>
        <v>0</v>
      </c>
      <c r="AO38" s="127">
        <f t="shared" si="4"/>
        <v>0</v>
      </c>
    </row>
    <row r="39" spans="1:41" s="96" customFormat="1" outlineLevel="1">
      <c r="A39" s="328"/>
      <c r="B39" s="329"/>
      <c r="C39" s="257" t="s">
        <v>167</v>
      </c>
      <c r="D39" s="239"/>
      <c r="E39" s="200"/>
      <c r="F39" s="258">
        <f>F38*$D39</f>
        <v>0</v>
      </c>
      <c r="G39" s="259">
        <f>G38*$D39</f>
        <v>0</v>
      </c>
      <c r="H39" s="229"/>
      <c r="I39" s="229"/>
      <c r="J39" s="230"/>
      <c r="K39" s="258">
        <f>K38*$D39</f>
        <v>0</v>
      </c>
      <c r="L39" s="259">
        <f>L38*$D39</f>
        <v>0</v>
      </c>
      <c r="M39" s="229"/>
      <c r="N39" s="229"/>
      <c r="O39" s="230"/>
      <c r="P39" s="185"/>
      <c r="Q39" s="185"/>
      <c r="R39" s="258"/>
      <c r="S39" s="259"/>
      <c r="T39" s="229"/>
      <c r="U39" s="229"/>
      <c r="V39" s="230"/>
      <c r="W39" s="258"/>
      <c r="X39" s="259"/>
      <c r="Y39" s="229"/>
      <c r="Z39" s="229"/>
      <c r="AA39" s="230"/>
      <c r="AB39" s="200"/>
      <c r="AC39" s="200"/>
      <c r="AD39" s="258"/>
      <c r="AE39" s="259"/>
      <c r="AF39" s="229"/>
      <c r="AG39" s="229"/>
      <c r="AH39" s="230"/>
      <c r="AI39" s="200"/>
      <c r="AJ39" s="200"/>
      <c r="AK39" s="260">
        <f t="shared" si="4"/>
        <v>0</v>
      </c>
      <c r="AL39" s="261">
        <f t="shared" si="4"/>
        <v>0</v>
      </c>
      <c r="AM39" s="262">
        <f t="shared" si="4"/>
        <v>0</v>
      </c>
      <c r="AN39" s="262">
        <f t="shared" si="4"/>
        <v>0</v>
      </c>
      <c r="AO39" s="263">
        <f t="shared" si="4"/>
        <v>0</v>
      </c>
    </row>
    <row r="40" spans="1:41" s="96" customFormat="1" ht="15">
      <c r="A40" s="330" t="s">
        <v>136</v>
      </c>
      <c r="B40" s="331"/>
      <c r="C40" s="331"/>
      <c r="D40" s="331"/>
      <c r="E40" s="332"/>
      <c r="F40" s="260">
        <f t="shared" ref="F40:O40" si="5">F37+F39</f>
        <v>7000</v>
      </c>
      <c r="G40" s="261">
        <f t="shared" si="5"/>
        <v>14000</v>
      </c>
      <c r="H40" s="261">
        <f t="shared" si="5"/>
        <v>0</v>
      </c>
      <c r="I40" s="261">
        <f t="shared" si="5"/>
        <v>0</v>
      </c>
      <c r="J40" s="261">
        <f t="shared" si="5"/>
        <v>0</v>
      </c>
      <c r="K40" s="260">
        <f t="shared" si="5"/>
        <v>7000</v>
      </c>
      <c r="L40" s="261">
        <f t="shared" si="5"/>
        <v>14000</v>
      </c>
      <c r="M40" s="261">
        <f t="shared" si="5"/>
        <v>0</v>
      </c>
      <c r="N40" s="261">
        <f t="shared" si="5"/>
        <v>0</v>
      </c>
      <c r="O40" s="261">
        <f t="shared" si="5"/>
        <v>0</v>
      </c>
      <c r="P40" s="185"/>
      <c r="Q40" s="185"/>
      <c r="R40" s="260">
        <f t="shared" ref="R40:AA40" si="6">R37+R39</f>
        <v>0</v>
      </c>
      <c r="S40" s="261">
        <f t="shared" si="6"/>
        <v>0</v>
      </c>
      <c r="T40" s="261">
        <f t="shared" si="6"/>
        <v>0</v>
      </c>
      <c r="U40" s="261">
        <f t="shared" si="6"/>
        <v>0</v>
      </c>
      <c r="V40" s="261">
        <f t="shared" si="6"/>
        <v>0</v>
      </c>
      <c r="W40" s="260">
        <f t="shared" si="6"/>
        <v>0</v>
      </c>
      <c r="X40" s="261">
        <f t="shared" si="6"/>
        <v>0</v>
      </c>
      <c r="Y40" s="261">
        <f t="shared" si="6"/>
        <v>0</v>
      </c>
      <c r="Z40" s="261">
        <f t="shared" si="6"/>
        <v>0</v>
      </c>
      <c r="AA40" s="261">
        <f t="shared" si="6"/>
        <v>0</v>
      </c>
      <c r="AB40" s="162"/>
      <c r="AC40" s="162"/>
      <c r="AD40" s="260">
        <f>AD37+AD39</f>
        <v>0</v>
      </c>
      <c r="AE40" s="261">
        <f>AE37+AE39</f>
        <v>0</v>
      </c>
      <c r="AF40" s="261">
        <f>AF37+AF39</f>
        <v>0</v>
      </c>
      <c r="AG40" s="261">
        <f>AG37+AG39</f>
        <v>0</v>
      </c>
      <c r="AH40" s="261">
        <f>AH37+AH39</f>
        <v>0</v>
      </c>
      <c r="AI40" s="162"/>
      <c r="AJ40" s="162"/>
      <c r="AK40" s="260">
        <f>AK37+AK39</f>
        <v>14000</v>
      </c>
      <c r="AL40" s="261">
        <f>AL37+AL39</f>
        <v>28000</v>
      </c>
      <c r="AM40" s="261">
        <f>AM37+AM39</f>
        <v>0</v>
      </c>
      <c r="AN40" s="261">
        <f>AN37+AN39</f>
        <v>0</v>
      </c>
      <c r="AO40" s="264">
        <f>AO37+AO39</f>
        <v>0</v>
      </c>
    </row>
    <row r="41" spans="1:41">
      <c r="E41" s="162"/>
      <c r="F41" s="63"/>
      <c r="G41" s="65"/>
      <c r="H41" s="65"/>
      <c r="I41" s="65"/>
      <c r="J41" s="65"/>
      <c r="K41" s="63"/>
      <c r="L41" s="65"/>
      <c r="M41" s="65"/>
      <c r="N41" s="65"/>
      <c r="O41" s="64"/>
      <c r="P41" s="161"/>
      <c r="Q41" s="161"/>
      <c r="R41" s="63"/>
      <c r="S41" s="65"/>
      <c r="T41" s="65"/>
      <c r="U41" s="65"/>
      <c r="V41" s="64"/>
      <c r="W41" s="63"/>
      <c r="X41" s="65"/>
      <c r="AA41" s="62"/>
      <c r="AB41" s="162"/>
      <c r="AC41" s="162"/>
      <c r="AD41" s="61"/>
      <c r="AH41" s="62"/>
      <c r="AI41" s="162"/>
      <c r="AJ41" s="162"/>
      <c r="AK41" s="61"/>
      <c r="AO41" s="62"/>
    </row>
    <row r="42" spans="1:41" s="107" customFormat="1" outlineLevel="1">
      <c r="A42" s="318" t="s">
        <v>179</v>
      </c>
      <c r="B42" s="319" t="s">
        <v>37</v>
      </c>
      <c r="C42" s="265" t="s">
        <v>116</v>
      </c>
      <c r="D42" s="265" t="s">
        <v>0</v>
      </c>
      <c r="E42" s="187"/>
      <c r="F42" s="248"/>
      <c r="G42" s="249"/>
      <c r="H42" s="249"/>
      <c r="I42" s="249"/>
      <c r="J42" s="249"/>
      <c r="K42" s="248"/>
      <c r="L42" s="249"/>
      <c r="M42" s="249"/>
      <c r="N42" s="249"/>
      <c r="O42" s="249"/>
      <c r="P42" s="181"/>
      <c r="Q42" s="181"/>
      <c r="R42" s="248">
        <v>1</v>
      </c>
      <c r="S42" s="249"/>
      <c r="T42" s="249"/>
      <c r="U42" s="249"/>
      <c r="V42" s="249"/>
      <c r="W42" s="248">
        <v>0.75</v>
      </c>
      <c r="X42" s="249"/>
      <c r="Y42" s="249"/>
      <c r="Z42" s="249"/>
      <c r="AA42" s="249"/>
      <c r="AB42" s="187"/>
      <c r="AC42" s="187"/>
      <c r="AD42" s="248"/>
      <c r="AE42" s="249"/>
      <c r="AF42" s="249"/>
      <c r="AG42" s="249"/>
      <c r="AH42" s="250"/>
      <c r="AI42" s="187"/>
      <c r="AJ42" s="187"/>
      <c r="AK42" s="266">
        <f t="shared" ref="AK42:AO43" si="7">F42+K42+R42+W42+AD42</f>
        <v>1.75</v>
      </c>
      <c r="AL42" s="267">
        <f t="shared" si="7"/>
        <v>0</v>
      </c>
      <c r="AM42" s="267">
        <f t="shared" si="7"/>
        <v>0</v>
      </c>
      <c r="AN42" s="267">
        <f t="shared" si="7"/>
        <v>0</v>
      </c>
      <c r="AO42" s="267">
        <f t="shared" si="7"/>
        <v>0</v>
      </c>
    </row>
    <row r="43" spans="1:41" s="107" customFormat="1" outlineLevel="1">
      <c r="A43" s="319"/>
      <c r="B43" s="319"/>
      <c r="C43" s="107" t="s">
        <v>167</v>
      </c>
      <c r="D43" s="233">
        <v>350000</v>
      </c>
      <c r="E43" s="162"/>
      <c r="F43" s="234">
        <f t="shared" ref="F43:O43" si="8">F42*$D43</f>
        <v>0</v>
      </c>
      <c r="G43" s="235">
        <f t="shared" si="8"/>
        <v>0</v>
      </c>
      <c r="H43" s="235">
        <f t="shared" si="8"/>
        <v>0</v>
      </c>
      <c r="I43" s="235">
        <f t="shared" si="8"/>
        <v>0</v>
      </c>
      <c r="J43" s="245">
        <f t="shared" si="8"/>
        <v>0</v>
      </c>
      <c r="K43" s="234">
        <f t="shared" si="8"/>
        <v>0</v>
      </c>
      <c r="L43" s="235">
        <f t="shared" si="8"/>
        <v>0</v>
      </c>
      <c r="M43" s="235">
        <f t="shared" si="8"/>
        <v>0</v>
      </c>
      <c r="N43" s="235">
        <f t="shared" si="8"/>
        <v>0</v>
      </c>
      <c r="O43" s="245">
        <f t="shared" si="8"/>
        <v>0</v>
      </c>
      <c r="P43" s="161"/>
      <c r="Q43" s="161"/>
      <c r="R43" s="234">
        <f t="shared" ref="R43:AA43" si="9">R42*$D43</f>
        <v>350000</v>
      </c>
      <c r="S43" s="235">
        <f t="shared" si="9"/>
        <v>0</v>
      </c>
      <c r="T43" s="235">
        <f t="shared" si="9"/>
        <v>0</v>
      </c>
      <c r="U43" s="235">
        <f t="shared" si="9"/>
        <v>0</v>
      </c>
      <c r="V43" s="245">
        <f t="shared" si="9"/>
        <v>0</v>
      </c>
      <c r="W43" s="234">
        <f t="shared" si="9"/>
        <v>262500</v>
      </c>
      <c r="X43" s="235">
        <f t="shared" si="9"/>
        <v>0</v>
      </c>
      <c r="Y43" s="235">
        <f t="shared" si="9"/>
        <v>0</v>
      </c>
      <c r="Z43" s="235">
        <f t="shared" si="9"/>
        <v>0</v>
      </c>
      <c r="AA43" s="245">
        <f t="shared" si="9"/>
        <v>0</v>
      </c>
      <c r="AB43" s="162"/>
      <c r="AC43" s="162"/>
      <c r="AD43" s="258">
        <f>AD42*$D43</f>
        <v>0</v>
      </c>
      <c r="AE43" s="259">
        <f>AE42*$D43</f>
        <v>0</v>
      </c>
      <c r="AF43" s="259">
        <f>AF42*$D43</f>
        <v>0</v>
      </c>
      <c r="AG43" s="259">
        <f>AG42*$D43</f>
        <v>0</v>
      </c>
      <c r="AH43" s="268">
        <f>AH42*$D43</f>
        <v>0</v>
      </c>
      <c r="AI43" s="162"/>
      <c r="AJ43" s="162"/>
      <c r="AK43" s="133">
        <f t="shared" si="7"/>
        <v>612500</v>
      </c>
      <c r="AL43" s="134">
        <f t="shared" si="7"/>
        <v>0</v>
      </c>
      <c r="AM43" s="134">
        <f t="shared" si="7"/>
        <v>0</v>
      </c>
      <c r="AN43" s="134">
        <f t="shared" si="7"/>
        <v>0</v>
      </c>
      <c r="AO43" s="269">
        <f t="shared" si="7"/>
        <v>0</v>
      </c>
    </row>
    <row r="44" spans="1:41" s="107" customFormat="1" ht="15">
      <c r="A44" s="320" t="s">
        <v>136</v>
      </c>
      <c r="B44" s="321"/>
      <c r="C44" s="321"/>
      <c r="D44" s="321"/>
      <c r="E44" s="322"/>
      <c r="F44" s="135">
        <f t="shared" ref="F44:O44" si="10">F43</f>
        <v>0</v>
      </c>
      <c r="G44" s="112">
        <f t="shared" si="10"/>
        <v>0</v>
      </c>
      <c r="H44" s="112">
        <f t="shared" si="10"/>
        <v>0</v>
      </c>
      <c r="I44" s="112">
        <f t="shared" si="10"/>
        <v>0</v>
      </c>
      <c r="J44" s="112">
        <f t="shared" si="10"/>
        <v>0</v>
      </c>
      <c r="K44" s="135">
        <f t="shared" si="10"/>
        <v>0</v>
      </c>
      <c r="L44" s="112">
        <f t="shared" si="10"/>
        <v>0</v>
      </c>
      <c r="M44" s="112">
        <f t="shared" si="10"/>
        <v>0</v>
      </c>
      <c r="N44" s="112">
        <f t="shared" si="10"/>
        <v>0</v>
      </c>
      <c r="O44" s="112">
        <f t="shared" si="10"/>
        <v>0</v>
      </c>
      <c r="P44" s="163"/>
      <c r="Q44" s="163"/>
      <c r="R44" s="135">
        <f t="shared" ref="R44:AA44" si="11">R43</f>
        <v>350000</v>
      </c>
      <c r="S44" s="112">
        <f t="shared" si="11"/>
        <v>0</v>
      </c>
      <c r="T44" s="112">
        <f t="shared" si="11"/>
        <v>0</v>
      </c>
      <c r="U44" s="112">
        <f t="shared" si="11"/>
        <v>0</v>
      </c>
      <c r="V44" s="112">
        <f t="shared" si="11"/>
        <v>0</v>
      </c>
      <c r="W44" s="135">
        <f t="shared" si="11"/>
        <v>262500</v>
      </c>
      <c r="X44" s="112">
        <f t="shared" si="11"/>
        <v>0</v>
      </c>
      <c r="Y44" s="112">
        <f t="shared" si="11"/>
        <v>0</v>
      </c>
      <c r="Z44" s="112">
        <f t="shared" si="11"/>
        <v>0</v>
      </c>
      <c r="AA44" s="112">
        <f t="shared" si="11"/>
        <v>0</v>
      </c>
      <c r="AB44" s="162"/>
      <c r="AC44" s="162"/>
      <c r="AD44" s="135">
        <f>AD43</f>
        <v>0</v>
      </c>
      <c r="AE44" s="112">
        <f>AE43</f>
        <v>0</v>
      </c>
      <c r="AF44" s="112">
        <f>AF43</f>
        <v>0</v>
      </c>
      <c r="AG44" s="112">
        <f>AG43</f>
        <v>0</v>
      </c>
      <c r="AH44" s="112">
        <f>AH43</f>
        <v>0</v>
      </c>
      <c r="AI44" s="162"/>
      <c r="AJ44" s="162"/>
      <c r="AK44" s="135">
        <f>AK43</f>
        <v>612500</v>
      </c>
      <c r="AL44" s="112">
        <f>AL43</f>
        <v>0</v>
      </c>
      <c r="AM44" s="112">
        <f>AM43</f>
        <v>0</v>
      </c>
      <c r="AN44" s="112">
        <f>AN43</f>
        <v>0</v>
      </c>
      <c r="AO44" s="112">
        <f>AO43</f>
        <v>0</v>
      </c>
    </row>
    <row r="45" spans="1:41">
      <c r="E45" s="162"/>
      <c r="F45" s="136"/>
      <c r="G45" s="106"/>
      <c r="H45" s="65"/>
      <c r="I45" s="65"/>
      <c r="J45" s="65"/>
      <c r="K45" s="63"/>
      <c r="L45" s="65"/>
      <c r="M45" s="65"/>
      <c r="N45" s="65"/>
      <c r="O45" s="64"/>
      <c r="P45" s="161"/>
      <c r="Q45" s="161"/>
      <c r="R45" s="63"/>
      <c r="S45" s="65"/>
      <c r="T45" s="65"/>
      <c r="U45" s="65"/>
      <c r="V45" s="64"/>
      <c r="W45" s="63"/>
      <c r="X45" s="65"/>
      <c r="AA45" s="62"/>
      <c r="AB45" s="162"/>
      <c r="AC45" s="162"/>
      <c r="AD45" s="61"/>
      <c r="AH45" s="62"/>
      <c r="AI45" s="162"/>
      <c r="AJ45" s="162"/>
      <c r="AK45" s="61"/>
      <c r="AO45" s="62"/>
    </row>
    <row r="46" spans="1:41" s="278" customFormat="1" outlineLevel="1">
      <c r="A46" s="323" t="s">
        <v>180</v>
      </c>
      <c r="B46" s="244" t="s">
        <v>119</v>
      </c>
      <c r="C46" s="270" t="s">
        <v>122</v>
      </c>
      <c r="D46" s="271">
        <v>3000</v>
      </c>
      <c r="E46" s="187"/>
      <c r="F46" s="272">
        <f t="shared" ref="F46:O47" si="12">$D46*F6</f>
        <v>9000</v>
      </c>
      <c r="G46" s="273">
        <f t="shared" si="12"/>
        <v>9000</v>
      </c>
      <c r="H46" s="273">
        <f t="shared" si="12"/>
        <v>9000</v>
      </c>
      <c r="I46" s="273">
        <f t="shared" si="12"/>
        <v>9000</v>
      </c>
      <c r="J46" s="273">
        <f t="shared" si="12"/>
        <v>9000</v>
      </c>
      <c r="K46" s="272">
        <f t="shared" si="12"/>
        <v>18000</v>
      </c>
      <c r="L46" s="273">
        <f t="shared" si="12"/>
        <v>18000</v>
      </c>
      <c r="M46" s="273">
        <f t="shared" si="12"/>
        <v>18000</v>
      </c>
      <c r="N46" s="273">
        <f t="shared" si="12"/>
        <v>18000</v>
      </c>
      <c r="O46" s="273">
        <f t="shared" si="12"/>
        <v>18000</v>
      </c>
      <c r="P46" s="187"/>
      <c r="Q46" s="187"/>
      <c r="R46" s="272">
        <f t="shared" ref="R46:AA47" si="13">$D46*R6</f>
        <v>0</v>
      </c>
      <c r="S46" s="273">
        <f t="shared" si="13"/>
        <v>0</v>
      </c>
      <c r="T46" s="273">
        <f t="shared" si="13"/>
        <v>0</v>
      </c>
      <c r="U46" s="273">
        <f t="shared" si="13"/>
        <v>0</v>
      </c>
      <c r="V46" s="273">
        <f t="shared" si="13"/>
        <v>0</v>
      </c>
      <c r="W46" s="272">
        <f t="shared" si="13"/>
        <v>0</v>
      </c>
      <c r="X46" s="273">
        <f t="shared" si="13"/>
        <v>0</v>
      </c>
      <c r="Y46" s="273">
        <f t="shared" si="13"/>
        <v>0</v>
      </c>
      <c r="Z46" s="273">
        <f t="shared" si="13"/>
        <v>0</v>
      </c>
      <c r="AA46" s="273">
        <f t="shared" si="13"/>
        <v>0</v>
      </c>
      <c r="AB46" s="187"/>
      <c r="AC46" s="187"/>
      <c r="AD46" s="272">
        <f t="shared" ref="AD46:AH47" si="14">$D46*AD6</f>
        <v>0</v>
      </c>
      <c r="AE46" s="273">
        <f t="shared" si="14"/>
        <v>0</v>
      </c>
      <c r="AF46" s="273">
        <f t="shared" si="14"/>
        <v>0</v>
      </c>
      <c r="AG46" s="273">
        <f t="shared" si="14"/>
        <v>0</v>
      </c>
      <c r="AH46" s="274">
        <f t="shared" si="14"/>
        <v>0</v>
      </c>
      <c r="AI46" s="187"/>
      <c r="AJ46" s="187"/>
      <c r="AK46" s="275">
        <f t="shared" ref="AK46:AO50" si="15">F46+K46+R46+W46+AD46</f>
        <v>27000</v>
      </c>
      <c r="AL46" s="276">
        <f t="shared" si="15"/>
        <v>27000</v>
      </c>
      <c r="AM46" s="276">
        <f t="shared" si="15"/>
        <v>27000</v>
      </c>
      <c r="AN46" s="276">
        <f t="shared" si="15"/>
        <v>27000</v>
      </c>
      <c r="AO46" s="277">
        <f t="shared" si="15"/>
        <v>27000</v>
      </c>
    </row>
    <row r="47" spans="1:41" s="116" customFormat="1" outlineLevel="1">
      <c r="A47" s="324"/>
      <c r="B47" s="244" t="s">
        <v>120</v>
      </c>
      <c r="C47" s="218" t="s">
        <v>121</v>
      </c>
      <c r="D47" s="279">
        <v>50</v>
      </c>
      <c r="E47" s="172"/>
      <c r="F47" s="238">
        <f t="shared" si="12"/>
        <v>5000</v>
      </c>
      <c r="G47" s="236">
        <f t="shared" si="12"/>
        <v>6000</v>
      </c>
      <c r="H47" s="236">
        <f t="shared" si="12"/>
        <v>7000</v>
      </c>
      <c r="I47" s="236">
        <f t="shared" si="12"/>
        <v>8000</v>
      </c>
      <c r="J47" s="236">
        <f t="shared" si="12"/>
        <v>10000</v>
      </c>
      <c r="K47" s="238">
        <f t="shared" si="12"/>
        <v>1000</v>
      </c>
      <c r="L47" s="236">
        <f t="shared" si="12"/>
        <v>1100</v>
      </c>
      <c r="M47" s="236">
        <f t="shared" si="12"/>
        <v>1200</v>
      </c>
      <c r="N47" s="236">
        <f t="shared" si="12"/>
        <v>1300</v>
      </c>
      <c r="O47" s="236">
        <f t="shared" si="12"/>
        <v>1500</v>
      </c>
      <c r="P47" s="162"/>
      <c r="Q47" s="162"/>
      <c r="R47" s="238">
        <f t="shared" si="13"/>
        <v>0</v>
      </c>
      <c r="S47" s="236">
        <f t="shared" si="13"/>
        <v>0</v>
      </c>
      <c r="T47" s="236">
        <f t="shared" si="13"/>
        <v>0</v>
      </c>
      <c r="U47" s="236">
        <f t="shared" si="13"/>
        <v>0</v>
      </c>
      <c r="V47" s="236">
        <f t="shared" si="13"/>
        <v>0</v>
      </c>
      <c r="W47" s="238">
        <f t="shared" si="13"/>
        <v>0</v>
      </c>
      <c r="X47" s="236">
        <f t="shared" si="13"/>
        <v>0</v>
      </c>
      <c r="Y47" s="236">
        <f t="shared" si="13"/>
        <v>0</v>
      </c>
      <c r="Z47" s="236">
        <f t="shared" si="13"/>
        <v>0</v>
      </c>
      <c r="AA47" s="236">
        <f t="shared" si="13"/>
        <v>0</v>
      </c>
      <c r="AB47" s="162"/>
      <c r="AC47" s="162"/>
      <c r="AD47" s="238">
        <f t="shared" si="14"/>
        <v>0</v>
      </c>
      <c r="AE47" s="236">
        <f t="shared" si="14"/>
        <v>0</v>
      </c>
      <c r="AF47" s="236">
        <f t="shared" si="14"/>
        <v>0</v>
      </c>
      <c r="AG47" s="236">
        <f t="shared" si="14"/>
        <v>0</v>
      </c>
      <c r="AH47" s="237">
        <f t="shared" si="14"/>
        <v>0</v>
      </c>
      <c r="AI47" s="162"/>
      <c r="AJ47" s="162"/>
      <c r="AK47" s="139">
        <f t="shared" si="15"/>
        <v>6000</v>
      </c>
      <c r="AL47" s="140">
        <f t="shared" si="15"/>
        <v>7100</v>
      </c>
      <c r="AM47" s="140">
        <f t="shared" si="15"/>
        <v>8200</v>
      </c>
      <c r="AN47" s="140">
        <f t="shared" si="15"/>
        <v>9300</v>
      </c>
      <c r="AO47" s="141">
        <f t="shared" si="15"/>
        <v>11500</v>
      </c>
    </row>
    <row r="48" spans="1:41" s="116" customFormat="1" outlineLevel="1">
      <c r="A48" s="324"/>
      <c r="B48" s="244" t="s">
        <v>181</v>
      </c>
      <c r="C48" s="218"/>
      <c r="D48" s="223"/>
      <c r="E48" s="172"/>
      <c r="F48" s="238"/>
      <c r="G48" s="236"/>
      <c r="H48" s="236"/>
      <c r="I48" s="236"/>
      <c r="J48" s="236"/>
      <c r="K48" s="238"/>
      <c r="L48" s="236"/>
      <c r="M48" s="236"/>
      <c r="N48" s="236"/>
      <c r="O48" s="236"/>
      <c r="P48" s="162"/>
      <c r="Q48" s="162"/>
      <c r="R48" s="238"/>
      <c r="S48" s="236"/>
      <c r="T48" s="236"/>
      <c r="U48" s="236"/>
      <c r="V48" s="236"/>
      <c r="W48" s="238"/>
      <c r="X48" s="236"/>
      <c r="Y48" s="236"/>
      <c r="Z48" s="236"/>
      <c r="AA48" s="236"/>
      <c r="AB48" s="162"/>
      <c r="AC48" s="162"/>
      <c r="AD48" s="238"/>
      <c r="AE48" s="236"/>
      <c r="AF48" s="236"/>
      <c r="AG48" s="236"/>
      <c r="AH48" s="237"/>
      <c r="AI48" s="162"/>
      <c r="AJ48" s="162"/>
      <c r="AK48" s="139">
        <f t="shared" si="15"/>
        <v>0</v>
      </c>
      <c r="AL48" s="140">
        <f t="shared" si="15"/>
        <v>0</v>
      </c>
      <c r="AM48" s="140">
        <f t="shared" si="15"/>
        <v>0</v>
      </c>
      <c r="AN48" s="140">
        <f t="shared" si="15"/>
        <v>0</v>
      </c>
      <c r="AO48" s="141">
        <f t="shared" si="15"/>
        <v>0</v>
      </c>
    </row>
    <row r="49" spans="1:41" s="116" customFormat="1" outlineLevel="1">
      <c r="A49" s="324"/>
      <c r="B49" s="244" t="s">
        <v>182</v>
      </c>
      <c r="C49" s="218"/>
      <c r="D49" s="223"/>
      <c r="E49" s="172"/>
      <c r="F49" s="238"/>
      <c r="G49" s="236"/>
      <c r="H49" s="236"/>
      <c r="I49" s="236"/>
      <c r="J49" s="236"/>
      <c r="K49" s="238"/>
      <c r="L49" s="236"/>
      <c r="M49" s="236"/>
      <c r="N49" s="236"/>
      <c r="O49" s="236"/>
      <c r="P49" s="162"/>
      <c r="Q49" s="162"/>
      <c r="R49" s="238"/>
      <c r="S49" s="236"/>
      <c r="T49" s="236"/>
      <c r="U49" s="236"/>
      <c r="V49" s="236"/>
      <c r="W49" s="238"/>
      <c r="X49" s="236"/>
      <c r="Y49" s="236"/>
      <c r="Z49" s="236"/>
      <c r="AA49" s="236"/>
      <c r="AB49" s="162"/>
      <c r="AC49" s="162"/>
      <c r="AD49" s="238"/>
      <c r="AE49" s="236"/>
      <c r="AF49" s="236"/>
      <c r="AG49" s="236"/>
      <c r="AH49" s="237"/>
      <c r="AI49" s="162"/>
      <c r="AJ49" s="162"/>
      <c r="AK49" s="139">
        <f t="shared" si="15"/>
        <v>0</v>
      </c>
      <c r="AL49" s="140">
        <f t="shared" si="15"/>
        <v>0</v>
      </c>
      <c r="AM49" s="140">
        <f t="shared" si="15"/>
        <v>0</v>
      </c>
      <c r="AN49" s="140">
        <f t="shared" si="15"/>
        <v>0</v>
      </c>
      <c r="AO49" s="141">
        <f t="shared" si="15"/>
        <v>0</v>
      </c>
    </row>
    <row r="50" spans="1:41" s="116" customFormat="1" outlineLevel="1">
      <c r="A50" s="324"/>
      <c r="B50" s="280" t="s">
        <v>183</v>
      </c>
      <c r="C50" s="226"/>
      <c r="D50" s="231"/>
      <c r="E50" s="172"/>
      <c r="F50" s="238"/>
      <c r="G50" s="236"/>
      <c r="H50" s="236"/>
      <c r="I50" s="236"/>
      <c r="J50" s="236"/>
      <c r="K50" s="238"/>
      <c r="L50" s="236"/>
      <c r="M50" s="236"/>
      <c r="N50" s="236"/>
      <c r="O50" s="236"/>
      <c r="P50" s="162"/>
      <c r="Q50" s="162"/>
      <c r="R50" s="238"/>
      <c r="S50" s="236"/>
      <c r="T50" s="236"/>
      <c r="U50" s="236"/>
      <c r="V50" s="236"/>
      <c r="W50" s="238"/>
      <c r="X50" s="236"/>
      <c r="Y50" s="236"/>
      <c r="Z50" s="236"/>
      <c r="AA50" s="236"/>
      <c r="AB50" s="162"/>
      <c r="AC50" s="162"/>
      <c r="AD50" s="281"/>
      <c r="AE50" s="239"/>
      <c r="AF50" s="239"/>
      <c r="AG50" s="239"/>
      <c r="AH50" s="282"/>
      <c r="AI50" s="162"/>
      <c r="AJ50" s="162"/>
      <c r="AK50" s="139">
        <f t="shared" si="15"/>
        <v>0</v>
      </c>
      <c r="AL50" s="140">
        <f t="shared" si="15"/>
        <v>0</v>
      </c>
      <c r="AM50" s="140">
        <f t="shared" si="15"/>
        <v>0</v>
      </c>
      <c r="AN50" s="140">
        <f t="shared" si="15"/>
        <v>0</v>
      </c>
      <c r="AO50" s="141">
        <f t="shared" si="15"/>
        <v>0</v>
      </c>
    </row>
    <row r="51" spans="1:41" s="285" customFormat="1" ht="15">
      <c r="A51" s="325" t="s">
        <v>136</v>
      </c>
      <c r="B51" s="326"/>
      <c r="C51" s="326"/>
      <c r="D51" s="326"/>
      <c r="E51" s="327"/>
      <c r="F51" s="283">
        <f t="shared" ref="F51:O51" si="16">SUM(F46:F50)</f>
        <v>14000</v>
      </c>
      <c r="G51" s="284">
        <f t="shared" si="16"/>
        <v>15000</v>
      </c>
      <c r="H51" s="284">
        <f t="shared" si="16"/>
        <v>16000</v>
      </c>
      <c r="I51" s="284">
        <f t="shared" si="16"/>
        <v>17000</v>
      </c>
      <c r="J51" s="284">
        <f t="shared" si="16"/>
        <v>19000</v>
      </c>
      <c r="K51" s="283">
        <f t="shared" si="16"/>
        <v>19000</v>
      </c>
      <c r="L51" s="284">
        <f t="shared" si="16"/>
        <v>19100</v>
      </c>
      <c r="M51" s="284">
        <f t="shared" si="16"/>
        <v>19200</v>
      </c>
      <c r="N51" s="284">
        <f t="shared" si="16"/>
        <v>19300</v>
      </c>
      <c r="O51" s="284">
        <f t="shared" si="16"/>
        <v>19500</v>
      </c>
      <c r="P51" s="164"/>
      <c r="Q51" s="164"/>
      <c r="R51" s="283">
        <f t="shared" ref="R51:AA51" si="17">SUM(R46:R50)</f>
        <v>0</v>
      </c>
      <c r="S51" s="284">
        <f t="shared" si="17"/>
        <v>0</v>
      </c>
      <c r="T51" s="284">
        <f t="shared" si="17"/>
        <v>0</v>
      </c>
      <c r="U51" s="284">
        <f t="shared" si="17"/>
        <v>0</v>
      </c>
      <c r="V51" s="284">
        <f t="shared" si="17"/>
        <v>0</v>
      </c>
      <c r="W51" s="283">
        <f t="shared" si="17"/>
        <v>0</v>
      </c>
      <c r="X51" s="284">
        <f t="shared" si="17"/>
        <v>0</v>
      </c>
      <c r="Y51" s="284">
        <f t="shared" si="17"/>
        <v>0</v>
      </c>
      <c r="Z51" s="284">
        <f t="shared" si="17"/>
        <v>0</v>
      </c>
      <c r="AA51" s="284">
        <f t="shared" si="17"/>
        <v>0</v>
      </c>
      <c r="AB51" s="164"/>
      <c r="AC51" s="164"/>
      <c r="AD51" s="283">
        <f>SUM(AD46:AD50)</f>
        <v>0</v>
      </c>
      <c r="AE51" s="284">
        <f>SUM(AE46:AE50)</f>
        <v>0</v>
      </c>
      <c r="AF51" s="284">
        <f>SUM(AF46:AF50)</f>
        <v>0</v>
      </c>
      <c r="AG51" s="284">
        <f>SUM(AG46:AG50)</f>
        <v>0</v>
      </c>
      <c r="AH51" s="284">
        <f>SUM(AH46:AH50)</f>
        <v>0</v>
      </c>
      <c r="AI51" s="164"/>
      <c r="AJ51" s="164"/>
      <c r="AK51" s="283">
        <f>SUM(AK46:AK50)</f>
        <v>33000</v>
      </c>
      <c r="AL51" s="284">
        <f>SUM(AL46:AL50)</f>
        <v>34100</v>
      </c>
      <c r="AM51" s="284">
        <f>SUM(AM46:AM50)</f>
        <v>35200</v>
      </c>
      <c r="AN51" s="284">
        <f>SUM(AN46:AN50)</f>
        <v>36300</v>
      </c>
      <c r="AO51" s="284">
        <f>SUM(AO46:AO50)</f>
        <v>38500</v>
      </c>
    </row>
    <row r="52" spans="1:41">
      <c r="E52" s="162"/>
      <c r="F52" s="66"/>
      <c r="G52" s="46"/>
      <c r="H52" s="46"/>
      <c r="I52" s="46"/>
      <c r="J52" s="46"/>
      <c r="K52" s="66"/>
      <c r="L52" s="46"/>
      <c r="M52" s="46"/>
      <c r="N52" s="46"/>
      <c r="O52" s="142"/>
      <c r="P52" s="162"/>
      <c r="Q52" s="162"/>
      <c r="R52" s="61"/>
      <c r="V52" s="62"/>
      <c r="W52" s="61"/>
      <c r="AA52" s="62"/>
      <c r="AB52" s="162"/>
      <c r="AC52" s="162"/>
      <c r="AD52" s="61"/>
      <c r="AH52" s="62"/>
      <c r="AI52" s="162"/>
      <c r="AJ52" s="162"/>
      <c r="AK52" s="61"/>
      <c r="AO52" s="62"/>
    </row>
    <row r="53" spans="1:41" s="292" customFormat="1" ht="14.25" customHeight="1" outlineLevel="1">
      <c r="A53" s="314" t="s">
        <v>184</v>
      </c>
      <c r="B53" s="286" t="s">
        <v>153</v>
      </c>
      <c r="C53" s="287" t="s">
        <v>132</v>
      </c>
      <c r="D53" s="288">
        <v>100</v>
      </c>
      <c r="E53" s="187"/>
      <c r="F53" s="272">
        <f t="shared" ref="F53:O53" si="18">$D$53*F5*F9</f>
        <v>600</v>
      </c>
      <c r="G53" s="273">
        <f t="shared" si="18"/>
        <v>525</v>
      </c>
      <c r="H53" s="273">
        <f t="shared" si="18"/>
        <v>530</v>
      </c>
      <c r="I53" s="273">
        <f t="shared" si="18"/>
        <v>321</v>
      </c>
      <c r="J53" s="274">
        <f t="shared" si="18"/>
        <v>327</v>
      </c>
      <c r="K53" s="272">
        <f t="shared" si="18"/>
        <v>500</v>
      </c>
      <c r="L53" s="273">
        <f t="shared" si="18"/>
        <v>525</v>
      </c>
      <c r="M53" s="273">
        <f t="shared" si="18"/>
        <v>530</v>
      </c>
      <c r="N53" s="273">
        <f t="shared" si="18"/>
        <v>535</v>
      </c>
      <c r="O53" s="274">
        <f t="shared" si="18"/>
        <v>545</v>
      </c>
      <c r="P53" s="187"/>
      <c r="Q53" s="187"/>
      <c r="R53" s="272">
        <f t="shared" ref="R53:AA53" si="19">$D$53*R5*R9</f>
        <v>0</v>
      </c>
      <c r="S53" s="273">
        <f t="shared" si="19"/>
        <v>0</v>
      </c>
      <c r="T53" s="273">
        <f t="shared" si="19"/>
        <v>0</v>
      </c>
      <c r="U53" s="273">
        <f t="shared" si="19"/>
        <v>0</v>
      </c>
      <c r="V53" s="274">
        <f t="shared" si="19"/>
        <v>0</v>
      </c>
      <c r="W53" s="272">
        <f t="shared" si="19"/>
        <v>0</v>
      </c>
      <c r="X53" s="273">
        <f t="shared" si="19"/>
        <v>0</v>
      </c>
      <c r="Y53" s="273">
        <f t="shared" si="19"/>
        <v>0</v>
      </c>
      <c r="Z53" s="273">
        <f t="shared" si="19"/>
        <v>0</v>
      </c>
      <c r="AA53" s="274">
        <f t="shared" si="19"/>
        <v>0</v>
      </c>
      <c r="AB53" s="187"/>
      <c r="AC53" s="187"/>
      <c r="AD53" s="272">
        <f>$D$53*AD5*AD9</f>
        <v>0</v>
      </c>
      <c r="AE53" s="273">
        <f>$D$53*AE5*AE9</f>
        <v>0</v>
      </c>
      <c r="AF53" s="273">
        <f>$D$53*AF5*AF9</f>
        <v>0</v>
      </c>
      <c r="AG53" s="273">
        <f>$D$53*AG5*AG9</f>
        <v>0</v>
      </c>
      <c r="AH53" s="274">
        <f>$D$53*AH5*AH9</f>
        <v>0</v>
      </c>
      <c r="AI53" s="187"/>
      <c r="AJ53" s="187"/>
      <c r="AK53" s="289">
        <f t="shared" ref="AK53:AO57" si="20">F53+K53+R53+W53+AD53</f>
        <v>1100</v>
      </c>
      <c r="AL53" s="290">
        <f t="shared" si="20"/>
        <v>1050</v>
      </c>
      <c r="AM53" s="290">
        <f t="shared" si="20"/>
        <v>1060</v>
      </c>
      <c r="AN53" s="290">
        <f t="shared" si="20"/>
        <v>856</v>
      </c>
      <c r="AO53" s="291">
        <f t="shared" si="20"/>
        <v>872</v>
      </c>
    </row>
    <row r="54" spans="1:41" outlineLevel="1">
      <c r="A54" s="315"/>
      <c r="B54" s="286" t="s">
        <v>154</v>
      </c>
      <c r="C54" s="219" t="s">
        <v>132</v>
      </c>
      <c r="D54" s="233">
        <v>2000</v>
      </c>
      <c r="E54" s="162"/>
      <c r="F54" s="238">
        <f t="shared" ref="F54:O54" si="21">$D$54*F5*F9</f>
        <v>12000</v>
      </c>
      <c r="G54" s="236">
        <f t="shared" si="21"/>
        <v>10500</v>
      </c>
      <c r="H54" s="236">
        <f t="shared" si="21"/>
        <v>10600</v>
      </c>
      <c r="I54" s="236">
        <f t="shared" si="21"/>
        <v>6420</v>
      </c>
      <c r="J54" s="237">
        <f t="shared" si="21"/>
        <v>6540.0000000000009</v>
      </c>
      <c r="K54" s="238">
        <f t="shared" si="21"/>
        <v>10000</v>
      </c>
      <c r="L54" s="236">
        <f t="shared" si="21"/>
        <v>10500</v>
      </c>
      <c r="M54" s="236">
        <f t="shared" si="21"/>
        <v>10600</v>
      </c>
      <c r="N54" s="236">
        <f t="shared" si="21"/>
        <v>10700</v>
      </c>
      <c r="O54" s="237">
        <f t="shared" si="21"/>
        <v>10900</v>
      </c>
      <c r="P54" s="162"/>
      <c r="Q54" s="162"/>
      <c r="R54" s="238">
        <f t="shared" ref="R54:AA54" si="22">$D$54*R5*R9</f>
        <v>0</v>
      </c>
      <c r="S54" s="236">
        <f t="shared" si="22"/>
        <v>0</v>
      </c>
      <c r="T54" s="236">
        <f t="shared" si="22"/>
        <v>0</v>
      </c>
      <c r="U54" s="236">
        <f t="shared" si="22"/>
        <v>0</v>
      </c>
      <c r="V54" s="237">
        <f t="shared" si="22"/>
        <v>0</v>
      </c>
      <c r="W54" s="238">
        <f t="shared" si="22"/>
        <v>0</v>
      </c>
      <c r="X54" s="236">
        <f t="shared" si="22"/>
        <v>0</v>
      </c>
      <c r="Y54" s="236">
        <f t="shared" si="22"/>
        <v>0</v>
      </c>
      <c r="Z54" s="236">
        <f t="shared" si="22"/>
        <v>0</v>
      </c>
      <c r="AA54" s="237">
        <f t="shared" si="22"/>
        <v>0</v>
      </c>
      <c r="AB54" s="162"/>
      <c r="AC54" s="162"/>
      <c r="AD54" s="238">
        <f>$D$54*AD5*AD9</f>
        <v>0</v>
      </c>
      <c r="AE54" s="236">
        <f>$D$54*AE5*AE9</f>
        <v>0</v>
      </c>
      <c r="AF54" s="236">
        <f>$D$54*AF5*AF9</f>
        <v>0</v>
      </c>
      <c r="AG54" s="236">
        <f>$D$54*AG5*AG9</f>
        <v>0</v>
      </c>
      <c r="AH54" s="237">
        <f>$D$54*AH5*AH9</f>
        <v>0</v>
      </c>
      <c r="AI54" s="162"/>
      <c r="AJ54" s="162"/>
      <c r="AK54" s="66">
        <f t="shared" si="20"/>
        <v>22000</v>
      </c>
      <c r="AL54" s="46">
        <f t="shared" si="20"/>
        <v>21000</v>
      </c>
      <c r="AM54" s="46">
        <f t="shared" si="20"/>
        <v>21200</v>
      </c>
      <c r="AN54" s="46">
        <f t="shared" si="20"/>
        <v>17120</v>
      </c>
      <c r="AO54" s="142">
        <f t="shared" si="20"/>
        <v>17440</v>
      </c>
    </row>
    <row r="55" spans="1:41" outlineLevel="1">
      <c r="A55" s="315"/>
      <c r="B55" s="286" t="s">
        <v>143</v>
      </c>
      <c r="C55" s="219" t="s">
        <v>145</v>
      </c>
      <c r="D55" s="233">
        <v>15000</v>
      </c>
      <c r="E55" s="162"/>
      <c r="F55" s="238">
        <f>D55*F9</f>
        <v>15000</v>
      </c>
      <c r="G55" s="236">
        <f>F55*G9</f>
        <v>15750</v>
      </c>
      <c r="H55" s="236">
        <f>G55*H9</f>
        <v>16695</v>
      </c>
      <c r="I55" s="236">
        <f>H55*I9</f>
        <v>17863.650000000001</v>
      </c>
      <c r="J55" s="237">
        <f>I55*J9</f>
        <v>19471.378500000003</v>
      </c>
      <c r="K55" s="238">
        <f>I55*K9</f>
        <v>17863.650000000001</v>
      </c>
      <c r="L55" s="236">
        <f>K55*L9</f>
        <v>18756.832500000004</v>
      </c>
      <c r="M55" s="236">
        <f>L55*M9</f>
        <v>19882.242450000005</v>
      </c>
      <c r="N55" s="236">
        <f>M55*N9</f>
        <v>21273.999421500008</v>
      </c>
      <c r="O55" s="237">
        <f>N55*O9</f>
        <v>23188.659369435009</v>
      </c>
      <c r="P55" s="162"/>
      <c r="Q55" s="162"/>
      <c r="R55" s="238">
        <f>P55*R9</f>
        <v>0</v>
      </c>
      <c r="S55" s="236">
        <f>R55*S9</f>
        <v>0</v>
      </c>
      <c r="T55" s="236">
        <f>S55*T9</f>
        <v>0</v>
      </c>
      <c r="U55" s="236">
        <f>T55*U9</f>
        <v>0</v>
      </c>
      <c r="V55" s="237">
        <f>U55*V9</f>
        <v>0</v>
      </c>
      <c r="W55" s="238">
        <f>U55*W9</f>
        <v>0</v>
      </c>
      <c r="X55" s="236">
        <f>W55*X9</f>
        <v>0</v>
      </c>
      <c r="Y55" s="236">
        <f>X55*Y9</f>
        <v>0</v>
      </c>
      <c r="Z55" s="236">
        <f>Y55*Z9</f>
        <v>0</v>
      </c>
      <c r="AA55" s="237">
        <f>Z55*AA9</f>
        <v>0</v>
      </c>
      <c r="AB55" s="162"/>
      <c r="AC55" s="162"/>
      <c r="AD55" s="238">
        <f>AB55*AD9</f>
        <v>0</v>
      </c>
      <c r="AE55" s="236">
        <f>AD55*AE9</f>
        <v>0</v>
      </c>
      <c r="AF55" s="236">
        <f>AE55*AF9</f>
        <v>0</v>
      </c>
      <c r="AG55" s="236">
        <f>AF55*AG9</f>
        <v>0</v>
      </c>
      <c r="AH55" s="237">
        <f>AG55*AH9</f>
        <v>0</v>
      </c>
      <c r="AI55" s="162"/>
      <c r="AJ55" s="162"/>
      <c r="AK55" s="66">
        <f t="shared" si="20"/>
        <v>32863.65</v>
      </c>
      <c r="AL55" s="46">
        <f t="shared" si="20"/>
        <v>34506.832500000004</v>
      </c>
      <c r="AM55" s="46">
        <f t="shared" si="20"/>
        <v>36577.242450000005</v>
      </c>
      <c r="AN55" s="46">
        <f t="shared" si="20"/>
        <v>39137.649421500013</v>
      </c>
      <c r="AO55" s="142">
        <f t="shared" si="20"/>
        <v>42660.037869435007</v>
      </c>
    </row>
    <row r="56" spans="1:41" outlineLevel="1">
      <c r="A56" s="315"/>
      <c r="B56" s="286" t="s">
        <v>156</v>
      </c>
      <c r="C56" s="219" t="s">
        <v>157</v>
      </c>
      <c r="D56" s="233">
        <f>120*5500</f>
        <v>660000</v>
      </c>
      <c r="E56" s="171"/>
      <c r="F56" s="238">
        <f>D56</f>
        <v>660000</v>
      </c>
      <c r="G56" s="236"/>
      <c r="H56" s="236"/>
      <c r="I56" s="236"/>
      <c r="J56" s="237"/>
      <c r="K56" s="238"/>
      <c r="L56" s="236"/>
      <c r="M56" s="236"/>
      <c r="N56" s="236"/>
      <c r="O56" s="237"/>
      <c r="P56" s="162"/>
      <c r="Q56" s="162"/>
      <c r="R56" s="238"/>
      <c r="S56" s="236"/>
      <c r="T56" s="236"/>
      <c r="U56" s="236"/>
      <c r="V56" s="237"/>
      <c r="W56" s="238"/>
      <c r="X56" s="236"/>
      <c r="Y56" s="236"/>
      <c r="Z56" s="236"/>
      <c r="AA56" s="237"/>
      <c r="AB56" s="162"/>
      <c r="AC56" s="162"/>
      <c r="AD56" s="238"/>
      <c r="AE56" s="236"/>
      <c r="AF56" s="236"/>
      <c r="AG56" s="236"/>
      <c r="AH56" s="237"/>
      <c r="AI56" s="162"/>
      <c r="AJ56" s="162"/>
      <c r="AK56" s="66">
        <f t="shared" si="20"/>
        <v>660000</v>
      </c>
      <c r="AL56" s="46">
        <f t="shared" si="20"/>
        <v>0</v>
      </c>
      <c r="AM56" s="46">
        <f t="shared" si="20"/>
        <v>0</v>
      </c>
      <c r="AN56" s="46">
        <f t="shared" si="20"/>
        <v>0</v>
      </c>
      <c r="AO56" s="142">
        <f t="shared" si="20"/>
        <v>0</v>
      </c>
    </row>
    <row r="57" spans="1:41" s="296" customFormat="1" outlineLevel="1">
      <c r="A57" s="315"/>
      <c r="B57" s="286"/>
      <c r="C57" s="227"/>
      <c r="D57" s="227"/>
      <c r="E57" s="200"/>
      <c r="F57" s="226"/>
      <c r="G57" s="227"/>
      <c r="H57" s="227"/>
      <c r="I57" s="227"/>
      <c r="J57" s="231"/>
      <c r="K57" s="226"/>
      <c r="L57" s="227"/>
      <c r="M57" s="227"/>
      <c r="N57" s="227"/>
      <c r="O57" s="231"/>
      <c r="P57" s="200"/>
      <c r="Q57" s="200"/>
      <c r="R57" s="226"/>
      <c r="S57" s="227"/>
      <c r="T57" s="227"/>
      <c r="U57" s="227"/>
      <c r="V57" s="231"/>
      <c r="W57" s="226"/>
      <c r="X57" s="227"/>
      <c r="Y57" s="227"/>
      <c r="Z57" s="227"/>
      <c r="AA57" s="231"/>
      <c r="AB57" s="200"/>
      <c r="AC57" s="200"/>
      <c r="AD57" s="226"/>
      <c r="AE57" s="227"/>
      <c r="AF57" s="227"/>
      <c r="AG57" s="227"/>
      <c r="AH57" s="231"/>
      <c r="AI57" s="200"/>
      <c r="AJ57" s="200"/>
      <c r="AK57" s="293">
        <f t="shared" si="20"/>
        <v>0</v>
      </c>
      <c r="AL57" s="294">
        <f t="shared" si="20"/>
        <v>0</v>
      </c>
      <c r="AM57" s="294">
        <f t="shared" si="20"/>
        <v>0</v>
      </c>
      <c r="AN57" s="294">
        <f t="shared" si="20"/>
        <v>0</v>
      </c>
      <c r="AO57" s="295">
        <f t="shared" si="20"/>
        <v>0</v>
      </c>
    </row>
    <row r="58" spans="1:41" s="60" customFormat="1" ht="15">
      <c r="A58" s="349" t="s">
        <v>136</v>
      </c>
      <c r="B58" s="350"/>
      <c r="C58" s="350"/>
      <c r="D58" s="350"/>
      <c r="E58" s="351"/>
      <c r="F58" s="293">
        <f t="shared" ref="F58:O58" si="23">SUM(F53:F56)</f>
        <v>687600</v>
      </c>
      <c r="G58" s="294">
        <f t="shared" si="23"/>
        <v>26775</v>
      </c>
      <c r="H58" s="294">
        <f t="shared" si="23"/>
        <v>27825</v>
      </c>
      <c r="I58" s="294">
        <f t="shared" si="23"/>
        <v>24604.65</v>
      </c>
      <c r="J58" s="294">
        <f t="shared" si="23"/>
        <v>26338.378500000003</v>
      </c>
      <c r="K58" s="143">
        <f t="shared" si="23"/>
        <v>28363.65</v>
      </c>
      <c r="L58" s="117">
        <f t="shared" si="23"/>
        <v>29781.832500000004</v>
      </c>
      <c r="M58" s="117">
        <f t="shared" si="23"/>
        <v>31012.242450000005</v>
      </c>
      <c r="N58" s="117">
        <f t="shared" si="23"/>
        <v>32508.999421500008</v>
      </c>
      <c r="O58" s="297">
        <f t="shared" si="23"/>
        <v>34633.659369435009</v>
      </c>
      <c r="P58" s="164"/>
      <c r="Q58" s="164"/>
      <c r="R58" s="143">
        <f t="shared" ref="R58:AA58" si="24">SUM(R53:R56)</f>
        <v>0</v>
      </c>
      <c r="S58" s="117">
        <f t="shared" si="24"/>
        <v>0</v>
      </c>
      <c r="T58" s="117">
        <f t="shared" si="24"/>
        <v>0</v>
      </c>
      <c r="U58" s="117">
        <f t="shared" si="24"/>
        <v>0</v>
      </c>
      <c r="V58" s="297">
        <f t="shared" si="24"/>
        <v>0</v>
      </c>
      <c r="W58" s="143">
        <f t="shared" si="24"/>
        <v>0</v>
      </c>
      <c r="X58" s="117">
        <f t="shared" si="24"/>
        <v>0</v>
      </c>
      <c r="Y58" s="117">
        <f t="shared" si="24"/>
        <v>0</v>
      </c>
      <c r="Z58" s="117">
        <f t="shared" si="24"/>
        <v>0</v>
      </c>
      <c r="AA58" s="297">
        <f t="shared" si="24"/>
        <v>0</v>
      </c>
      <c r="AB58" s="164"/>
      <c r="AC58" s="164"/>
      <c r="AD58" s="143">
        <f>SUM(AD53:AD56)</f>
        <v>0</v>
      </c>
      <c r="AE58" s="117">
        <f>SUM(AE53:AE56)</f>
        <v>0</v>
      </c>
      <c r="AF58" s="117">
        <f>SUM(AF53:AF56)</f>
        <v>0</v>
      </c>
      <c r="AG58" s="117">
        <f>SUM(AG53:AG56)</f>
        <v>0</v>
      </c>
      <c r="AH58" s="297">
        <f>SUM(AH53:AH56)</f>
        <v>0</v>
      </c>
      <c r="AI58" s="164"/>
      <c r="AJ58" s="164"/>
      <c r="AK58" s="143">
        <f>SUM(AK53:AK56)</f>
        <v>715963.65</v>
      </c>
      <c r="AL58" s="117">
        <f>SUM(AL53:AL56)</f>
        <v>56556.832500000004</v>
      </c>
      <c r="AM58" s="117">
        <f>SUM(AM53:AM56)</f>
        <v>58837.242450000005</v>
      </c>
      <c r="AN58" s="117">
        <f>SUM(AN53:AN56)</f>
        <v>57113.649421500013</v>
      </c>
      <c r="AO58" s="297">
        <f>SUM(AO53:AO56)</f>
        <v>60972.037869435007</v>
      </c>
    </row>
    <row r="59" spans="1:41">
      <c r="E59" s="162"/>
      <c r="F59" s="61"/>
      <c r="K59" s="61"/>
      <c r="O59" s="62"/>
      <c r="P59" s="162"/>
      <c r="Q59" s="162"/>
      <c r="R59" s="61"/>
      <c r="V59" s="62"/>
      <c r="W59" s="61"/>
      <c r="AA59" s="62"/>
      <c r="AB59" s="162"/>
      <c r="AC59" s="162"/>
      <c r="AD59" s="61"/>
      <c r="AH59" s="62"/>
      <c r="AI59" s="162"/>
      <c r="AJ59" s="162"/>
      <c r="AK59" s="61"/>
      <c r="AO59" s="62"/>
    </row>
    <row r="60" spans="1:41">
      <c r="E60" s="162"/>
      <c r="F60" s="61"/>
      <c r="K60" s="61"/>
      <c r="O60" s="62"/>
      <c r="P60" s="162"/>
      <c r="Q60" s="162"/>
      <c r="R60" s="61"/>
      <c r="V60" s="62"/>
      <c r="W60" s="61"/>
      <c r="AA60" s="62"/>
      <c r="AB60" s="162"/>
      <c r="AC60" s="162"/>
      <c r="AD60" s="61"/>
      <c r="AH60" s="62"/>
      <c r="AI60" s="162"/>
      <c r="AJ60" s="162"/>
      <c r="AK60" s="61"/>
      <c r="AO60" s="62"/>
    </row>
    <row r="61" spans="1:41">
      <c r="A61" t="s">
        <v>129</v>
      </c>
      <c r="E61" s="162"/>
      <c r="F61" s="61"/>
      <c r="K61" s="61"/>
      <c r="O61" s="62"/>
      <c r="P61" s="162"/>
      <c r="Q61" s="162"/>
      <c r="R61" s="61"/>
      <c r="V61" s="62"/>
      <c r="W61" s="61"/>
      <c r="AA61" s="62"/>
      <c r="AB61" s="162"/>
      <c r="AC61" s="162"/>
      <c r="AD61" s="61"/>
      <c r="AH61" s="62"/>
      <c r="AI61" s="162"/>
      <c r="AJ61" s="162"/>
      <c r="AK61" s="61"/>
      <c r="AO61" s="62"/>
    </row>
    <row r="62" spans="1:41" ht="15" thickBot="1">
      <c r="C62" t="s">
        <v>146</v>
      </c>
      <c r="D62">
        <v>1E-3</v>
      </c>
      <c r="E62" s="162"/>
      <c r="F62" s="61"/>
      <c r="K62" s="61"/>
      <c r="O62" s="62"/>
      <c r="P62" s="162"/>
      <c r="Q62" s="162"/>
      <c r="R62" s="61"/>
      <c r="V62" s="62"/>
      <c r="W62" s="61"/>
      <c r="AA62" s="62"/>
      <c r="AB62" s="162"/>
      <c r="AC62" s="162"/>
      <c r="AD62" s="61"/>
      <c r="AH62" s="62"/>
      <c r="AI62" s="162"/>
      <c r="AJ62" s="162"/>
      <c r="AK62" s="61"/>
      <c r="AO62" s="62"/>
    </row>
    <row r="63" spans="1:41" ht="15" thickBot="1">
      <c r="C63" t="s">
        <v>147</v>
      </c>
      <c r="D63" t="s">
        <v>110</v>
      </c>
      <c r="E63" s="162"/>
      <c r="F63" s="149">
        <f t="shared" ref="F63:O63" si="25">F58+F44+F40+F34+F17</f>
        <v>750600</v>
      </c>
      <c r="G63" s="150">
        <f t="shared" si="25"/>
        <v>324025</v>
      </c>
      <c r="H63" s="150">
        <f t="shared" si="25"/>
        <v>27825</v>
      </c>
      <c r="I63" s="150">
        <f t="shared" si="25"/>
        <v>24604.65</v>
      </c>
      <c r="J63" s="150">
        <f t="shared" si="25"/>
        <v>26338.378500000003</v>
      </c>
      <c r="K63" s="149">
        <f t="shared" si="25"/>
        <v>36363.65</v>
      </c>
      <c r="L63" s="150">
        <f t="shared" si="25"/>
        <v>43781.832500000004</v>
      </c>
      <c r="M63" s="150">
        <f t="shared" si="25"/>
        <v>31012.242450000005</v>
      </c>
      <c r="N63" s="150">
        <f t="shared" si="25"/>
        <v>32508.999421500008</v>
      </c>
      <c r="O63" s="150">
        <f t="shared" si="25"/>
        <v>34633.659369435009</v>
      </c>
      <c r="P63" s="162"/>
      <c r="Q63" s="162"/>
      <c r="R63" s="149">
        <f t="shared" ref="R63:AA63" si="26">R58+R44+R40+R34+R17</f>
        <v>681000.6</v>
      </c>
      <c r="S63" s="150">
        <f t="shared" si="26"/>
        <v>0</v>
      </c>
      <c r="T63" s="150">
        <f t="shared" si="26"/>
        <v>0</v>
      </c>
      <c r="U63" s="150">
        <f t="shared" si="26"/>
        <v>0</v>
      </c>
      <c r="V63" s="150">
        <f t="shared" si="26"/>
        <v>0</v>
      </c>
      <c r="W63" s="149">
        <f t="shared" si="26"/>
        <v>373500.2</v>
      </c>
      <c r="X63" s="150">
        <f t="shared" si="26"/>
        <v>0</v>
      </c>
      <c r="Y63" s="150">
        <f t="shared" si="26"/>
        <v>0</v>
      </c>
      <c r="Z63" s="150">
        <f t="shared" si="26"/>
        <v>0</v>
      </c>
      <c r="AA63" s="150">
        <f t="shared" si="26"/>
        <v>0</v>
      </c>
      <c r="AB63" s="162"/>
      <c r="AC63" s="162"/>
      <c r="AD63" s="149">
        <f>AD58+AD44+AD40+AD34+AD17</f>
        <v>111000.2</v>
      </c>
      <c r="AE63" s="150">
        <f>AE58+AE44+AE40+AE34+AE17</f>
        <v>0</v>
      </c>
      <c r="AF63" s="150">
        <f>AF58+AF44+AF40+AF34+AF17</f>
        <v>0</v>
      </c>
      <c r="AG63" s="150">
        <f>AG58+AG44+AG40+AG34+AG17</f>
        <v>0</v>
      </c>
      <c r="AH63" s="150">
        <f>AH58+AH44+AH40+AH34+AH17</f>
        <v>0</v>
      </c>
      <c r="AI63" s="162"/>
      <c r="AJ63" s="162"/>
      <c r="AK63" s="149">
        <f t="shared" ref="AK63:AO65" si="27">F63+K63+R63+W63+AD63</f>
        <v>1952464.65</v>
      </c>
      <c r="AL63" s="150">
        <f t="shared" si="27"/>
        <v>367806.83250000002</v>
      </c>
      <c r="AM63" s="150">
        <f t="shared" si="27"/>
        <v>58837.242450000005</v>
      </c>
      <c r="AN63" s="150">
        <f t="shared" si="27"/>
        <v>57113.649421500013</v>
      </c>
      <c r="AO63" s="150">
        <f t="shared" si="27"/>
        <v>60972.037869435007</v>
      </c>
    </row>
    <row r="64" spans="1:41" ht="15" thickBot="1">
      <c r="E64" s="162"/>
      <c r="F64" s="66">
        <f t="shared" ref="F64:O64" si="28">F63*$D$62</f>
        <v>750.6</v>
      </c>
      <c r="G64" s="46">
        <f t="shared" si="28"/>
        <v>324.02500000000003</v>
      </c>
      <c r="H64" s="46">
        <f t="shared" si="28"/>
        <v>27.824999999999999</v>
      </c>
      <c r="I64" s="46">
        <f t="shared" si="28"/>
        <v>24.604650000000003</v>
      </c>
      <c r="J64" s="46">
        <f t="shared" si="28"/>
        <v>26.338378500000005</v>
      </c>
      <c r="K64" s="66">
        <f t="shared" si="28"/>
        <v>36.36365</v>
      </c>
      <c r="L64" s="46">
        <f t="shared" si="28"/>
        <v>43.781832500000007</v>
      </c>
      <c r="M64" s="46">
        <f t="shared" si="28"/>
        <v>31.012242450000006</v>
      </c>
      <c r="N64" s="46">
        <f t="shared" si="28"/>
        <v>32.508999421500008</v>
      </c>
      <c r="O64" s="46">
        <f t="shared" si="28"/>
        <v>34.633659369435009</v>
      </c>
      <c r="P64" s="162"/>
      <c r="Q64" s="162"/>
      <c r="R64" s="66">
        <f t="shared" ref="R64:AA64" si="29">R63*$D$62</f>
        <v>681.00059999999996</v>
      </c>
      <c r="S64" s="46">
        <f t="shared" si="29"/>
        <v>0</v>
      </c>
      <c r="T64" s="46">
        <f t="shared" si="29"/>
        <v>0</v>
      </c>
      <c r="U64" s="46">
        <f t="shared" si="29"/>
        <v>0</v>
      </c>
      <c r="V64" s="46">
        <f t="shared" si="29"/>
        <v>0</v>
      </c>
      <c r="W64" s="66">
        <f t="shared" si="29"/>
        <v>373.50020000000001</v>
      </c>
      <c r="X64" s="46">
        <f t="shared" si="29"/>
        <v>0</v>
      </c>
      <c r="Y64" s="46">
        <f t="shared" si="29"/>
        <v>0</v>
      </c>
      <c r="Z64" s="46">
        <f t="shared" si="29"/>
        <v>0</v>
      </c>
      <c r="AA64" s="46">
        <f t="shared" si="29"/>
        <v>0</v>
      </c>
      <c r="AB64" s="162"/>
      <c r="AC64" s="162"/>
      <c r="AD64" s="66">
        <f>AD63*$D$62</f>
        <v>111.00019999999999</v>
      </c>
      <c r="AE64" s="46">
        <f>AE63*$D$62</f>
        <v>0</v>
      </c>
      <c r="AF64" s="46">
        <f>AF63*$D$62</f>
        <v>0</v>
      </c>
      <c r="AG64" s="46">
        <f>AG63*$D$62</f>
        <v>0</v>
      </c>
      <c r="AH64" s="46">
        <f>AH63*$D$62</f>
        <v>0</v>
      </c>
      <c r="AI64" s="162"/>
      <c r="AJ64" s="162"/>
      <c r="AK64" s="66">
        <f t="shared" si="27"/>
        <v>1952.4646499999999</v>
      </c>
      <c r="AL64" s="46">
        <f t="shared" si="27"/>
        <v>367.80683250000004</v>
      </c>
      <c r="AM64" s="46">
        <f t="shared" si="27"/>
        <v>58.837242450000005</v>
      </c>
      <c r="AN64" s="46">
        <f t="shared" si="27"/>
        <v>57.113649421500014</v>
      </c>
      <c r="AO64" s="46">
        <f t="shared" si="27"/>
        <v>60.972037869435013</v>
      </c>
    </row>
    <row r="65" spans="3:41" ht="15.75" thickBot="1">
      <c r="C65" t="s">
        <v>133</v>
      </c>
      <c r="E65" s="162"/>
      <c r="F65" s="152">
        <f t="shared" ref="F65:O65" si="30">F63+F64</f>
        <v>751350.6</v>
      </c>
      <c r="G65" s="153">
        <f t="shared" si="30"/>
        <v>324349.02500000002</v>
      </c>
      <c r="H65" s="153">
        <f t="shared" si="30"/>
        <v>27852.825000000001</v>
      </c>
      <c r="I65" s="153">
        <f t="shared" si="30"/>
        <v>24629.254650000003</v>
      </c>
      <c r="J65" s="153">
        <f t="shared" si="30"/>
        <v>26364.716878500003</v>
      </c>
      <c r="K65" s="152">
        <f t="shared" si="30"/>
        <v>36400.013650000001</v>
      </c>
      <c r="L65" s="153">
        <f t="shared" si="30"/>
        <v>43825.614332500001</v>
      </c>
      <c r="M65" s="153">
        <f t="shared" si="30"/>
        <v>31043.254692450006</v>
      </c>
      <c r="N65" s="153">
        <f t="shared" si="30"/>
        <v>32541.508420921509</v>
      </c>
      <c r="O65" s="153">
        <f t="shared" si="30"/>
        <v>34668.293028804444</v>
      </c>
      <c r="P65" s="162"/>
      <c r="Q65" s="162"/>
      <c r="R65" s="152">
        <f t="shared" ref="R65:AA65" si="31">R63+R64</f>
        <v>681681.60060000001</v>
      </c>
      <c r="S65" s="153">
        <f t="shared" si="31"/>
        <v>0</v>
      </c>
      <c r="T65" s="153">
        <f t="shared" si="31"/>
        <v>0</v>
      </c>
      <c r="U65" s="153">
        <f t="shared" si="31"/>
        <v>0</v>
      </c>
      <c r="V65" s="153">
        <f t="shared" si="31"/>
        <v>0</v>
      </c>
      <c r="W65" s="152">
        <f t="shared" si="31"/>
        <v>373873.70020000002</v>
      </c>
      <c r="X65" s="153">
        <f t="shared" si="31"/>
        <v>0</v>
      </c>
      <c r="Y65" s="153">
        <f t="shared" si="31"/>
        <v>0</v>
      </c>
      <c r="Z65" s="153">
        <f t="shared" si="31"/>
        <v>0</v>
      </c>
      <c r="AA65" s="153">
        <f t="shared" si="31"/>
        <v>0</v>
      </c>
      <c r="AB65" s="162"/>
      <c r="AC65" s="162"/>
      <c r="AD65" s="152">
        <f>AD63+AD64</f>
        <v>111111.20019999999</v>
      </c>
      <c r="AE65" s="153">
        <f>AE63+AE64</f>
        <v>0</v>
      </c>
      <c r="AF65" s="153">
        <f>AF63+AF64</f>
        <v>0</v>
      </c>
      <c r="AG65" s="153">
        <f>AG63+AG64</f>
        <v>0</v>
      </c>
      <c r="AH65" s="153">
        <f>AH63+AH64</f>
        <v>0</v>
      </c>
      <c r="AI65" s="162"/>
      <c r="AJ65" s="162"/>
      <c r="AK65" s="152">
        <f t="shared" si="27"/>
        <v>1954417.1146500001</v>
      </c>
      <c r="AL65" s="153">
        <f t="shared" si="27"/>
        <v>368174.63933250005</v>
      </c>
      <c r="AM65" s="153">
        <f t="shared" si="27"/>
        <v>58896.079692450003</v>
      </c>
      <c r="AN65" s="153">
        <f t="shared" si="27"/>
        <v>57170.763070921515</v>
      </c>
      <c r="AO65" s="153">
        <f t="shared" si="27"/>
        <v>61033.009907304448</v>
      </c>
    </row>
  </sheetData>
  <mergeCells count="36">
    <mergeCell ref="C4:D4"/>
    <mergeCell ref="AK2:AO2"/>
    <mergeCell ref="F3:J3"/>
    <mergeCell ref="K3:O3"/>
    <mergeCell ref="R3:V3"/>
    <mergeCell ref="W3:AA3"/>
    <mergeCell ref="AD3:AH3"/>
    <mergeCell ref="AK3:AO3"/>
    <mergeCell ref="AD2:AH2"/>
    <mergeCell ref="A1:N1"/>
    <mergeCell ref="F2:J2"/>
    <mergeCell ref="K2:O2"/>
    <mergeCell ref="R2:V2"/>
    <mergeCell ref="W2:AA2"/>
    <mergeCell ref="A11:A16"/>
    <mergeCell ref="B11:B12"/>
    <mergeCell ref="B13:B14"/>
    <mergeCell ref="B15:B16"/>
    <mergeCell ref="A17:E17"/>
    <mergeCell ref="A19:A21"/>
    <mergeCell ref="A22:A24"/>
    <mergeCell ref="A25:A27"/>
    <mergeCell ref="A28:A30"/>
    <mergeCell ref="A31:A33"/>
    <mergeCell ref="A34:E34"/>
    <mergeCell ref="A36:A39"/>
    <mergeCell ref="B36:B37"/>
    <mergeCell ref="B38:B39"/>
    <mergeCell ref="A40:E40"/>
    <mergeCell ref="A53:A57"/>
    <mergeCell ref="A58:E58"/>
    <mergeCell ref="A42:A43"/>
    <mergeCell ref="B42:B43"/>
    <mergeCell ref="A44:E44"/>
    <mergeCell ref="A46:A50"/>
    <mergeCell ref="A51:E5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EB8C8-1E32-4CC0-B0BD-6F9B1653A765}">
  <sheetPr>
    <tabColor theme="5"/>
  </sheetPr>
  <dimension ref="A1:AO66"/>
  <sheetViews>
    <sheetView workbookViewId="0">
      <selection sqref="A1:N1"/>
    </sheetView>
  </sheetViews>
  <sheetFormatPr defaultRowHeight="14.25" outlineLevelRow="1" outlineLevelCol="1"/>
  <cols>
    <col min="1" max="1" width="13.875" bestFit="1" customWidth="1"/>
    <col min="2" max="2" width="17.875" bestFit="1" customWidth="1"/>
    <col min="3" max="3" width="22.875" customWidth="1"/>
    <col min="4" max="4" width="12.125" bestFit="1" customWidth="1"/>
    <col min="5" max="5" width="14.625" customWidth="1" outlineLevel="1"/>
    <col min="6" max="15" width="14.75" customWidth="1" outlineLevel="1"/>
    <col min="17" max="17" width="19.875" customWidth="1" outlineLevel="1"/>
    <col min="18" max="27" width="14.75" customWidth="1" outlineLevel="1"/>
    <col min="29" max="29" width="11.75" customWidth="1" outlineLevel="1"/>
    <col min="30" max="34" width="14.75" customWidth="1" outlineLevel="1"/>
    <col min="35" max="35" width="9" outlineLevel="1"/>
    <col min="36" max="36" width="7.25" bestFit="1" customWidth="1"/>
    <col min="37" max="41" width="14.75" customWidth="1"/>
  </cols>
  <sheetData>
    <row r="1" spans="1:41" ht="78.75" customHeight="1">
      <c r="A1" s="316" t="s">
        <v>189</v>
      </c>
      <c r="B1" s="317"/>
      <c r="C1" s="317"/>
      <c r="D1" s="317"/>
      <c r="E1" s="317"/>
      <c r="F1" s="317"/>
      <c r="G1" s="317"/>
      <c r="H1" s="317"/>
      <c r="I1" s="317"/>
      <c r="J1" s="317"/>
      <c r="K1" s="317"/>
      <c r="L1" s="317"/>
      <c r="M1" s="317"/>
      <c r="N1" s="317"/>
    </row>
    <row r="2" spans="1:41" s="210" customFormat="1" ht="14.25" customHeight="1">
      <c r="A2" s="205"/>
      <c r="B2" s="205"/>
      <c r="C2" s="205"/>
      <c r="D2" s="206"/>
      <c r="E2" s="207" t="s">
        <v>162</v>
      </c>
      <c r="F2" s="345" t="s">
        <v>96</v>
      </c>
      <c r="G2" s="346"/>
      <c r="H2" s="346"/>
      <c r="I2" s="346"/>
      <c r="J2" s="346"/>
      <c r="K2" s="345" t="s">
        <v>97</v>
      </c>
      <c r="L2" s="346"/>
      <c r="M2" s="346"/>
      <c r="N2" s="346"/>
      <c r="O2" s="357"/>
      <c r="P2" s="208"/>
      <c r="Q2" s="209" t="s">
        <v>163</v>
      </c>
      <c r="R2" s="345" t="s">
        <v>93</v>
      </c>
      <c r="S2" s="346"/>
      <c r="T2" s="346"/>
      <c r="U2" s="346"/>
      <c r="V2" s="357"/>
      <c r="W2" s="345" t="s">
        <v>95</v>
      </c>
      <c r="X2" s="346"/>
      <c r="Y2" s="346"/>
      <c r="Z2" s="346"/>
      <c r="AA2" s="357"/>
      <c r="AB2" s="205"/>
      <c r="AC2" s="205" t="s">
        <v>127</v>
      </c>
      <c r="AD2" s="358"/>
      <c r="AE2" s="359"/>
      <c r="AF2" s="359"/>
      <c r="AG2" s="359"/>
      <c r="AH2" s="360"/>
      <c r="AI2" s="205"/>
      <c r="AJ2" s="205" t="s">
        <v>29</v>
      </c>
      <c r="AK2" s="358"/>
      <c r="AL2" s="359"/>
      <c r="AM2" s="359"/>
      <c r="AN2" s="359"/>
      <c r="AO2" s="360"/>
    </row>
    <row r="3" spans="1:41" s="210" customFormat="1" ht="14.25" customHeight="1">
      <c r="A3" s="205"/>
      <c r="B3" s="205"/>
      <c r="C3" s="205"/>
      <c r="D3" s="211"/>
      <c r="E3" s="212" t="s">
        <v>90</v>
      </c>
      <c r="F3" s="347" t="s">
        <v>91</v>
      </c>
      <c r="G3" s="348"/>
      <c r="H3" s="348"/>
      <c r="I3" s="348"/>
      <c r="J3" s="348"/>
      <c r="K3" s="347" t="s">
        <v>100</v>
      </c>
      <c r="L3" s="348"/>
      <c r="M3" s="348"/>
      <c r="N3" s="348"/>
      <c r="O3" s="361"/>
      <c r="P3" s="208"/>
      <c r="Q3" s="209" t="s">
        <v>164</v>
      </c>
      <c r="R3" s="347" t="s">
        <v>92</v>
      </c>
      <c r="S3" s="348"/>
      <c r="T3" s="348"/>
      <c r="U3" s="348"/>
      <c r="V3" s="361"/>
      <c r="W3" s="347" t="s">
        <v>94</v>
      </c>
      <c r="X3" s="348"/>
      <c r="Y3" s="348"/>
      <c r="Z3" s="348"/>
      <c r="AA3" s="361"/>
      <c r="AB3" s="205"/>
      <c r="AC3" s="205" t="s">
        <v>126</v>
      </c>
      <c r="AD3" s="362"/>
      <c r="AE3" s="363"/>
      <c r="AF3" s="363"/>
      <c r="AG3" s="363"/>
      <c r="AH3" s="364"/>
      <c r="AI3" s="205"/>
      <c r="AJ3" s="205" t="s">
        <v>128</v>
      </c>
      <c r="AK3" s="362"/>
      <c r="AL3" s="363"/>
      <c r="AM3" s="363"/>
      <c r="AN3" s="363"/>
      <c r="AO3" s="364"/>
    </row>
    <row r="4" spans="1:41" s="210" customFormat="1" ht="15">
      <c r="A4" s="213" t="s">
        <v>50</v>
      </c>
      <c r="B4" s="213" t="s">
        <v>165</v>
      </c>
      <c r="C4" s="343" t="s">
        <v>98</v>
      </c>
      <c r="D4" s="343"/>
      <c r="E4" s="196"/>
      <c r="F4" s="214" t="s">
        <v>83</v>
      </c>
      <c r="G4" s="215" t="s">
        <v>84</v>
      </c>
      <c r="H4" s="215" t="s">
        <v>85</v>
      </c>
      <c r="I4" s="215" t="s">
        <v>86</v>
      </c>
      <c r="J4" s="215" t="s">
        <v>87</v>
      </c>
      <c r="K4" s="214" t="s">
        <v>83</v>
      </c>
      <c r="L4" s="215" t="s">
        <v>84</v>
      </c>
      <c r="M4" s="215" t="s">
        <v>85</v>
      </c>
      <c r="N4" s="215" t="s">
        <v>86</v>
      </c>
      <c r="O4" s="216" t="s">
        <v>87</v>
      </c>
      <c r="P4" s="217"/>
      <c r="Q4" s="217"/>
      <c r="R4" s="214" t="s">
        <v>83</v>
      </c>
      <c r="S4" s="215" t="s">
        <v>84</v>
      </c>
      <c r="T4" s="215" t="s">
        <v>85</v>
      </c>
      <c r="U4" s="215" t="s">
        <v>86</v>
      </c>
      <c r="V4" s="216" t="s">
        <v>87</v>
      </c>
      <c r="W4" s="214" t="s">
        <v>83</v>
      </c>
      <c r="X4" s="215" t="s">
        <v>84</v>
      </c>
      <c r="Y4" s="215" t="s">
        <v>85</v>
      </c>
      <c r="Z4" s="215" t="s">
        <v>86</v>
      </c>
      <c r="AA4" s="216" t="s">
        <v>87</v>
      </c>
      <c r="AB4" s="205"/>
      <c r="AC4" s="217"/>
      <c r="AD4" s="214" t="s">
        <v>83</v>
      </c>
      <c r="AE4" s="215" t="s">
        <v>84</v>
      </c>
      <c r="AF4" s="215" t="s">
        <v>85</v>
      </c>
      <c r="AG4" s="215" t="s">
        <v>86</v>
      </c>
      <c r="AH4" s="216" t="s">
        <v>87</v>
      </c>
      <c r="AI4" s="205"/>
      <c r="AJ4" s="217"/>
      <c r="AK4" s="214" t="s">
        <v>83</v>
      </c>
      <c r="AL4" s="215" t="s">
        <v>84</v>
      </c>
      <c r="AM4" s="215" t="s">
        <v>85</v>
      </c>
      <c r="AN4" s="215" t="s">
        <v>86</v>
      </c>
      <c r="AO4" s="216" t="s">
        <v>87</v>
      </c>
    </row>
    <row r="5" spans="1:41" s="58" customFormat="1">
      <c r="A5" s="144"/>
      <c r="B5" s="145"/>
      <c r="C5" s="218" t="s">
        <v>117</v>
      </c>
      <c r="D5" s="219" t="s">
        <v>0</v>
      </c>
      <c r="E5" s="162"/>
      <c r="F5" s="220">
        <v>6</v>
      </c>
      <c r="G5" s="221">
        <v>5</v>
      </c>
      <c r="H5" s="221">
        <v>5</v>
      </c>
      <c r="I5" s="221">
        <v>3</v>
      </c>
      <c r="J5" s="221">
        <v>3</v>
      </c>
      <c r="K5" s="220">
        <v>5</v>
      </c>
      <c r="L5" s="221">
        <v>5</v>
      </c>
      <c r="M5" s="221">
        <v>5</v>
      </c>
      <c r="N5" s="221">
        <v>5</v>
      </c>
      <c r="O5" s="222">
        <v>5</v>
      </c>
      <c r="P5" s="161"/>
      <c r="Q5" s="161"/>
      <c r="R5" s="220"/>
      <c r="S5" s="221"/>
      <c r="T5" s="221"/>
      <c r="U5" s="221"/>
      <c r="V5" s="222"/>
      <c r="W5" s="220"/>
      <c r="X5" s="221"/>
      <c r="Y5" s="221"/>
      <c r="Z5" s="221"/>
      <c r="AA5" s="222"/>
      <c r="AB5" s="162"/>
      <c r="AC5" s="162"/>
      <c r="AD5" s="218"/>
      <c r="AE5" s="219"/>
      <c r="AF5" s="219"/>
      <c r="AG5" s="219"/>
      <c r="AH5" s="223"/>
      <c r="AI5" s="162"/>
      <c r="AJ5" s="162"/>
      <c r="AK5" s="144"/>
      <c r="AO5" s="145"/>
    </row>
    <row r="6" spans="1:41" s="58" customFormat="1">
      <c r="A6" s="144"/>
      <c r="B6" s="145"/>
      <c r="C6" s="218" t="s">
        <v>118</v>
      </c>
      <c r="D6" s="219" t="s">
        <v>125</v>
      </c>
      <c r="E6" s="162"/>
      <c r="F6" s="220">
        <v>3</v>
      </c>
      <c r="G6" s="221">
        <v>3</v>
      </c>
      <c r="H6" s="221">
        <v>3</v>
      </c>
      <c r="I6" s="221">
        <v>3</v>
      </c>
      <c r="J6" s="221">
        <v>3</v>
      </c>
      <c r="K6" s="220">
        <v>6</v>
      </c>
      <c r="L6" s="221">
        <v>6</v>
      </c>
      <c r="M6" s="221">
        <v>6</v>
      </c>
      <c r="N6" s="221">
        <v>6</v>
      </c>
      <c r="O6" s="222">
        <v>6</v>
      </c>
      <c r="P6" s="161"/>
      <c r="Q6" s="161"/>
      <c r="R6" s="220"/>
      <c r="S6" s="221"/>
      <c r="T6" s="221"/>
      <c r="U6" s="221"/>
      <c r="V6" s="222"/>
      <c r="W6" s="220"/>
      <c r="X6" s="221"/>
      <c r="Y6" s="221"/>
      <c r="Z6" s="221"/>
      <c r="AA6" s="222"/>
      <c r="AB6" s="162"/>
      <c r="AC6" s="162"/>
      <c r="AD6" s="218"/>
      <c r="AE6" s="219"/>
      <c r="AF6" s="219"/>
      <c r="AG6" s="219"/>
      <c r="AH6" s="223"/>
      <c r="AI6" s="162"/>
      <c r="AJ6" s="162"/>
      <c r="AK6" s="144"/>
      <c r="AO6" s="145"/>
    </row>
    <row r="7" spans="1:41" s="58" customFormat="1">
      <c r="A7" s="144"/>
      <c r="B7" s="145"/>
      <c r="C7" s="218" t="s">
        <v>123</v>
      </c>
      <c r="D7" s="219" t="s">
        <v>124</v>
      </c>
      <c r="E7" s="162"/>
      <c r="F7" s="220">
        <v>100</v>
      </c>
      <c r="G7" s="221">
        <v>120</v>
      </c>
      <c r="H7" s="221">
        <v>140</v>
      </c>
      <c r="I7" s="221">
        <v>160</v>
      </c>
      <c r="J7" s="221">
        <v>200</v>
      </c>
      <c r="K7" s="220">
        <v>20</v>
      </c>
      <c r="L7" s="221">
        <v>22</v>
      </c>
      <c r="M7" s="221">
        <v>24</v>
      </c>
      <c r="N7" s="221">
        <v>26</v>
      </c>
      <c r="O7" s="222">
        <v>30</v>
      </c>
      <c r="P7" s="161"/>
      <c r="Q7" s="161"/>
      <c r="R7" s="220"/>
      <c r="S7" s="221"/>
      <c r="T7" s="221"/>
      <c r="U7" s="221"/>
      <c r="V7" s="222"/>
      <c r="W7" s="220"/>
      <c r="X7" s="221"/>
      <c r="Y7" s="221"/>
      <c r="Z7" s="221"/>
      <c r="AA7" s="222"/>
      <c r="AB7" s="162"/>
      <c r="AC7" s="162"/>
      <c r="AD7" s="218"/>
      <c r="AE7" s="219"/>
      <c r="AF7" s="219"/>
      <c r="AG7" s="219"/>
      <c r="AH7" s="223"/>
      <c r="AI7" s="162"/>
      <c r="AJ7" s="162"/>
      <c r="AK7" s="144"/>
      <c r="AO7" s="145"/>
    </row>
    <row r="8" spans="1:41" s="58" customFormat="1">
      <c r="A8" s="144"/>
      <c r="B8" s="145"/>
      <c r="C8" s="218" t="s">
        <v>135</v>
      </c>
      <c r="D8" s="219"/>
      <c r="E8" s="162"/>
      <c r="F8" s="220">
        <v>1</v>
      </c>
      <c r="G8" s="221">
        <v>1.03</v>
      </c>
      <c r="H8" s="221">
        <v>1.04</v>
      </c>
      <c r="I8" s="221">
        <v>1.04</v>
      </c>
      <c r="J8" s="221">
        <v>1.04</v>
      </c>
      <c r="K8" s="220">
        <v>1</v>
      </c>
      <c r="L8" s="221">
        <v>1.03</v>
      </c>
      <c r="M8" s="221">
        <v>1.04</v>
      </c>
      <c r="N8" s="221">
        <v>1.04</v>
      </c>
      <c r="O8" s="222">
        <v>1.04</v>
      </c>
      <c r="P8" s="161"/>
      <c r="Q8" s="161"/>
      <c r="R8" s="220"/>
      <c r="S8" s="221"/>
      <c r="T8" s="221"/>
      <c r="U8" s="221"/>
      <c r="V8" s="222"/>
      <c r="W8" s="220"/>
      <c r="X8" s="221"/>
      <c r="Y8" s="221"/>
      <c r="Z8" s="221"/>
      <c r="AA8" s="222"/>
      <c r="AB8" s="162"/>
      <c r="AC8" s="162"/>
      <c r="AD8" s="218"/>
      <c r="AE8" s="219"/>
      <c r="AF8" s="219"/>
      <c r="AG8" s="219"/>
      <c r="AH8" s="223"/>
      <c r="AI8" s="162"/>
      <c r="AJ8" s="162"/>
      <c r="AK8" s="144"/>
      <c r="AO8" s="145"/>
    </row>
    <row r="9" spans="1:41" s="232" customFormat="1">
      <c r="A9" s="224"/>
      <c r="B9" s="225"/>
      <c r="C9" s="226" t="s">
        <v>188</v>
      </c>
      <c r="D9" s="227"/>
      <c r="E9" s="200"/>
      <c r="F9" s="228">
        <v>1</v>
      </c>
      <c r="G9" s="229">
        <v>1.05</v>
      </c>
      <c r="H9" s="229">
        <v>1.06</v>
      </c>
      <c r="I9" s="229">
        <v>1.07</v>
      </c>
      <c r="J9" s="229">
        <v>1.0900000000000001</v>
      </c>
      <c r="K9" s="228">
        <v>1</v>
      </c>
      <c r="L9" s="229">
        <v>1.05</v>
      </c>
      <c r="M9" s="229">
        <v>1.06</v>
      </c>
      <c r="N9" s="229">
        <v>1.07</v>
      </c>
      <c r="O9" s="230">
        <v>1.0900000000000001</v>
      </c>
      <c r="P9" s="185"/>
      <c r="Q9" s="185"/>
      <c r="R9" s="228"/>
      <c r="S9" s="229"/>
      <c r="T9" s="229"/>
      <c r="U9" s="229"/>
      <c r="V9" s="230"/>
      <c r="W9" s="228"/>
      <c r="X9" s="229"/>
      <c r="Y9" s="229"/>
      <c r="Z9" s="229"/>
      <c r="AA9" s="230"/>
      <c r="AB9" s="200"/>
      <c r="AC9" s="200"/>
      <c r="AD9" s="226"/>
      <c r="AE9" s="227"/>
      <c r="AF9" s="227"/>
      <c r="AG9" s="227"/>
      <c r="AH9" s="231"/>
      <c r="AI9" s="200"/>
      <c r="AJ9" s="200"/>
      <c r="AK9" s="224"/>
      <c r="AO9" s="225"/>
    </row>
    <row r="10" spans="1:41">
      <c r="A10" s="61"/>
      <c r="B10" s="62"/>
      <c r="C10" s="61"/>
      <c r="E10" s="162"/>
      <c r="F10" s="63"/>
      <c r="G10" s="65"/>
      <c r="H10" s="65"/>
      <c r="I10" s="65"/>
      <c r="J10" s="65"/>
      <c r="K10" s="63"/>
      <c r="L10" s="65"/>
      <c r="M10" s="65"/>
      <c r="N10" s="65"/>
      <c r="O10" s="64"/>
      <c r="P10" s="161"/>
      <c r="Q10" s="161"/>
      <c r="R10" s="63"/>
      <c r="S10" s="65"/>
      <c r="T10" s="65"/>
      <c r="U10" s="65"/>
      <c r="V10" s="64"/>
      <c r="W10" s="63"/>
      <c r="X10" s="65"/>
      <c r="AA10" s="62"/>
      <c r="AB10" s="162"/>
      <c r="AC10" s="162"/>
      <c r="AD10" s="61"/>
      <c r="AH10" s="62"/>
      <c r="AI10" s="162"/>
      <c r="AJ10" s="162"/>
      <c r="AK10" s="61"/>
      <c r="AO10" s="62"/>
    </row>
    <row r="11" spans="1:41" s="72" customFormat="1" outlineLevel="1">
      <c r="A11" s="335" t="s">
        <v>166</v>
      </c>
      <c r="B11" s="337" t="s">
        <v>93</v>
      </c>
      <c r="C11" s="67" t="s">
        <v>116</v>
      </c>
      <c r="D11" s="72" t="s">
        <v>0</v>
      </c>
      <c r="E11" s="162"/>
      <c r="F11" s="220"/>
      <c r="G11" s="221"/>
      <c r="H11" s="221"/>
      <c r="I11" s="221"/>
      <c r="J11" s="221"/>
      <c r="K11" s="220"/>
      <c r="L11" s="221"/>
      <c r="M11" s="221"/>
      <c r="N11" s="221"/>
      <c r="O11" s="222"/>
      <c r="P11" s="161"/>
      <c r="Q11" s="161"/>
      <c r="R11" s="220"/>
      <c r="S11" s="221"/>
      <c r="T11" s="221"/>
      <c r="U11" s="221"/>
      <c r="V11" s="222"/>
      <c r="W11" s="220"/>
      <c r="X11" s="221"/>
      <c r="Y11" s="219"/>
      <c r="Z11" s="219"/>
      <c r="AA11" s="223"/>
      <c r="AB11" s="162"/>
      <c r="AC11" s="162"/>
      <c r="AD11" s="220"/>
      <c r="AE11" s="221"/>
      <c r="AF11" s="219"/>
      <c r="AG11" s="219"/>
      <c r="AH11" s="223"/>
      <c r="AI11" s="162"/>
      <c r="AJ11" s="162"/>
      <c r="AK11" s="220">
        <f t="shared" ref="AK11:AO16" si="0">F11+K11+R11+W11+AD11</f>
        <v>0</v>
      </c>
      <c r="AL11" s="221">
        <f t="shared" si="0"/>
        <v>0</v>
      </c>
      <c r="AM11" s="221">
        <f t="shared" si="0"/>
        <v>0</v>
      </c>
      <c r="AN11" s="221">
        <f t="shared" si="0"/>
        <v>0</v>
      </c>
      <c r="AO11" s="222">
        <f t="shared" si="0"/>
        <v>0</v>
      </c>
    </row>
    <row r="12" spans="1:41" s="72" customFormat="1" outlineLevel="1">
      <c r="A12" s="336"/>
      <c r="B12" s="337"/>
      <c r="C12" s="67" t="s">
        <v>167</v>
      </c>
      <c r="D12" s="233"/>
      <c r="E12" s="162"/>
      <c r="F12" s="234"/>
      <c r="G12" s="235"/>
      <c r="H12" s="221"/>
      <c r="I12" s="221"/>
      <c r="J12" s="221"/>
      <c r="K12" s="220"/>
      <c r="L12" s="221"/>
      <c r="M12" s="221"/>
      <c r="N12" s="221"/>
      <c r="O12" s="222"/>
      <c r="P12" s="161"/>
      <c r="Q12" s="161"/>
      <c r="R12" s="220"/>
      <c r="S12" s="221"/>
      <c r="T12" s="221"/>
      <c r="U12" s="221"/>
      <c r="V12" s="222"/>
      <c r="W12" s="220"/>
      <c r="X12" s="221"/>
      <c r="Y12" s="219"/>
      <c r="Z12" s="219"/>
      <c r="AA12" s="223"/>
      <c r="AB12" s="162"/>
      <c r="AC12" s="162"/>
      <c r="AD12" s="220"/>
      <c r="AE12" s="221"/>
      <c r="AF12" s="219"/>
      <c r="AG12" s="219"/>
      <c r="AH12" s="223"/>
      <c r="AI12" s="162"/>
      <c r="AJ12" s="162"/>
      <c r="AK12" s="234">
        <f t="shared" si="0"/>
        <v>0</v>
      </c>
      <c r="AL12" s="235">
        <f t="shared" si="0"/>
        <v>0</v>
      </c>
      <c r="AM12" s="236">
        <f t="shared" si="0"/>
        <v>0</v>
      </c>
      <c r="AN12" s="236">
        <f t="shared" si="0"/>
        <v>0</v>
      </c>
      <c r="AO12" s="237">
        <f t="shared" si="0"/>
        <v>0</v>
      </c>
    </row>
    <row r="13" spans="1:41" s="72" customFormat="1" outlineLevel="1">
      <c r="A13" s="336"/>
      <c r="B13" s="338" t="s">
        <v>38</v>
      </c>
      <c r="C13" s="67" t="s">
        <v>116</v>
      </c>
      <c r="D13" s="72" t="s">
        <v>0</v>
      </c>
      <c r="E13" s="162"/>
      <c r="F13" s="220">
        <v>0.1</v>
      </c>
      <c r="G13" s="221">
        <v>0.5</v>
      </c>
      <c r="H13" s="221"/>
      <c r="I13" s="221"/>
      <c r="J13" s="221"/>
      <c r="K13" s="220"/>
      <c r="L13" s="221"/>
      <c r="M13" s="221"/>
      <c r="N13" s="221"/>
      <c r="O13" s="222"/>
      <c r="P13" s="161"/>
      <c r="Q13" s="161"/>
      <c r="R13" s="220">
        <v>0.6</v>
      </c>
      <c r="S13" s="221"/>
      <c r="T13" s="221"/>
      <c r="U13" s="221"/>
      <c r="V13" s="222"/>
      <c r="W13" s="220">
        <v>0.2</v>
      </c>
      <c r="X13" s="221"/>
      <c r="Y13" s="219"/>
      <c r="Z13" s="219"/>
      <c r="AA13" s="223"/>
      <c r="AB13" s="162"/>
      <c r="AC13" s="162"/>
      <c r="AD13" s="220">
        <v>0.2</v>
      </c>
      <c r="AE13" s="221"/>
      <c r="AF13" s="219"/>
      <c r="AG13" s="219"/>
      <c r="AH13" s="223"/>
      <c r="AI13" s="162"/>
      <c r="AJ13" s="162"/>
      <c r="AK13" s="220">
        <f t="shared" si="0"/>
        <v>1.0999999999999999</v>
      </c>
      <c r="AL13" s="221">
        <f t="shared" si="0"/>
        <v>0.5</v>
      </c>
      <c r="AM13" s="221">
        <f t="shared" si="0"/>
        <v>0</v>
      </c>
      <c r="AN13" s="221">
        <f t="shared" si="0"/>
        <v>0</v>
      </c>
      <c r="AO13" s="222">
        <f t="shared" si="0"/>
        <v>0</v>
      </c>
    </row>
    <row r="14" spans="1:41" s="72" customFormat="1" outlineLevel="1">
      <c r="A14" s="336"/>
      <c r="B14" s="339"/>
      <c r="C14" s="67" t="s">
        <v>167</v>
      </c>
      <c r="D14" s="233">
        <v>550000</v>
      </c>
      <c r="E14" s="162"/>
      <c r="F14" s="238">
        <f>F13*D14</f>
        <v>55000</v>
      </c>
      <c r="G14" s="236">
        <f>G13*G8*D14</f>
        <v>283250</v>
      </c>
      <c r="H14" s="219"/>
      <c r="I14" s="219"/>
      <c r="J14" s="219"/>
      <c r="K14" s="218"/>
      <c r="L14" s="219"/>
      <c r="M14" s="219"/>
      <c r="N14" s="219"/>
      <c r="O14" s="223"/>
      <c r="P14" s="162"/>
      <c r="Q14" s="162"/>
      <c r="R14" s="238">
        <f>R13*$D14</f>
        <v>330000</v>
      </c>
      <c r="S14" s="219"/>
      <c r="T14" s="219"/>
      <c r="U14" s="219"/>
      <c r="V14" s="223"/>
      <c r="W14" s="238">
        <f>W13*$D14</f>
        <v>110000</v>
      </c>
      <c r="X14" s="221"/>
      <c r="Y14" s="219"/>
      <c r="Z14" s="219"/>
      <c r="AA14" s="223"/>
      <c r="AB14" s="162"/>
      <c r="AC14" s="162"/>
      <c r="AD14" s="238">
        <f>AD13*$D14</f>
        <v>110000</v>
      </c>
      <c r="AE14" s="221"/>
      <c r="AF14" s="219"/>
      <c r="AG14" s="219"/>
      <c r="AH14" s="223"/>
      <c r="AI14" s="162"/>
      <c r="AJ14" s="162"/>
      <c r="AK14" s="238">
        <f t="shared" si="0"/>
        <v>605000</v>
      </c>
      <c r="AL14" s="235">
        <f t="shared" si="0"/>
        <v>283250</v>
      </c>
      <c r="AM14" s="236">
        <f t="shared" si="0"/>
        <v>0</v>
      </c>
      <c r="AN14" s="236">
        <f t="shared" si="0"/>
        <v>0</v>
      </c>
      <c r="AO14" s="237">
        <f t="shared" si="0"/>
        <v>0</v>
      </c>
    </row>
    <row r="15" spans="1:41" s="72" customFormat="1" outlineLevel="1">
      <c r="A15" s="336"/>
      <c r="B15" s="338"/>
      <c r="C15" s="67" t="s">
        <v>116</v>
      </c>
      <c r="D15" s="72" t="s">
        <v>0</v>
      </c>
      <c r="E15" s="162"/>
      <c r="F15" s="238"/>
      <c r="G15" s="236"/>
      <c r="H15" s="219"/>
      <c r="I15" s="219"/>
      <c r="J15" s="219"/>
      <c r="K15" s="218"/>
      <c r="L15" s="219"/>
      <c r="M15" s="219"/>
      <c r="N15" s="219"/>
      <c r="O15" s="223"/>
      <c r="P15" s="162"/>
      <c r="Q15" s="162"/>
      <c r="R15" s="218"/>
      <c r="S15" s="219"/>
      <c r="T15" s="219"/>
      <c r="U15" s="219"/>
      <c r="V15" s="223"/>
      <c r="W15" s="218"/>
      <c r="X15" s="221"/>
      <c r="Y15" s="219"/>
      <c r="Z15" s="219"/>
      <c r="AA15" s="223"/>
      <c r="AB15" s="162"/>
      <c r="AC15" s="162"/>
      <c r="AD15" s="218"/>
      <c r="AE15" s="221"/>
      <c r="AF15" s="219"/>
      <c r="AG15" s="219"/>
      <c r="AH15" s="223"/>
      <c r="AI15" s="162"/>
      <c r="AJ15" s="162"/>
      <c r="AK15" s="220">
        <f t="shared" si="0"/>
        <v>0</v>
      </c>
      <c r="AL15" s="221">
        <f t="shared" si="0"/>
        <v>0</v>
      </c>
      <c r="AM15" s="221">
        <f t="shared" si="0"/>
        <v>0</v>
      </c>
      <c r="AN15" s="221">
        <f t="shared" si="0"/>
        <v>0</v>
      </c>
      <c r="AO15" s="222">
        <f t="shared" si="0"/>
        <v>0</v>
      </c>
    </row>
    <row r="16" spans="1:41" s="72" customFormat="1" outlineLevel="1">
      <c r="A16" s="336"/>
      <c r="B16" s="339"/>
      <c r="C16" s="67" t="s">
        <v>167</v>
      </c>
      <c r="D16" s="239"/>
      <c r="E16" s="162"/>
      <c r="F16" s="228"/>
      <c r="G16" s="229"/>
      <c r="H16" s="229"/>
      <c r="I16" s="229"/>
      <c r="J16" s="229"/>
      <c r="K16" s="228"/>
      <c r="L16" s="229"/>
      <c r="M16" s="229"/>
      <c r="N16" s="229"/>
      <c r="O16" s="230"/>
      <c r="P16" s="161"/>
      <c r="Q16" s="161"/>
      <c r="R16" s="220"/>
      <c r="S16" s="221"/>
      <c r="T16" s="221"/>
      <c r="U16" s="221"/>
      <c r="V16" s="222"/>
      <c r="W16" s="220"/>
      <c r="X16" s="221"/>
      <c r="Y16" s="219"/>
      <c r="Z16" s="219"/>
      <c r="AA16" s="223"/>
      <c r="AB16" s="162"/>
      <c r="AC16" s="162"/>
      <c r="AD16" s="220"/>
      <c r="AE16" s="221"/>
      <c r="AF16" s="219"/>
      <c r="AG16" s="219"/>
      <c r="AH16" s="223"/>
      <c r="AI16" s="162"/>
      <c r="AJ16" s="162"/>
      <c r="AK16" s="234">
        <f t="shared" si="0"/>
        <v>0</v>
      </c>
      <c r="AL16" s="235">
        <f t="shared" si="0"/>
        <v>0</v>
      </c>
      <c r="AM16" s="236">
        <f t="shared" si="0"/>
        <v>0</v>
      </c>
      <c r="AN16" s="236">
        <f t="shared" si="0"/>
        <v>0</v>
      </c>
      <c r="AO16" s="237">
        <f t="shared" si="0"/>
        <v>0</v>
      </c>
    </row>
    <row r="17" spans="1:41" s="72" customFormat="1" ht="15">
      <c r="A17" s="340" t="s">
        <v>136</v>
      </c>
      <c r="B17" s="341"/>
      <c r="C17" s="341"/>
      <c r="D17" s="341"/>
      <c r="E17" s="342"/>
      <c r="F17" s="120">
        <f>SUM(F12,F14,F16)</f>
        <v>55000</v>
      </c>
      <c r="G17" s="84">
        <f>SUM(G12,G14,G16)</f>
        <v>283250</v>
      </c>
      <c r="H17" s="84">
        <f>SUM(H12,H14,H16)</f>
        <v>0</v>
      </c>
      <c r="I17" s="84">
        <f>SUM(I12,I14,I16)</f>
        <v>0</v>
      </c>
      <c r="J17" s="84">
        <f>SUM(J12,J14,J16)</f>
        <v>0</v>
      </c>
      <c r="K17" s="84"/>
      <c r="L17" s="84"/>
      <c r="M17" s="84"/>
      <c r="N17" s="84"/>
      <c r="O17" s="84"/>
      <c r="P17" s="163"/>
      <c r="Q17" s="163"/>
      <c r="R17" s="84">
        <f t="shared" ref="R17:AA17" si="1">SUM(R11:R16)</f>
        <v>330000.59999999998</v>
      </c>
      <c r="S17" s="84">
        <f t="shared" si="1"/>
        <v>0</v>
      </c>
      <c r="T17" s="84">
        <f t="shared" si="1"/>
        <v>0</v>
      </c>
      <c r="U17" s="84">
        <f t="shared" si="1"/>
        <v>0</v>
      </c>
      <c r="V17" s="84">
        <f t="shared" si="1"/>
        <v>0</v>
      </c>
      <c r="W17" s="84">
        <f t="shared" si="1"/>
        <v>110000.2</v>
      </c>
      <c r="X17" s="84">
        <f t="shared" si="1"/>
        <v>0</v>
      </c>
      <c r="Y17" s="84">
        <f t="shared" si="1"/>
        <v>0</v>
      </c>
      <c r="Z17" s="84">
        <f t="shared" si="1"/>
        <v>0</v>
      </c>
      <c r="AA17" s="84">
        <f t="shared" si="1"/>
        <v>0</v>
      </c>
      <c r="AB17" s="162"/>
      <c r="AC17" s="162"/>
      <c r="AD17" s="84">
        <f>SUM(AD11:AD16)</f>
        <v>110000.2</v>
      </c>
      <c r="AE17" s="84">
        <f>SUM(AE11:AE16)</f>
        <v>0</v>
      </c>
      <c r="AF17" s="84">
        <f>SUM(AF11:AF16)</f>
        <v>0</v>
      </c>
      <c r="AG17" s="84">
        <f>SUM(AG11:AG16)</f>
        <v>0</v>
      </c>
      <c r="AH17" s="84">
        <f>SUM(AH11:AH16)</f>
        <v>0</v>
      </c>
      <c r="AI17" s="162"/>
      <c r="AJ17" s="162"/>
      <c r="AK17" s="84">
        <f>SUM(AK11:AK16)</f>
        <v>605001.1</v>
      </c>
      <c r="AL17" s="84">
        <f>SUM(AL11:AL16)</f>
        <v>283250.5</v>
      </c>
      <c r="AM17" s="84">
        <f>SUM(AM11:AM16)</f>
        <v>0</v>
      </c>
      <c r="AN17" s="84">
        <f>SUM(AN11:AN16)</f>
        <v>0</v>
      </c>
      <c r="AO17" s="240">
        <f>SUM(AO11:AO16)</f>
        <v>0</v>
      </c>
    </row>
    <row r="18" spans="1:41">
      <c r="E18" s="162"/>
      <c r="F18" s="61"/>
      <c r="K18" s="61"/>
      <c r="O18" s="62"/>
      <c r="P18" s="162"/>
      <c r="Q18" s="162"/>
      <c r="R18" s="61"/>
      <c r="V18" s="62"/>
      <c r="W18" s="61"/>
      <c r="AA18" s="62"/>
      <c r="AB18" s="162"/>
      <c r="AC18" s="162"/>
      <c r="AD18" s="61"/>
      <c r="AH18" s="62"/>
      <c r="AI18" s="162"/>
      <c r="AJ18" s="162"/>
      <c r="AK18" s="61"/>
      <c r="AO18" s="62"/>
    </row>
    <row r="19" spans="1:41" s="88" customFormat="1" outlineLevel="1">
      <c r="A19" s="355" t="s">
        <v>168</v>
      </c>
      <c r="B19" s="166" t="s">
        <v>169</v>
      </c>
      <c r="D19" s="89" t="s">
        <v>110</v>
      </c>
      <c r="E19" s="162"/>
      <c r="F19" s="234">
        <v>1000</v>
      </c>
      <c r="G19" s="241" t="s">
        <v>170</v>
      </c>
      <c r="H19" s="241" t="s">
        <v>170</v>
      </c>
      <c r="I19" s="241" t="s">
        <v>170</v>
      </c>
      <c r="J19" s="242" t="s">
        <v>170</v>
      </c>
      <c r="K19" s="234">
        <v>1000</v>
      </c>
      <c r="L19" s="241" t="s">
        <v>170</v>
      </c>
      <c r="M19" s="241" t="s">
        <v>170</v>
      </c>
      <c r="N19" s="241" t="s">
        <v>170</v>
      </c>
      <c r="O19" s="242" t="s">
        <v>170</v>
      </c>
      <c r="P19" s="162"/>
      <c r="Q19" s="162"/>
      <c r="R19" s="234">
        <v>1000</v>
      </c>
      <c r="S19" s="241" t="s">
        <v>170</v>
      </c>
      <c r="T19" s="241" t="s">
        <v>170</v>
      </c>
      <c r="U19" s="241" t="s">
        <v>170</v>
      </c>
      <c r="V19" s="242" t="s">
        <v>170</v>
      </c>
      <c r="W19" s="234">
        <v>1000</v>
      </c>
      <c r="X19" s="241" t="s">
        <v>170</v>
      </c>
      <c r="Y19" s="241" t="s">
        <v>170</v>
      </c>
      <c r="Z19" s="241" t="s">
        <v>170</v>
      </c>
      <c r="AA19" s="242" t="s">
        <v>170</v>
      </c>
      <c r="AB19" s="162"/>
      <c r="AC19" s="162"/>
      <c r="AD19" s="234">
        <v>1000</v>
      </c>
      <c r="AE19" s="241" t="s">
        <v>170</v>
      </c>
      <c r="AF19" s="241" t="s">
        <v>170</v>
      </c>
      <c r="AG19" s="241" t="s">
        <v>170</v>
      </c>
      <c r="AH19" s="242" t="s">
        <v>170</v>
      </c>
      <c r="AI19" s="162"/>
      <c r="AJ19" s="162"/>
      <c r="AK19" s="243">
        <f>SUM(F19,K19,R19,W19,AD19)</f>
        <v>5000</v>
      </c>
      <c r="AL19" s="241" t="s">
        <v>170</v>
      </c>
      <c r="AM19" s="241" t="s">
        <v>170</v>
      </c>
      <c r="AN19" s="241" t="s">
        <v>170</v>
      </c>
      <c r="AO19" s="242" t="s">
        <v>170</v>
      </c>
    </row>
    <row r="20" spans="1:41" s="88" customFormat="1" outlineLevel="1">
      <c r="A20" s="356"/>
      <c r="B20" s="244" t="s">
        <v>171</v>
      </c>
      <c r="D20" s="89" t="s">
        <v>110</v>
      </c>
      <c r="E20" s="162"/>
      <c r="F20" s="234"/>
      <c r="G20" s="241" t="s">
        <v>170</v>
      </c>
      <c r="H20" s="241" t="s">
        <v>170</v>
      </c>
      <c r="I20" s="241" t="s">
        <v>170</v>
      </c>
      <c r="J20" s="242" t="s">
        <v>170</v>
      </c>
      <c r="K20" s="234"/>
      <c r="L20" s="241" t="s">
        <v>170</v>
      </c>
      <c r="M20" s="241" t="s">
        <v>170</v>
      </c>
      <c r="N20" s="241" t="s">
        <v>170</v>
      </c>
      <c r="O20" s="242" t="s">
        <v>170</v>
      </c>
      <c r="P20" s="162"/>
      <c r="Q20" s="162"/>
      <c r="R20" s="234"/>
      <c r="S20" s="241" t="s">
        <v>170</v>
      </c>
      <c r="T20" s="241" t="s">
        <v>170</v>
      </c>
      <c r="U20" s="241" t="s">
        <v>170</v>
      </c>
      <c r="V20" s="242" t="s">
        <v>170</v>
      </c>
      <c r="W20" s="234"/>
      <c r="X20" s="241" t="s">
        <v>170</v>
      </c>
      <c r="Y20" s="241" t="s">
        <v>170</v>
      </c>
      <c r="Z20" s="241" t="s">
        <v>170</v>
      </c>
      <c r="AA20" s="242" t="s">
        <v>170</v>
      </c>
      <c r="AB20" s="162"/>
      <c r="AC20" s="162"/>
      <c r="AD20" s="234"/>
      <c r="AE20" s="241" t="s">
        <v>170</v>
      </c>
      <c r="AF20" s="241" t="s">
        <v>170</v>
      </c>
      <c r="AG20" s="241" t="s">
        <v>170</v>
      </c>
      <c r="AH20" s="242" t="s">
        <v>170</v>
      </c>
      <c r="AI20" s="162"/>
      <c r="AJ20" s="162"/>
      <c r="AK20" s="243">
        <f>SUM(F20,K20,R20,W20,AD20)</f>
        <v>0</v>
      </c>
      <c r="AL20" s="241" t="s">
        <v>170</v>
      </c>
      <c r="AM20" s="241" t="s">
        <v>170</v>
      </c>
      <c r="AN20" s="241" t="s">
        <v>170</v>
      </c>
      <c r="AO20" s="242" t="s">
        <v>170</v>
      </c>
    </row>
    <row r="21" spans="1:41" s="88" customFormat="1" outlineLevel="1">
      <c r="A21" s="356"/>
      <c r="B21" s="244" t="s">
        <v>172</v>
      </c>
      <c r="D21" s="89" t="s">
        <v>110</v>
      </c>
      <c r="E21" s="162"/>
      <c r="F21" s="234"/>
      <c r="G21" s="241" t="s">
        <v>170</v>
      </c>
      <c r="H21" s="241" t="s">
        <v>170</v>
      </c>
      <c r="I21" s="241" t="s">
        <v>170</v>
      </c>
      <c r="J21" s="242" t="s">
        <v>170</v>
      </c>
      <c r="K21" s="234"/>
      <c r="L21" s="241" t="s">
        <v>170</v>
      </c>
      <c r="M21" s="241" t="s">
        <v>170</v>
      </c>
      <c r="N21" s="241" t="s">
        <v>170</v>
      </c>
      <c r="O21" s="242" t="s">
        <v>170</v>
      </c>
      <c r="P21" s="162"/>
      <c r="Q21" s="162"/>
      <c r="R21" s="234"/>
      <c r="S21" s="241" t="s">
        <v>170</v>
      </c>
      <c r="T21" s="241" t="s">
        <v>170</v>
      </c>
      <c r="U21" s="241" t="s">
        <v>170</v>
      </c>
      <c r="V21" s="242" t="s">
        <v>170</v>
      </c>
      <c r="W21" s="234"/>
      <c r="X21" s="241" t="s">
        <v>170</v>
      </c>
      <c r="Y21" s="241" t="s">
        <v>170</v>
      </c>
      <c r="Z21" s="241" t="s">
        <v>170</v>
      </c>
      <c r="AA21" s="242" t="s">
        <v>170</v>
      </c>
      <c r="AB21" s="162"/>
      <c r="AC21" s="162"/>
      <c r="AD21" s="234"/>
      <c r="AE21" s="241" t="s">
        <v>170</v>
      </c>
      <c r="AF21" s="241" t="s">
        <v>170</v>
      </c>
      <c r="AG21" s="241" t="s">
        <v>170</v>
      </c>
      <c r="AH21" s="242" t="s">
        <v>170</v>
      </c>
      <c r="AI21" s="162"/>
      <c r="AJ21" s="162"/>
      <c r="AK21" s="243">
        <f>SUM(F21,K21,R21,W21,AD21)</f>
        <v>0</v>
      </c>
      <c r="AL21" s="241" t="s">
        <v>170</v>
      </c>
      <c r="AM21" s="241" t="s">
        <v>170</v>
      </c>
      <c r="AN21" s="241" t="s">
        <v>170</v>
      </c>
      <c r="AO21" s="242" t="s">
        <v>170</v>
      </c>
    </row>
    <row r="22" spans="1:41" s="88" customFormat="1" outlineLevel="1">
      <c r="A22" s="355" t="s">
        <v>173</v>
      </c>
      <c r="B22" s="166" t="s">
        <v>169</v>
      </c>
      <c r="D22" s="89" t="s">
        <v>110</v>
      </c>
      <c r="E22" s="162"/>
      <c r="F22" s="243" t="s">
        <v>170</v>
      </c>
      <c r="G22" s="235"/>
      <c r="H22" s="241" t="s">
        <v>170</v>
      </c>
      <c r="I22" s="241" t="s">
        <v>170</v>
      </c>
      <c r="J22" s="242" t="s">
        <v>170</v>
      </c>
      <c r="K22" s="243" t="s">
        <v>170</v>
      </c>
      <c r="L22" s="235"/>
      <c r="M22" s="241" t="s">
        <v>170</v>
      </c>
      <c r="N22" s="241" t="s">
        <v>170</v>
      </c>
      <c r="O22" s="242" t="s">
        <v>170</v>
      </c>
      <c r="P22" s="162"/>
      <c r="Q22" s="162"/>
      <c r="R22" s="243" t="s">
        <v>170</v>
      </c>
      <c r="S22" s="235"/>
      <c r="T22" s="241" t="s">
        <v>170</v>
      </c>
      <c r="U22" s="241" t="s">
        <v>170</v>
      </c>
      <c r="V22" s="242" t="s">
        <v>170</v>
      </c>
      <c r="W22" s="243" t="s">
        <v>170</v>
      </c>
      <c r="X22" s="235"/>
      <c r="Y22" s="241" t="s">
        <v>170</v>
      </c>
      <c r="Z22" s="241" t="s">
        <v>170</v>
      </c>
      <c r="AA22" s="242" t="s">
        <v>170</v>
      </c>
      <c r="AB22" s="162"/>
      <c r="AC22" s="162"/>
      <c r="AD22" s="243" t="s">
        <v>170</v>
      </c>
      <c r="AE22" s="235"/>
      <c r="AF22" s="241" t="s">
        <v>170</v>
      </c>
      <c r="AG22" s="241" t="s">
        <v>170</v>
      </c>
      <c r="AH22" s="242" t="s">
        <v>170</v>
      </c>
      <c r="AI22" s="162"/>
      <c r="AJ22" s="162"/>
      <c r="AK22" s="243" t="s">
        <v>170</v>
      </c>
      <c r="AL22" s="241">
        <f>SUM(G22,L22,S22,X22,AE22)</f>
        <v>0</v>
      </c>
      <c r="AM22" s="241" t="s">
        <v>170</v>
      </c>
      <c r="AN22" s="241" t="s">
        <v>170</v>
      </c>
      <c r="AO22" s="242" t="s">
        <v>170</v>
      </c>
    </row>
    <row r="23" spans="1:41" s="88" customFormat="1" outlineLevel="1">
      <c r="A23" s="356"/>
      <c r="B23" s="244" t="s">
        <v>171</v>
      </c>
      <c r="D23" s="89" t="s">
        <v>110</v>
      </c>
      <c r="E23" s="162"/>
      <c r="F23" s="243" t="s">
        <v>170</v>
      </c>
      <c r="G23" s="235"/>
      <c r="H23" s="241" t="s">
        <v>170</v>
      </c>
      <c r="I23" s="241" t="s">
        <v>170</v>
      </c>
      <c r="J23" s="242" t="s">
        <v>170</v>
      </c>
      <c r="K23" s="243" t="s">
        <v>170</v>
      </c>
      <c r="L23" s="235"/>
      <c r="M23" s="241" t="s">
        <v>170</v>
      </c>
      <c r="N23" s="241" t="s">
        <v>170</v>
      </c>
      <c r="O23" s="242" t="s">
        <v>170</v>
      </c>
      <c r="P23" s="162"/>
      <c r="Q23" s="162"/>
      <c r="R23" s="243" t="s">
        <v>170</v>
      </c>
      <c r="S23" s="235"/>
      <c r="T23" s="241" t="s">
        <v>170</v>
      </c>
      <c r="U23" s="241" t="s">
        <v>170</v>
      </c>
      <c r="V23" s="242" t="s">
        <v>170</v>
      </c>
      <c r="W23" s="243" t="s">
        <v>170</v>
      </c>
      <c r="X23" s="235"/>
      <c r="Y23" s="241" t="s">
        <v>170</v>
      </c>
      <c r="Z23" s="241" t="s">
        <v>170</v>
      </c>
      <c r="AA23" s="242" t="s">
        <v>170</v>
      </c>
      <c r="AB23" s="162"/>
      <c r="AC23" s="162"/>
      <c r="AD23" s="243" t="s">
        <v>170</v>
      </c>
      <c r="AE23" s="235"/>
      <c r="AF23" s="241" t="s">
        <v>170</v>
      </c>
      <c r="AG23" s="241" t="s">
        <v>170</v>
      </c>
      <c r="AH23" s="242" t="s">
        <v>170</v>
      </c>
      <c r="AI23" s="162"/>
      <c r="AJ23" s="162"/>
      <c r="AK23" s="243" t="s">
        <v>170</v>
      </c>
      <c r="AL23" s="241">
        <f>SUM(G23,L23,S23,X23,AE23)</f>
        <v>0</v>
      </c>
      <c r="AM23" s="241" t="s">
        <v>170</v>
      </c>
      <c r="AN23" s="241" t="s">
        <v>170</v>
      </c>
      <c r="AO23" s="242" t="s">
        <v>170</v>
      </c>
    </row>
    <row r="24" spans="1:41" s="88" customFormat="1" outlineLevel="1">
      <c r="A24" s="356"/>
      <c r="B24" s="244" t="s">
        <v>172</v>
      </c>
      <c r="D24" s="89" t="s">
        <v>110</v>
      </c>
      <c r="E24" s="162"/>
      <c r="F24" s="243" t="s">
        <v>170</v>
      </c>
      <c r="G24" s="235"/>
      <c r="H24" s="241" t="s">
        <v>170</v>
      </c>
      <c r="I24" s="241" t="s">
        <v>170</v>
      </c>
      <c r="J24" s="242" t="s">
        <v>170</v>
      </c>
      <c r="K24" s="243" t="s">
        <v>170</v>
      </c>
      <c r="L24" s="235"/>
      <c r="M24" s="241" t="s">
        <v>170</v>
      </c>
      <c r="N24" s="241" t="s">
        <v>170</v>
      </c>
      <c r="O24" s="242" t="s">
        <v>170</v>
      </c>
      <c r="P24" s="162"/>
      <c r="Q24" s="162"/>
      <c r="R24" s="243" t="s">
        <v>170</v>
      </c>
      <c r="S24" s="235"/>
      <c r="T24" s="241" t="s">
        <v>170</v>
      </c>
      <c r="U24" s="241" t="s">
        <v>170</v>
      </c>
      <c r="V24" s="242" t="s">
        <v>170</v>
      </c>
      <c r="W24" s="243" t="s">
        <v>170</v>
      </c>
      <c r="X24" s="235"/>
      <c r="Y24" s="241" t="s">
        <v>170</v>
      </c>
      <c r="Z24" s="241" t="s">
        <v>170</v>
      </c>
      <c r="AA24" s="242" t="s">
        <v>170</v>
      </c>
      <c r="AB24" s="162"/>
      <c r="AC24" s="162"/>
      <c r="AD24" s="243" t="s">
        <v>170</v>
      </c>
      <c r="AE24" s="235"/>
      <c r="AF24" s="241" t="s">
        <v>170</v>
      </c>
      <c r="AG24" s="241" t="s">
        <v>170</v>
      </c>
      <c r="AH24" s="242" t="s">
        <v>170</v>
      </c>
      <c r="AI24" s="162"/>
      <c r="AJ24" s="162"/>
      <c r="AK24" s="243" t="s">
        <v>170</v>
      </c>
      <c r="AL24" s="241">
        <f>SUM(G24,L24,S24,X24,AE24)</f>
        <v>0</v>
      </c>
      <c r="AM24" s="241" t="s">
        <v>170</v>
      </c>
      <c r="AN24" s="241" t="s">
        <v>170</v>
      </c>
      <c r="AO24" s="242" t="s">
        <v>170</v>
      </c>
    </row>
    <row r="25" spans="1:41" s="88" customFormat="1" outlineLevel="1">
      <c r="A25" s="355" t="s">
        <v>174</v>
      </c>
      <c r="B25" s="166" t="s">
        <v>169</v>
      </c>
      <c r="D25" s="89" t="s">
        <v>110</v>
      </c>
      <c r="E25" s="162"/>
      <c r="F25" s="243" t="s">
        <v>170</v>
      </c>
      <c r="G25" s="241" t="s">
        <v>170</v>
      </c>
      <c r="H25" s="235"/>
      <c r="I25" s="241" t="s">
        <v>170</v>
      </c>
      <c r="J25" s="242" t="s">
        <v>170</v>
      </c>
      <c r="K25" s="243" t="s">
        <v>170</v>
      </c>
      <c r="L25" s="241" t="s">
        <v>170</v>
      </c>
      <c r="M25" s="235"/>
      <c r="N25" s="241" t="s">
        <v>170</v>
      </c>
      <c r="O25" s="242" t="s">
        <v>170</v>
      </c>
      <c r="P25" s="162"/>
      <c r="Q25" s="162"/>
      <c r="R25" s="243" t="s">
        <v>170</v>
      </c>
      <c r="S25" s="241" t="s">
        <v>170</v>
      </c>
      <c r="T25" s="235"/>
      <c r="U25" s="241" t="s">
        <v>170</v>
      </c>
      <c r="V25" s="242" t="s">
        <v>170</v>
      </c>
      <c r="W25" s="243" t="s">
        <v>170</v>
      </c>
      <c r="X25" s="241" t="s">
        <v>170</v>
      </c>
      <c r="Y25" s="235"/>
      <c r="Z25" s="241" t="s">
        <v>170</v>
      </c>
      <c r="AA25" s="242" t="s">
        <v>170</v>
      </c>
      <c r="AB25" s="162"/>
      <c r="AC25" s="162"/>
      <c r="AD25" s="243" t="s">
        <v>170</v>
      </c>
      <c r="AE25" s="241" t="s">
        <v>170</v>
      </c>
      <c r="AF25" s="235"/>
      <c r="AG25" s="241" t="s">
        <v>170</v>
      </c>
      <c r="AH25" s="242" t="s">
        <v>170</v>
      </c>
      <c r="AI25" s="162"/>
      <c r="AJ25" s="162"/>
      <c r="AK25" s="243" t="s">
        <v>170</v>
      </c>
      <c r="AL25" s="241" t="s">
        <v>170</v>
      </c>
      <c r="AM25" s="241">
        <f>SUM(H25,M25,T25,Y25,AF25)</f>
        <v>0</v>
      </c>
      <c r="AN25" s="241" t="s">
        <v>170</v>
      </c>
      <c r="AO25" s="242" t="s">
        <v>170</v>
      </c>
    </row>
    <row r="26" spans="1:41" s="88" customFormat="1" outlineLevel="1">
      <c r="A26" s="356"/>
      <c r="B26" s="244" t="s">
        <v>171</v>
      </c>
      <c r="D26" s="89" t="s">
        <v>110</v>
      </c>
      <c r="E26" s="162"/>
      <c r="F26" s="243" t="s">
        <v>170</v>
      </c>
      <c r="G26" s="241" t="s">
        <v>170</v>
      </c>
      <c r="H26" s="235"/>
      <c r="I26" s="241" t="s">
        <v>170</v>
      </c>
      <c r="J26" s="242" t="s">
        <v>170</v>
      </c>
      <c r="K26" s="243" t="s">
        <v>170</v>
      </c>
      <c r="L26" s="241" t="s">
        <v>170</v>
      </c>
      <c r="M26" s="235"/>
      <c r="N26" s="241" t="s">
        <v>170</v>
      </c>
      <c r="O26" s="242" t="s">
        <v>170</v>
      </c>
      <c r="P26" s="162"/>
      <c r="Q26" s="162"/>
      <c r="R26" s="243" t="s">
        <v>170</v>
      </c>
      <c r="S26" s="241" t="s">
        <v>170</v>
      </c>
      <c r="T26" s="235"/>
      <c r="U26" s="241" t="s">
        <v>170</v>
      </c>
      <c r="V26" s="242" t="s">
        <v>170</v>
      </c>
      <c r="W26" s="243" t="s">
        <v>170</v>
      </c>
      <c r="X26" s="241" t="s">
        <v>170</v>
      </c>
      <c r="Y26" s="235"/>
      <c r="Z26" s="241" t="s">
        <v>170</v>
      </c>
      <c r="AA26" s="242" t="s">
        <v>170</v>
      </c>
      <c r="AB26" s="162"/>
      <c r="AC26" s="162"/>
      <c r="AD26" s="243" t="s">
        <v>170</v>
      </c>
      <c r="AE26" s="241" t="s">
        <v>170</v>
      </c>
      <c r="AF26" s="235"/>
      <c r="AG26" s="241" t="s">
        <v>170</v>
      </c>
      <c r="AH26" s="242" t="s">
        <v>170</v>
      </c>
      <c r="AI26" s="162"/>
      <c r="AJ26" s="162"/>
      <c r="AK26" s="243" t="s">
        <v>170</v>
      </c>
      <c r="AL26" s="241" t="s">
        <v>170</v>
      </c>
      <c r="AM26" s="241">
        <f>SUM(H26,M26,T26,Y26,AF26)</f>
        <v>0</v>
      </c>
      <c r="AN26" s="241" t="s">
        <v>170</v>
      </c>
      <c r="AO26" s="242" t="s">
        <v>170</v>
      </c>
    </row>
    <row r="27" spans="1:41" s="88" customFormat="1" outlineLevel="1">
      <c r="A27" s="356"/>
      <c r="B27" s="244" t="s">
        <v>172</v>
      </c>
      <c r="D27" s="89" t="s">
        <v>110</v>
      </c>
      <c r="E27" s="162"/>
      <c r="F27" s="243" t="s">
        <v>170</v>
      </c>
      <c r="G27" s="241" t="s">
        <v>170</v>
      </c>
      <c r="H27" s="235"/>
      <c r="I27" s="241" t="s">
        <v>170</v>
      </c>
      <c r="J27" s="242" t="s">
        <v>170</v>
      </c>
      <c r="K27" s="243" t="s">
        <v>170</v>
      </c>
      <c r="L27" s="241" t="s">
        <v>170</v>
      </c>
      <c r="M27" s="235"/>
      <c r="N27" s="241" t="s">
        <v>170</v>
      </c>
      <c r="O27" s="242" t="s">
        <v>170</v>
      </c>
      <c r="P27" s="162"/>
      <c r="Q27" s="162"/>
      <c r="R27" s="243" t="s">
        <v>170</v>
      </c>
      <c r="S27" s="241" t="s">
        <v>170</v>
      </c>
      <c r="T27" s="235"/>
      <c r="U27" s="241" t="s">
        <v>170</v>
      </c>
      <c r="V27" s="242" t="s">
        <v>170</v>
      </c>
      <c r="W27" s="243" t="s">
        <v>170</v>
      </c>
      <c r="X27" s="241" t="s">
        <v>170</v>
      </c>
      <c r="Y27" s="235"/>
      <c r="Z27" s="241" t="s">
        <v>170</v>
      </c>
      <c r="AA27" s="242" t="s">
        <v>170</v>
      </c>
      <c r="AB27" s="162"/>
      <c r="AC27" s="162"/>
      <c r="AD27" s="243" t="s">
        <v>170</v>
      </c>
      <c r="AE27" s="241" t="s">
        <v>170</v>
      </c>
      <c r="AF27" s="235"/>
      <c r="AG27" s="241" t="s">
        <v>170</v>
      </c>
      <c r="AH27" s="242" t="s">
        <v>170</v>
      </c>
      <c r="AI27" s="162"/>
      <c r="AJ27" s="162"/>
      <c r="AK27" s="243" t="s">
        <v>170</v>
      </c>
      <c r="AL27" s="241" t="s">
        <v>170</v>
      </c>
      <c r="AM27" s="241">
        <f>SUM(H27,M27,T27,Y27,AF27)</f>
        <v>0</v>
      </c>
      <c r="AN27" s="241" t="s">
        <v>170</v>
      </c>
      <c r="AO27" s="242" t="s">
        <v>170</v>
      </c>
    </row>
    <row r="28" spans="1:41" s="88" customFormat="1" outlineLevel="1">
      <c r="A28" s="355" t="s">
        <v>175</v>
      </c>
      <c r="B28" s="166" t="s">
        <v>169</v>
      </c>
      <c r="D28" s="89" t="s">
        <v>110</v>
      </c>
      <c r="E28" s="162"/>
      <c r="F28" s="243" t="s">
        <v>170</v>
      </c>
      <c r="G28" s="241" t="s">
        <v>170</v>
      </c>
      <c r="H28" s="241" t="s">
        <v>170</v>
      </c>
      <c r="I28" s="235"/>
      <c r="J28" s="242" t="s">
        <v>170</v>
      </c>
      <c r="K28" s="243" t="s">
        <v>170</v>
      </c>
      <c r="L28" s="241" t="s">
        <v>170</v>
      </c>
      <c r="M28" s="241" t="s">
        <v>170</v>
      </c>
      <c r="N28" s="235"/>
      <c r="O28" s="242" t="s">
        <v>170</v>
      </c>
      <c r="P28" s="162"/>
      <c r="Q28" s="162"/>
      <c r="R28" s="243" t="s">
        <v>170</v>
      </c>
      <c r="S28" s="241" t="s">
        <v>170</v>
      </c>
      <c r="T28" s="241" t="s">
        <v>170</v>
      </c>
      <c r="U28" s="235"/>
      <c r="V28" s="242" t="s">
        <v>170</v>
      </c>
      <c r="W28" s="243" t="s">
        <v>170</v>
      </c>
      <c r="X28" s="241" t="s">
        <v>170</v>
      </c>
      <c r="Y28" s="241" t="s">
        <v>170</v>
      </c>
      <c r="Z28" s="235"/>
      <c r="AA28" s="242" t="s">
        <v>170</v>
      </c>
      <c r="AB28" s="162"/>
      <c r="AC28" s="162"/>
      <c r="AD28" s="243" t="s">
        <v>170</v>
      </c>
      <c r="AE28" s="241" t="s">
        <v>170</v>
      </c>
      <c r="AF28" s="241" t="s">
        <v>170</v>
      </c>
      <c r="AG28" s="235"/>
      <c r="AH28" s="242" t="s">
        <v>170</v>
      </c>
      <c r="AI28" s="162"/>
      <c r="AJ28" s="162"/>
      <c r="AK28" s="243" t="s">
        <v>170</v>
      </c>
      <c r="AL28" s="241" t="s">
        <v>170</v>
      </c>
      <c r="AM28" s="241" t="s">
        <v>170</v>
      </c>
      <c r="AN28" s="241">
        <f>SUM(I28,N28,U28,Z28,AG28)</f>
        <v>0</v>
      </c>
      <c r="AO28" s="242" t="s">
        <v>170</v>
      </c>
    </row>
    <row r="29" spans="1:41" s="88" customFormat="1" outlineLevel="1">
      <c r="A29" s="356"/>
      <c r="B29" s="244" t="s">
        <v>171</v>
      </c>
      <c r="D29" s="89" t="s">
        <v>110</v>
      </c>
      <c r="E29" s="162"/>
      <c r="F29" s="243" t="s">
        <v>170</v>
      </c>
      <c r="G29" s="241" t="s">
        <v>170</v>
      </c>
      <c r="H29" s="241" t="s">
        <v>170</v>
      </c>
      <c r="I29" s="235"/>
      <c r="J29" s="242" t="s">
        <v>170</v>
      </c>
      <c r="K29" s="243" t="s">
        <v>170</v>
      </c>
      <c r="L29" s="241" t="s">
        <v>170</v>
      </c>
      <c r="M29" s="241" t="s">
        <v>170</v>
      </c>
      <c r="N29" s="235"/>
      <c r="O29" s="242" t="s">
        <v>170</v>
      </c>
      <c r="P29" s="162"/>
      <c r="Q29" s="162"/>
      <c r="R29" s="243" t="s">
        <v>170</v>
      </c>
      <c r="S29" s="241" t="s">
        <v>170</v>
      </c>
      <c r="T29" s="241" t="s">
        <v>170</v>
      </c>
      <c r="U29" s="235"/>
      <c r="V29" s="242" t="s">
        <v>170</v>
      </c>
      <c r="W29" s="243" t="s">
        <v>170</v>
      </c>
      <c r="X29" s="241" t="s">
        <v>170</v>
      </c>
      <c r="Y29" s="241" t="s">
        <v>170</v>
      </c>
      <c r="Z29" s="235"/>
      <c r="AA29" s="242" t="s">
        <v>170</v>
      </c>
      <c r="AB29" s="162"/>
      <c r="AC29" s="162"/>
      <c r="AD29" s="243" t="s">
        <v>170</v>
      </c>
      <c r="AE29" s="241" t="s">
        <v>170</v>
      </c>
      <c r="AF29" s="241" t="s">
        <v>170</v>
      </c>
      <c r="AG29" s="235"/>
      <c r="AH29" s="242" t="s">
        <v>170</v>
      </c>
      <c r="AI29" s="162"/>
      <c r="AJ29" s="162"/>
      <c r="AK29" s="243" t="s">
        <v>170</v>
      </c>
      <c r="AL29" s="241" t="s">
        <v>170</v>
      </c>
      <c r="AM29" s="241" t="s">
        <v>170</v>
      </c>
      <c r="AN29" s="241">
        <f>SUM(I29,N29,U29,Z29,AG29)</f>
        <v>0</v>
      </c>
      <c r="AO29" s="242" t="s">
        <v>170</v>
      </c>
    </row>
    <row r="30" spans="1:41" s="88" customFormat="1" outlineLevel="1">
      <c r="A30" s="356"/>
      <c r="B30" s="244" t="s">
        <v>172</v>
      </c>
      <c r="D30" s="89" t="s">
        <v>110</v>
      </c>
      <c r="E30" s="162"/>
      <c r="F30" s="243" t="s">
        <v>170</v>
      </c>
      <c r="G30" s="241" t="s">
        <v>170</v>
      </c>
      <c r="H30" s="241" t="s">
        <v>170</v>
      </c>
      <c r="I30" s="235"/>
      <c r="J30" s="242" t="s">
        <v>170</v>
      </c>
      <c r="K30" s="243" t="s">
        <v>170</v>
      </c>
      <c r="L30" s="241" t="s">
        <v>170</v>
      </c>
      <c r="M30" s="241" t="s">
        <v>170</v>
      </c>
      <c r="N30" s="235"/>
      <c r="O30" s="242" t="s">
        <v>170</v>
      </c>
      <c r="P30" s="162"/>
      <c r="Q30" s="162"/>
      <c r="R30" s="243" t="s">
        <v>170</v>
      </c>
      <c r="S30" s="241" t="s">
        <v>170</v>
      </c>
      <c r="T30" s="241" t="s">
        <v>170</v>
      </c>
      <c r="U30" s="235"/>
      <c r="V30" s="242" t="s">
        <v>170</v>
      </c>
      <c r="W30" s="243" t="s">
        <v>170</v>
      </c>
      <c r="X30" s="241" t="s">
        <v>170</v>
      </c>
      <c r="Y30" s="241" t="s">
        <v>170</v>
      </c>
      <c r="Z30" s="235"/>
      <c r="AA30" s="242" t="s">
        <v>170</v>
      </c>
      <c r="AB30" s="162"/>
      <c r="AC30" s="162"/>
      <c r="AD30" s="243" t="s">
        <v>170</v>
      </c>
      <c r="AE30" s="241" t="s">
        <v>170</v>
      </c>
      <c r="AF30" s="241" t="s">
        <v>170</v>
      </c>
      <c r="AG30" s="235"/>
      <c r="AH30" s="242" t="s">
        <v>170</v>
      </c>
      <c r="AI30" s="162"/>
      <c r="AJ30" s="162"/>
      <c r="AK30" s="243" t="s">
        <v>170</v>
      </c>
      <c r="AL30" s="241" t="s">
        <v>170</v>
      </c>
      <c r="AM30" s="241" t="s">
        <v>170</v>
      </c>
      <c r="AN30" s="241">
        <f>SUM(I30,N30,U30,Z30,AG30)</f>
        <v>0</v>
      </c>
      <c r="AO30" s="242" t="s">
        <v>170</v>
      </c>
    </row>
    <row r="31" spans="1:41" s="88" customFormat="1" outlineLevel="1">
      <c r="A31" s="355" t="s">
        <v>176</v>
      </c>
      <c r="B31" s="166" t="s">
        <v>169</v>
      </c>
      <c r="D31" s="89" t="s">
        <v>110</v>
      </c>
      <c r="E31" s="162"/>
      <c r="F31" s="243" t="s">
        <v>170</v>
      </c>
      <c r="G31" s="241" t="s">
        <v>170</v>
      </c>
      <c r="H31" s="241" t="s">
        <v>170</v>
      </c>
      <c r="I31" s="241" t="s">
        <v>170</v>
      </c>
      <c r="J31" s="245"/>
      <c r="K31" s="243" t="s">
        <v>170</v>
      </c>
      <c r="L31" s="241" t="s">
        <v>170</v>
      </c>
      <c r="M31" s="241" t="s">
        <v>170</v>
      </c>
      <c r="N31" s="241" t="s">
        <v>170</v>
      </c>
      <c r="O31" s="245"/>
      <c r="P31" s="162"/>
      <c r="Q31" s="162"/>
      <c r="R31" s="243" t="s">
        <v>170</v>
      </c>
      <c r="S31" s="241" t="s">
        <v>170</v>
      </c>
      <c r="T31" s="241" t="s">
        <v>170</v>
      </c>
      <c r="U31" s="241" t="s">
        <v>170</v>
      </c>
      <c r="V31" s="245"/>
      <c r="W31" s="243" t="s">
        <v>170</v>
      </c>
      <c r="X31" s="241" t="s">
        <v>170</v>
      </c>
      <c r="Y31" s="241" t="s">
        <v>170</v>
      </c>
      <c r="Z31" s="241" t="s">
        <v>170</v>
      </c>
      <c r="AA31" s="245"/>
      <c r="AB31" s="162"/>
      <c r="AC31" s="162"/>
      <c r="AD31" s="243" t="s">
        <v>170</v>
      </c>
      <c r="AE31" s="241" t="s">
        <v>170</v>
      </c>
      <c r="AF31" s="241" t="s">
        <v>170</v>
      </c>
      <c r="AG31" s="241" t="s">
        <v>170</v>
      </c>
      <c r="AH31" s="245"/>
      <c r="AI31" s="162"/>
      <c r="AJ31" s="162"/>
      <c r="AK31" s="243" t="s">
        <v>170</v>
      </c>
      <c r="AL31" s="241" t="s">
        <v>170</v>
      </c>
      <c r="AM31" s="241" t="s">
        <v>170</v>
      </c>
      <c r="AN31" s="241" t="s">
        <v>170</v>
      </c>
      <c r="AO31" s="242">
        <f>SUM(J31,O31,V31,AA31,AH31)</f>
        <v>0</v>
      </c>
    </row>
    <row r="32" spans="1:41" s="88" customFormat="1" outlineLevel="1">
      <c r="A32" s="356"/>
      <c r="B32" s="244" t="s">
        <v>171</v>
      </c>
      <c r="D32" s="89" t="s">
        <v>110</v>
      </c>
      <c r="E32" s="162"/>
      <c r="F32" s="243" t="s">
        <v>170</v>
      </c>
      <c r="G32" s="241" t="s">
        <v>170</v>
      </c>
      <c r="H32" s="241" t="s">
        <v>170</v>
      </c>
      <c r="I32" s="241" t="s">
        <v>170</v>
      </c>
      <c r="J32" s="245"/>
      <c r="K32" s="243" t="s">
        <v>170</v>
      </c>
      <c r="L32" s="241" t="s">
        <v>170</v>
      </c>
      <c r="M32" s="241" t="s">
        <v>170</v>
      </c>
      <c r="N32" s="241" t="s">
        <v>170</v>
      </c>
      <c r="O32" s="245"/>
      <c r="P32" s="161"/>
      <c r="Q32" s="161"/>
      <c r="R32" s="243" t="s">
        <v>170</v>
      </c>
      <c r="S32" s="241" t="s">
        <v>170</v>
      </c>
      <c r="T32" s="241" t="s">
        <v>170</v>
      </c>
      <c r="U32" s="241" t="s">
        <v>170</v>
      </c>
      <c r="V32" s="245"/>
      <c r="W32" s="243" t="s">
        <v>170</v>
      </c>
      <c r="X32" s="241" t="s">
        <v>170</v>
      </c>
      <c r="Y32" s="241" t="s">
        <v>170</v>
      </c>
      <c r="Z32" s="241" t="s">
        <v>170</v>
      </c>
      <c r="AA32" s="245"/>
      <c r="AB32" s="162"/>
      <c r="AC32" s="162"/>
      <c r="AD32" s="243" t="s">
        <v>170</v>
      </c>
      <c r="AE32" s="241" t="s">
        <v>170</v>
      </c>
      <c r="AF32" s="241" t="s">
        <v>170</v>
      </c>
      <c r="AG32" s="241" t="s">
        <v>170</v>
      </c>
      <c r="AH32" s="245"/>
      <c r="AI32" s="162"/>
      <c r="AJ32" s="162"/>
      <c r="AK32" s="243" t="s">
        <v>170</v>
      </c>
      <c r="AL32" s="241" t="s">
        <v>170</v>
      </c>
      <c r="AM32" s="241" t="s">
        <v>170</v>
      </c>
      <c r="AN32" s="241" t="s">
        <v>170</v>
      </c>
      <c r="AO32" s="242">
        <f>SUM(J32,O32,V32,AA32,AH32)</f>
        <v>0</v>
      </c>
    </row>
    <row r="33" spans="1:41" s="88" customFormat="1" outlineLevel="1">
      <c r="A33" s="356"/>
      <c r="B33" s="244" t="s">
        <v>172</v>
      </c>
      <c r="D33" s="89" t="s">
        <v>110</v>
      </c>
      <c r="E33" s="162"/>
      <c r="F33" s="243" t="s">
        <v>170</v>
      </c>
      <c r="G33" s="241" t="s">
        <v>170</v>
      </c>
      <c r="H33" s="241" t="s">
        <v>170</v>
      </c>
      <c r="I33" s="241" t="s">
        <v>170</v>
      </c>
      <c r="J33" s="245"/>
      <c r="K33" s="243" t="s">
        <v>170</v>
      </c>
      <c r="L33" s="241" t="s">
        <v>170</v>
      </c>
      <c r="M33" s="241" t="s">
        <v>170</v>
      </c>
      <c r="N33" s="241" t="s">
        <v>170</v>
      </c>
      <c r="O33" s="245"/>
      <c r="P33" s="162"/>
      <c r="Q33" s="162"/>
      <c r="R33" s="243" t="s">
        <v>170</v>
      </c>
      <c r="S33" s="241" t="s">
        <v>170</v>
      </c>
      <c r="T33" s="241" t="s">
        <v>170</v>
      </c>
      <c r="U33" s="241" t="s">
        <v>170</v>
      </c>
      <c r="V33" s="245"/>
      <c r="W33" s="243" t="s">
        <v>170</v>
      </c>
      <c r="X33" s="241" t="s">
        <v>170</v>
      </c>
      <c r="Y33" s="241" t="s">
        <v>170</v>
      </c>
      <c r="Z33" s="241" t="s">
        <v>170</v>
      </c>
      <c r="AA33" s="245"/>
      <c r="AB33" s="162"/>
      <c r="AC33" s="162"/>
      <c r="AD33" s="243" t="s">
        <v>170</v>
      </c>
      <c r="AE33" s="241" t="s">
        <v>170</v>
      </c>
      <c r="AF33" s="241" t="s">
        <v>170</v>
      </c>
      <c r="AG33" s="241" t="s">
        <v>170</v>
      </c>
      <c r="AH33" s="245"/>
      <c r="AI33" s="162"/>
      <c r="AJ33" s="162"/>
      <c r="AK33" s="243" t="s">
        <v>170</v>
      </c>
      <c r="AL33" s="241" t="s">
        <v>170</v>
      </c>
      <c r="AM33" s="241" t="s">
        <v>170</v>
      </c>
      <c r="AN33" s="241" t="s">
        <v>170</v>
      </c>
      <c r="AO33" s="242">
        <f>SUM(J33,O33,V33,AA33,AH33)</f>
        <v>0</v>
      </c>
    </row>
    <row r="34" spans="1:41" s="88" customFormat="1" ht="15">
      <c r="A34" s="352" t="s">
        <v>136</v>
      </c>
      <c r="B34" s="353"/>
      <c r="C34" s="353"/>
      <c r="D34" s="353"/>
      <c r="E34" s="354"/>
      <c r="F34" s="125">
        <f t="shared" ref="F34:O34" si="2">SUM(F19:F33)</f>
        <v>1000</v>
      </c>
      <c r="G34" s="92">
        <f t="shared" si="2"/>
        <v>0</v>
      </c>
      <c r="H34" s="92">
        <f t="shared" si="2"/>
        <v>0</v>
      </c>
      <c r="I34" s="92">
        <f t="shared" si="2"/>
        <v>0</v>
      </c>
      <c r="J34" s="92">
        <f t="shared" si="2"/>
        <v>0</v>
      </c>
      <c r="K34" s="125">
        <f t="shared" si="2"/>
        <v>1000</v>
      </c>
      <c r="L34" s="92">
        <f t="shared" si="2"/>
        <v>0</v>
      </c>
      <c r="M34" s="92">
        <f t="shared" si="2"/>
        <v>0</v>
      </c>
      <c r="N34" s="92">
        <f t="shared" si="2"/>
        <v>0</v>
      </c>
      <c r="O34" s="246">
        <f t="shared" si="2"/>
        <v>0</v>
      </c>
      <c r="P34" s="163"/>
      <c r="Q34" s="163"/>
      <c r="R34" s="125">
        <f t="shared" ref="R34:AA34" si="3">SUM(R19:R33)</f>
        <v>1000</v>
      </c>
      <c r="S34" s="92">
        <f t="shared" si="3"/>
        <v>0</v>
      </c>
      <c r="T34" s="92">
        <f t="shared" si="3"/>
        <v>0</v>
      </c>
      <c r="U34" s="92">
        <f t="shared" si="3"/>
        <v>0</v>
      </c>
      <c r="V34" s="92">
        <f t="shared" si="3"/>
        <v>0</v>
      </c>
      <c r="W34" s="125">
        <f t="shared" si="3"/>
        <v>1000</v>
      </c>
      <c r="X34" s="92">
        <f t="shared" si="3"/>
        <v>0</v>
      </c>
      <c r="Y34" s="92">
        <f t="shared" si="3"/>
        <v>0</v>
      </c>
      <c r="Z34" s="92">
        <f t="shared" si="3"/>
        <v>0</v>
      </c>
      <c r="AA34" s="246">
        <f t="shared" si="3"/>
        <v>0</v>
      </c>
      <c r="AB34" s="162"/>
      <c r="AC34" s="162"/>
      <c r="AD34" s="125">
        <f>SUM(AD19:AD33)</f>
        <v>1000</v>
      </c>
      <c r="AE34" s="92">
        <f>SUM(AE19:AE33)</f>
        <v>0</v>
      </c>
      <c r="AF34" s="92">
        <f>SUM(AF19:AF33)</f>
        <v>0</v>
      </c>
      <c r="AG34" s="92">
        <f>SUM(AG19:AG33)</f>
        <v>0</v>
      </c>
      <c r="AH34" s="246">
        <f>SUM(AH19:AH33)</f>
        <v>0</v>
      </c>
      <c r="AI34" s="162"/>
      <c r="AJ34" s="162"/>
      <c r="AK34" s="125">
        <f>SUM(AK19:AK33)</f>
        <v>5000</v>
      </c>
      <c r="AL34" s="92">
        <f>SUM(AL19:AL33)</f>
        <v>0</v>
      </c>
      <c r="AM34" s="92">
        <f>SUM(AM19:AM33)</f>
        <v>0</v>
      </c>
      <c r="AN34" s="92">
        <f>SUM(AN19:AN33)</f>
        <v>0</v>
      </c>
      <c r="AO34" s="246">
        <f>SUM(AO19:AO33)</f>
        <v>0</v>
      </c>
    </row>
    <row r="35" spans="1:41">
      <c r="E35" s="162"/>
      <c r="F35" s="63"/>
      <c r="G35" s="65"/>
      <c r="H35" s="65"/>
      <c r="I35" s="65"/>
      <c r="J35" s="65"/>
      <c r="K35" s="63"/>
      <c r="L35" s="65"/>
      <c r="M35" s="65"/>
      <c r="N35" s="65"/>
      <c r="O35" s="64"/>
      <c r="P35" s="161"/>
      <c r="Q35" s="161"/>
      <c r="R35" s="63"/>
      <c r="S35" s="65"/>
      <c r="T35" s="65"/>
      <c r="U35" s="65"/>
      <c r="V35" s="64"/>
      <c r="W35" s="63"/>
      <c r="X35" s="65"/>
      <c r="AA35" s="62"/>
      <c r="AB35" s="162"/>
      <c r="AC35" s="162"/>
      <c r="AD35" s="61"/>
      <c r="AH35" s="62"/>
      <c r="AI35" s="162"/>
      <c r="AJ35" s="162"/>
      <c r="AK35" s="61"/>
      <c r="AO35" s="62"/>
    </row>
    <row r="36" spans="1:41" s="96" customFormat="1" outlineLevel="1">
      <c r="A36" s="328" t="s">
        <v>177</v>
      </c>
      <c r="B36" s="329" t="s">
        <v>178</v>
      </c>
      <c r="C36" s="247" t="s">
        <v>116</v>
      </c>
      <c r="D36" s="247" t="s">
        <v>0</v>
      </c>
      <c r="E36" s="187"/>
      <c r="F36" s="248">
        <v>0.02</v>
      </c>
      <c r="G36" s="249">
        <v>0.04</v>
      </c>
      <c r="H36" s="249"/>
      <c r="I36" s="249"/>
      <c r="J36" s="250"/>
      <c r="K36" s="248">
        <v>0.02</v>
      </c>
      <c r="L36" s="249">
        <v>0.04</v>
      </c>
      <c r="M36" s="249"/>
      <c r="N36" s="249"/>
      <c r="O36" s="250"/>
      <c r="P36" s="181"/>
      <c r="Q36" s="181"/>
      <c r="R36" s="248"/>
      <c r="S36" s="249"/>
      <c r="T36" s="249"/>
      <c r="U36" s="249"/>
      <c r="V36" s="250"/>
      <c r="W36" s="248"/>
      <c r="X36" s="249"/>
      <c r="Y36" s="249"/>
      <c r="Z36" s="249"/>
      <c r="AA36" s="250"/>
      <c r="AB36" s="187"/>
      <c r="AC36" s="187"/>
      <c r="AD36" s="248"/>
      <c r="AE36" s="249"/>
      <c r="AF36" s="249"/>
      <c r="AG36" s="249"/>
      <c r="AH36" s="250"/>
      <c r="AI36" s="187"/>
      <c r="AJ36" s="187"/>
      <c r="AK36" s="251">
        <f t="shared" ref="AK36:AO39" si="4">F36+K36+R36+W36+AD36</f>
        <v>0.04</v>
      </c>
      <c r="AL36" s="252">
        <f t="shared" si="4"/>
        <v>0.08</v>
      </c>
      <c r="AM36" s="252">
        <f t="shared" si="4"/>
        <v>0</v>
      </c>
      <c r="AN36" s="252">
        <f t="shared" si="4"/>
        <v>0</v>
      </c>
      <c r="AO36" s="253">
        <f t="shared" si="4"/>
        <v>0</v>
      </c>
    </row>
    <row r="37" spans="1:41" s="96" customFormat="1" outlineLevel="1">
      <c r="A37" s="328"/>
      <c r="B37" s="329"/>
      <c r="C37" s="96" t="s">
        <v>167</v>
      </c>
      <c r="D37" s="236">
        <v>350000</v>
      </c>
      <c r="E37" s="162"/>
      <c r="F37" s="234">
        <f>F36*$D37</f>
        <v>7000</v>
      </c>
      <c r="G37" s="235">
        <f>G36*$D37</f>
        <v>14000</v>
      </c>
      <c r="H37" s="221"/>
      <c r="I37" s="221"/>
      <c r="J37" s="222"/>
      <c r="K37" s="234">
        <f>K36*$D37</f>
        <v>7000</v>
      </c>
      <c r="L37" s="235">
        <f>L36*$D37</f>
        <v>14000</v>
      </c>
      <c r="M37" s="221"/>
      <c r="N37" s="221"/>
      <c r="O37" s="222"/>
      <c r="P37" s="161"/>
      <c r="Q37" s="161"/>
      <c r="R37" s="234"/>
      <c r="S37" s="235"/>
      <c r="T37" s="221"/>
      <c r="U37" s="221"/>
      <c r="V37" s="222"/>
      <c r="W37" s="234"/>
      <c r="X37" s="235"/>
      <c r="Y37" s="221"/>
      <c r="Z37" s="221"/>
      <c r="AA37" s="222"/>
      <c r="AB37" s="162"/>
      <c r="AC37" s="162"/>
      <c r="AD37" s="234"/>
      <c r="AE37" s="235"/>
      <c r="AF37" s="221"/>
      <c r="AG37" s="221"/>
      <c r="AH37" s="222"/>
      <c r="AI37" s="162"/>
      <c r="AJ37" s="162"/>
      <c r="AK37" s="254">
        <f t="shared" si="4"/>
        <v>14000</v>
      </c>
      <c r="AL37" s="104">
        <f t="shared" si="4"/>
        <v>28000</v>
      </c>
      <c r="AM37" s="255">
        <f t="shared" si="4"/>
        <v>0</v>
      </c>
      <c r="AN37" s="255">
        <f t="shared" si="4"/>
        <v>0</v>
      </c>
      <c r="AO37" s="256">
        <f t="shared" si="4"/>
        <v>0</v>
      </c>
    </row>
    <row r="38" spans="1:41" s="96" customFormat="1" outlineLevel="1">
      <c r="A38" s="328"/>
      <c r="B38" s="329" t="s">
        <v>107</v>
      </c>
      <c r="C38" s="96" t="s">
        <v>116</v>
      </c>
      <c r="D38" s="96" t="s">
        <v>0</v>
      </c>
      <c r="E38" s="171"/>
      <c r="F38" s="220">
        <v>0.02</v>
      </c>
      <c r="G38" s="221">
        <v>0.04</v>
      </c>
      <c r="H38" s="221"/>
      <c r="I38" s="221"/>
      <c r="J38" s="222"/>
      <c r="K38" s="220">
        <v>0.02</v>
      </c>
      <c r="L38" s="221">
        <v>0.04</v>
      </c>
      <c r="M38" s="221"/>
      <c r="N38" s="221"/>
      <c r="O38" s="222"/>
      <c r="P38" s="161"/>
      <c r="Q38" s="161"/>
      <c r="R38" s="220"/>
      <c r="S38" s="221"/>
      <c r="T38" s="221"/>
      <c r="U38" s="221"/>
      <c r="V38" s="222"/>
      <c r="W38" s="220"/>
      <c r="X38" s="221"/>
      <c r="Y38" s="221"/>
      <c r="Z38" s="221"/>
      <c r="AA38" s="222"/>
      <c r="AB38" s="162"/>
      <c r="AC38" s="162"/>
      <c r="AD38" s="220"/>
      <c r="AE38" s="221"/>
      <c r="AF38" s="221"/>
      <c r="AG38" s="221"/>
      <c r="AH38" s="222"/>
      <c r="AI38" s="162"/>
      <c r="AJ38" s="162"/>
      <c r="AK38" s="126">
        <f t="shared" si="4"/>
        <v>0.04</v>
      </c>
      <c r="AL38" s="105">
        <f t="shared" si="4"/>
        <v>0.08</v>
      </c>
      <c r="AM38" s="105">
        <f t="shared" si="4"/>
        <v>0</v>
      </c>
      <c r="AN38" s="105">
        <f t="shared" si="4"/>
        <v>0</v>
      </c>
      <c r="AO38" s="127">
        <f t="shared" si="4"/>
        <v>0</v>
      </c>
    </row>
    <row r="39" spans="1:41" s="96" customFormat="1" outlineLevel="1">
      <c r="A39" s="328"/>
      <c r="B39" s="329"/>
      <c r="C39" s="257" t="s">
        <v>167</v>
      </c>
      <c r="D39" s="239"/>
      <c r="E39" s="200"/>
      <c r="F39" s="258">
        <f>F38*$D39</f>
        <v>0</v>
      </c>
      <c r="G39" s="259">
        <f>G38*$D39</f>
        <v>0</v>
      </c>
      <c r="H39" s="229"/>
      <c r="I39" s="229"/>
      <c r="J39" s="230"/>
      <c r="K39" s="258">
        <f>K38*$D39</f>
        <v>0</v>
      </c>
      <c r="L39" s="259">
        <f>L38*$D39</f>
        <v>0</v>
      </c>
      <c r="M39" s="229"/>
      <c r="N39" s="229"/>
      <c r="O39" s="230"/>
      <c r="P39" s="185"/>
      <c r="Q39" s="185"/>
      <c r="R39" s="258"/>
      <c r="S39" s="259"/>
      <c r="T39" s="229"/>
      <c r="U39" s="229"/>
      <c r="V39" s="230"/>
      <c r="W39" s="258"/>
      <c r="X39" s="259"/>
      <c r="Y39" s="229"/>
      <c r="Z39" s="229"/>
      <c r="AA39" s="230"/>
      <c r="AB39" s="200"/>
      <c r="AC39" s="200"/>
      <c r="AD39" s="258"/>
      <c r="AE39" s="259"/>
      <c r="AF39" s="229"/>
      <c r="AG39" s="229"/>
      <c r="AH39" s="230"/>
      <c r="AI39" s="200"/>
      <c r="AJ39" s="200"/>
      <c r="AK39" s="260">
        <f t="shared" si="4"/>
        <v>0</v>
      </c>
      <c r="AL39" s="261">
        <f t="shared" si="4"/>
        <v>0</v>
      </c>
      <c r="AM39" s="262">
        <f t="shared" si="4"/>
        <v>0</v>
      </c>
      <c r="AN39" s="262">
        <f t="shared" si="4"/>
        <v>0</v>
      </c>
      <c r="AO39" s="263">
        <f t="shared" si="4"/>
        <v>0</v>
      </c>
    </row>
    <row r="40" spans="1:41" s="96" customFormat="1" ht="15">
      <c r="A40" s="330" t="s">
        <v>136</v>
      </c>
      <c r="B40" s="331"/>
      <c r="C40" s="331"/>
      <c r="D40" s="331"/>
      <c r="E40" s="332"/>
      <c r="F40" s="260">
        <f t="shared" ref="F40:O40" si="5">F37+F39</f>
        <v>7000</v>
      </c>
      <c r="G40" s="261">
        <f t="shared" si="5"/>
        <v>14000</v>
      </c>
      <c r="H40" s="261">
        <f t="shared" si="5"/>
        <v>0</v>
      </c>
      <c r="I40" s="261">
        <f t="shared" si="5"/>
        <v>0</v>
      </c>
      <c r="J40" s="261">
        <f t="shared" si="5"/>
        <v>0</v>
      </c>
      <c r="K40" s="260">
        <f t="shared" si="5"/>
        <v>7000</v>
      </c>
      <c r="L40" s="261">
        <f t="shared" si="5"/>
        <v>14000</v>
      </c>
      <c r="M40" s="261">
        <f t="shared" si="5"/>
        <v>0</v>
      </c>
      <c r="N40" s="261">
        <f t="shared" si="5"/>
        <v>0</v>
      </c>
      <c r="O40" s="261">
        <f t="shared" si="5"/>
        <v>0</v>
      </c>
      <c r="P40" s="185"/>
      <c r="Q40" s="185"/>
      <c r="R40" s="260">
        <f t="shared" ref="R40:AA40" si="6">R37+R39</f>
        <v>0</v>
      </c>
      <c r="S40" s="261">
        <f t="shared" si="6"/>
        <v>0</v>
      </c>
      <c r="T40" s="261">
        <f t="shared" si="6"/>
        <v>0</v>
      </c>
      <c r="U40" s="261">
        <f t="shared" si="6"/>
        <v>0</v>
      </c>
      <c r="V40" s="261">
        <f t="shared" si="6"/>
        <v>0</v>
      </c>
      <c r="W40" s="260">
        <f t="shared" si="6"/>
        <v>0</v>
      </c>
      <c r="X40" s="261">
        <f t="shared" si="6"/>
        <v>0</v>
      </c>
      <c r="Y40" s="261">
        <f t="shared" si="6"/>
        <v>0</v>
      </c>
      <c r="Z40" s="261">
        <f t="shared" si="6"/>
        <v>0</v>
      </c>
      <c r="AA40" s="261">
        <f t="shared" si="6"/>
        <v>0</v>
      </c>
      <c r="AB40" s="162"/>
      <c r="AC40" s="162"/>
      <c r="AD40" s="260">
        <f>AD37+AD39</f>
        <v>0</v>
      </c>
      <c r="AE40" s="261">
        <f>AE37+AE39</f>
        <v>0</v>
      </c>
      <c r="AF40" s="261">
        <f>AF37+AF39</f>
        <v>0</v>
      </c>
      <c r="AG40" s="261">
        <f>AG37+AG39</f>
        <v>0</v>
      </c>
      <c r="AH40" s="261">
        <f>AH37+AH39</f>
        <v>0</v>
      </c>
      <c r="AI40" s="162"/>
      <c r="AJ40" s="162"/>
      <c r="AK40" s="260">
        <f>AK37+AK39</f>
        <v>14000</v>
      </c>
      <c r="AL40" s="261">
        <f>AL37+AL39</f>
        <v>28000</v>
      </c>
      <c r="AM40" s="261">
        <f>AM37+AM39</f>
        <v>0</v>
      </c>
      <c r="AN40" s="261">
        <f>AN37+AN39</f>
        <v>0</v>
      </c>
      <c r="AO40" s="264">
        <f>AO37+AO39</f>
        <v>0</v>
      </c>
    </row>
    <row r="41" spans="1:41">
      <c r="E41" s="162"/>
      <c r="F41" s="63"/>
      <c r="G41" s="65"/>
      <c r="H41" s="65"/>
      <c r="I41" s="65"/>
      <c r="J41" s="65"/>
      <c r="K41" s="63"/>
      <c r="L41" s="65"/>
      <c r="M41" s="65"/>
      <c r="N41" s="65"/>
      <c r="O41" s="64"/>
      <c r="P41" s="161"/>
      <c r="Q41" s="161"/>
      <c r="R41" s="63"/>
      <c r="S41" s="65"/>
      <c r="T41" s="65"/>
      <c r="U41" s="65"/>
      <c r="V41" s="64"/>
      <c r="W41" s="63"/>
      <c r="X41" s="65"/>
      <c r="AA41" s="62"/>
      <c r="AB41" s="162"/>
      <c r="AC41" s="162"/>
      <c r="AD41" s="61"/>
      <c r="AH41" s="62"/>
      <c r="AI41" s="162"/>
      <c r="AJ41" s="162"/>
      <c r="AK41" s="61"/>
      <c r="AO41" s="62"/>
    </row>
    <row r="42" spans="1:41" s="107" customFormat="1" outlineLevel="1">
      <c r="A42" s="318" t="s">
        <v>179</v>
      </c>
      <c r="B42" s="319" t="s">
        <v>37</v>
      </c>
      <c r="C42" s="265" t="s">
        <v>116</v>
      </c>
      <c r="D42" s="265" t="s">
        <v>0</v>
      </c>
      <c r="E42" s="187"/>
      <c r="F42" s="248"/>
      <c r="G42" s="249"/>
      <c r="H42" s="249"/>
      <c r="I42" s="249"/>
      <c r="J42" s="249"/>
      <c r="K42" s="248"/>
      <c r="L42" s="249"/>
      <c r="M42" s="249"/>
      <c r="N42" s="249"/>
      <c r="O42" s="249"/>
      <c r="P42" s="181"/>
      <c r="Q42" s="181"/>
      <c r="R42" s="248">
        <v>1</v>
      </c>
      <c r="S42" s="249"/>
      <c r="T42" s="249"/>
      <c r="U42" s="249"/>
      <c r="V42" s="249"/>
      <c r="W42" s="248">
        <v>0.75</v>
      </c>
      <c r="X42" s="249"/>
      <c r="Y42" s="249"/>
      <c r="Z42" s="249"/>
      <c r="AA42" s="249"/>
      <c r="AB42" s="187"/>
      <c r="AC42" s="187"/>
      <c r="AD42" s="248"/>
      <c r="AE42" s="249"/>
      <c r="AF42" s="249"/>
      <c r="AG42" s="249"/>
      <c r="AH42" s="250"/>
      <c r="AI42" s="187"/>
      <c r="AJ42" s="187"/>
      <c r="AK42" s="266">
        <f t="shared" ref="AK42:AO43" si="7">F42+K42+R42+W42+AD42</f>
        <v>1.75</v>
      </c>
      <c r="AL42" s="267">
        <f t="shared" si="7"/>
        <v>0</v>
      </c>
      <c r="AM42" s="267">
        <f t="shared" si="7"/>
        <v>0</v>
      </c>
      <c r="AN42" s="267">
        <f t="shared" si="7"/>
        <v>0</v>
      </c>
      <c r="AO42" s="267">
        <f t="shared" si="7"/>
        <v>0</v>
      </c>
    </row>
    <row r="43" spans="1:41" s="107" customFormat="1" outlineLevel="1">
      <c r="A43" s="319"/>
      <c r="B43" s="319"/>
      <c r="C43" s="107" t="s">
        <v>167</v>
      </c>
      <c r="D43" s="233">
        <v>350000</v>
      </c>
      <c r="E43" s="162"/>
      <c r="F43" s="234">
        <f t="shared" ref="F43:O43" si="8">F42*$D43</f>
        <v>0</v>
      </c>
      <c r="G43" s="235">
        <f t="shared" si="8"/>
        <v>0</v>
      </c>
      <c r="H43" s="235">
        <f t="shared" si="8"/>
        <v>0</v>
      </c>
      <c r="I43" s="235">
        <f t="shared" si="8"/>
        <v>0</v>
      </c>
      <c r="J43" s="245">
        <f t="shared" si="8"/>
        <v>0</v>
      </c>
      <c r="K43" s="234">
        <f t="shared" si="8"/>
        <v>0</v>
      </c>
      <c r="L43" s="235">
        <f t="shared" si="8"/>
        <v>0</v>
      </c>
      <c r="M43" s="235">
        <f t="shared" si="8"/>
        <v>0</v>
      </c>
      <c r="N43" s="235">
        <f t="shared" si="8"/>
        <v>0</v>
      </c>
      <c r="O43" s="245">
        <f t="shared" si="8"/>
        <v>0</v>
      </c>
      <c r="P43" s="161"/>
      <c r="Q43" s="161"/>
      <c r="R43" s="234">
        <f t="shared" ref="R43:AA43" si="9">R42*$D43</f>
        <v>350000</v>
      </c>
      <c r="S43" s="235">
        <f t="shared" si="9"/>
        <v>0</v>
      </c>
      <c r="T43" s="235">
        <f t="shared" si="9"/>
        <v>0</v>
      </c>
      <c r="U43" s="235">
        <f t="shared" si="9"/>
        <v>0</v>
      </c>
      <c r="V43" s="245">
        <f t="shared" si="9"/>
        <v>0</v>
      </c>
      <c r="W43" s="234">
        <f t="shared" si="9"/>
        <v>262500</v>
      </c>
      <c r="X43" s="235">
        <f t="shared" si="9"/>
        <v>0</v>
      </c>
      <c r="Y43" s="235">
        <f t="shared" si="9"/>
        <v>0</v>
      </c>
      <c r="Z43" s="235">
        <f t="shared" si="9"/>
        <v>0</v>
      </c>
      <c r="AA43" s="245">
        <f t="shared" si="9"/>
        <v>0</v>
      </c>
      <c r="AB43" s="162"/>
      <c r="AC43" s="162"/>
      <c r="AD43" s="258">
        <f>AD42*$D43</f>
        <v>0</v>
      </c>
      <c r="AE43" s="259">
        <f>AE42*$D43</f>
        <v>0</v>
      </c>
      <c r="AF43" s="259">
        <f>AF42*$D43</f>
        <v>0</v>
      </c>
      <c r="AG43" s="259">
        <f>AG42*$D43</f>
        <v>0</v>
      </c>
      <c r="AH43" s="268">
        <f>AH42*$D43</f>
        <v>0</v>
      </c>
      <c r="AI43" s="162"/>
      <c r="AJ43" s="162"/>
      <c r="AK43" s="133">
        <f t="shared" si="7"/>
        <v>612500</v>
      </c>
      <c r="AL43" s="134">
        <f t="shared" si="7"/>
        <v>0</v>
      </c>
      <c r="AM43" s="134">
        <f t="shared" si="7"/>
        <v>0</v>
      </c>
      <c r="AN43" s="134">
        <f t="shared" si="7"/>
        <v>0</v>
      </c>
      <c r="AO43" s="269">
        <f t="shared" si="7"/>
        <v>0</v>
      </c>
    </row>
    <row r="44" spans="1:41" s="107" customFormat="1" ht="15">
      <c r="A44" s="320" t="s">
        <v>136</v>
      </c>
      <c r="B44" s="321"/>
      <c r="C44" s="321"/>
      <c r="D44" s="321"/>
      <c r="E44" s="322"/>
      <c r="F44" s="135">
        <f t="shared" ref="F44:O44" si="10">F43</f>
        <v>0</v>
      </c>
      <c r="G44" s="112">
        <f t="shared" si="10"/>
        <v>0</v>
      </c>
      <c r="H44" s="112">
        <f t="shared" si="10"/>
        <v>0</v>
      </c>
      <c r="I44" s="112">
        <f t="shared" si="10"/>
        <v>0</v>
      </c>
      <c r="J44" s="112">
        <f t="shared" si="10"/>
        <v>0</v>
      </c>
      <c r="K44" s="135">
        <f t="shared" si="10"/>
        <v>0</v>
      </c>
      <c r="L44" s="112">
        <f t="shared" si="10"/>
        <v>0</v>
      </c>
      <c r="M44" s="112">
        <f t="shared" si="10"/>
        <v>0</v>
      </c>
      <c r="N44" s="112">
        <f t="shared" si="10"/>
        <v>0</v>
      </c>
      <c r="O44" s="112">
        <f t="shared" si="10"/>
        <v>0</v>
      </c>
      <c r="P44" s="163"/>
      <c r="Q44" s="163"/>
      <c r="R44" s="135">
        <f t="shared" ref="R44:AA44" si="11">R43</f>
        <v>350000</v>
      </c>
      <c r="S44" s="112">
        <f t="shared" si="11"/>
        <v>0</v>
      </c>
      <c r="T44" s="112">
        <f t="shared" si="11"/>
        <v>0</v>
      </c>
      <c r="U44" s="112">
        <f t="shared" si="11"/>
        <v>0</v>
      </c>
      <c r="V44" s="112">
        <f t="shared" si="11"/>
        <v>0</v>
      </c>
      <c r="W44" s="135">
        <f t="shared" si="11"/>
        <v>262500</v>
      </c>
      <c r="X44" s="112">
        <f t="shared" si="11"/>
        <v>0</v>
      </c>
      <c r="Y44" s="112">
        <f t="shared" si="11"/>
        <v>0</v>
      </c>
      <c r="Z44" s="112">
        <f t="shared" si="11"/>
        <v>0</v>
      </c>
      <c r="AA44" s="112">
        <f t="shared" si="11"/>
        <v>0</v>
      </c>
      <c r="AB44" s="162"/>
      <c r="AC44" s="162"/>
      <c r="AD44" s="135">
        <f>AD43</f>
        <v>0</v>
      </c>
      <c r="AE44" s="112">
        <f>AE43</f>
        <v>0</v>
      </c>
      <c r="AF44" s="112">
        <f>AF43</f>
        <v>0</v>
      </c>
      <c r="AG44" s="112">
        <f>AG43</f>
        <v>0</v>
      </c>
      <c r="AH44" s="112">
        <f>AH43</f>
        <v>0</v>
      </c>
      <c r="AI44" s="162"/>
      <c r="AJ44" s="162"/>
      <c r="AK44" s="135">
        <f>AK43</f>
        <v>612500</v>
      </c>
      <c r="AL44" s="112">
        <f>AL43</f>
        <v>0</v>
      </c>
      <c r="AM44" s="112">
        <f>AM43</f>
        <v>0</v>
      </c>
      <c r="AN44" s="112">
        <f>AN43</f>
        <v>0</v>
      </c>
      <c r="AO44" s="112">
        <f>AO43</f>
        <v>0</v>
      </c>
    </row>
    <row r="45" spans="1:41">
      <c r="E45" s="162"/>
      <c r="F45" s="136"/>
      <c r="G45" s="106"/>
      <c r="H45" s="65"/>
      <c r="I45" s="65"/>
      <c r="J45" s="65"/>
      <c r="K45" s="63"/>
      <c r="L45" s="65"/>
      <c r="M45" s="65"/>
      <c r="N45" s="65"/>
      <c r="O45" s="64"/>
      <c r="P45" s="161"/>
      <c r="Q45" s="161"/>
      <c r="R45" s="63"/>
      <c r="S45" s="65"/>
      <c r="T45" s="65"/>
      <c r="U45" s="65"/>
      <c r="V45" s="64"/>
      <c r="W45" s="63"/>
      <c r="X45" s="65"/>
      <c r="AA45" s="62"/>
      <c r="AB45" s="162"/>
      <c r="AC45" s="162"/>
      <c r="AD45" s="61"/>
      <c r="AH45" s="62"/>
      <c r="AI45" s="162"/>
      <c r="AJ45" s="162"/>
      <c r="AK45" s="61"/>
      <c r="AO45" s="62"/>
    </row>
    <row r="46" spans="1:41" s="278" customFormat="1" outlineLevel="1">
      <c r="A46" s="323" t="s">
        <v>180</v>
      </c>
      <c r="B46" s="244" t="s">
        <v>119</v>
      </c>
      <c r="C46" s="270" t="s">
        <v>122</v>
      </c>
      <c r="D46" s="271">
        <v>3000</v>
      </c>
      <c r="E46" s="187"/>
      <c r="F46" s="272">
        <f t="shared" ref="F46:O47" si="12">$D46*F6</f>
        <v>9000</v>
      </c>
      <c r="G46" s="273">
        <f t="shared" si="12"/>
        <v>9000</v>
      </c>
      <c r="H46" s="273">
        <f t="shared" si="12"/>
        <v>9000</v>
      </c>
      <c r="I46" s="273">
        <f t="shared" si="12"/>
        <v>9000</v>
      </c>
      <c r="J46" s="273">
        <f t="shared" si="12"/>
        <v>9000</v>
      </c>
      <c r="K46" s="272">
        <f t="shared" si="12"/>
        <v>18000</v>
      </c>
      <c r="L46" s="273">
        <f t="shared" si="12"/>
        <v>18000</v>
      </c>
      <c r="M46" s="273">
        <f t="shared" si="12"/>
        <v>18000</v>
      </c>
      <c r="N46" s="273">
        <f t="shared" si="12"/>
        <v>18000</v>
      </c>
      <c r="O46" s="273">
        <f t="shared" si="12"/>
        <v>18000</v>
      </c>
      <c r="P46" s="187"/>
      <c r="Q46" s="187"/>
      <c r="R46" s="272">
        <f t="shared" ref="R46:AA47" si="13">$D46*R6</f>
        <v>0</v>
      </c>
      <c r="S46" s="273">
        <f t="shared" si="13"/>
        <v>0</v>
      </c>
      <c r="T46" s="273">
        <f t="shared" si="13"/>
        <v>0</v>
      </c>
      <c r="U46" s="273">
        <f t="shared" si="13"/>
        <v>0</v>
      </c>
      <c r="V46" s="273">
        <f t="shared" si="13"/>
        <v>0</v>
      </c>
      <c r="W46" s="272">
        <f t="shared" si="13"/>
        <v>0</v>
      </c>
      <c r="X46" s="273">
        <f t="shared" si="13"/>
        <v>0</v>
      </c>
      <c r="Y46" s="273">
        <f t="shared" si="13"/>
        <v>0</v>
      </c>
      <c r="Z46" s="273">
        <f t="shared" si="13"/>
        <v>0</v>
      </c>
      <c r="AA46" s="273">
        <f t="shared" si="13"/>
        <v>0</v>
      </c>
      <c r="AB46" s="187"/>
      <c r="AC46" s="187"/>
      <c r="AD46" s="272">
        <f t="shared" ref="AD46:AH47" si="14">$D46*AD6</f>
        <v>0</v>
      </c>
      <c r="AE46" s="273">
        <f t="shared" si="14"/>
        <v>0</v>
      </c>
      <c r="AF46" s="273">
        <f t="shared" si="14"/>
        <v>0</v>
      </c>
      <c r="AG46" s="273">
        <f t="shared" si="14"/>
        <v>0</v>
      </c>
      <c r="AH46" s="274">
        <f t="shared" si="14"/>
        <v>0</v>
      </c>
      <c r="AI46" s="187"/>
      <c r="AJ46" s="187"/>
      <c r="AK46" s="275">
        <f t="shared" ref="AK46:AO50" si="15">F46+K46+R46+W46+AD46</f>
        <v>27000</v>
      </c>
      <c r="AL46" s="276">
        <f t="shared" si="15"/>
        <v>27000</v>
      </c>
      <c r="AM46" s="276">
        <f t="shared" si="15"/>
        <v>27000</v>
      </c>
      <c r="AN46" s="276">
        <f t="shared" si="15"/>
        <v>27000</v>
      </c>
      <c r="AO46" s="277">
        <f t="shared" si="15"/>
        <v>27000</v>
      </c>
    </row>
    <row r="47" spans="1:41" s="116" customFormat="1" outlineLevel="1">
      <c r="A47" s="324"/>
      <c r="B47" s="244" t="s">
        <v>120</v>
      </c>
      <c r="C47" s="218" t="s">
        <v>121</v>
      </c>
      <c r="D47" s="279">
        <v>50</v>
      </c>
      <c r="E47" s="172"/>
      <c r="F47" s="238">
        <f t="shared" si="12"/>
        <v>5000</v>
      </c>
      <c r="G47" s="236">
        <f t="shared" si="12"/>
        <v>6000</v>
      </c>
      <c r="H47" s="236">
        <f t="shared" si="12"/>
        <v>7000</v>
      </c>
      <c r="I47" s="236">
        <f t="shared" si="12"/>
        <v>8000</v>
      </c>
      <c r="J47" s="236">
        <f t="shared" si="12"/>
        <v>10000</v>
      </c>
      <c r="K47" s="238">
        <f t="shared" si="12"/>
        <v>1000</v>
      </c>
      <c r="L47" s="236">
        <f t="shared" si="12"/>
        <v>1100</v>
      </c>
      <c r="M47" s="236">
        <f t="shared" si="12"/>
        <v>1200</v>
      </c>
      <c r="N47" s="236">
        <f t="shared" si="12"/>
        <v>1300</v>
      </c>
      <c r="O47" s="236">
        <f t="shared" si="12"/>
        <v>1500</v>
      </c>
      <c r="P47" s="162"/>
      <c r="Q47" s="162"/>
      <c r="R47" s="238">
        <f t="shared" si="13"/>
        <v>0</v>
      </c>
      <c r="S47" s="236">
        <f t="shared" si="13"/>
        <v>0</v>
      </c>
      <c r="T47" s="236">
        <f t="shared" si="13"/>
        <v>0</v>
      </c>
      <c r="U47" s="236">
        <f t="shared" si="13"/>
        <v>0</v>
      </c>
      <c r="V47" s="236">
        <f t="shared" si="13"/>
        <v>0</v>
      </c>
      <c r="W47" s="238">
        <f t="shared" si="13"/>
        <v>0</v>
      </c>
      <c r="X47" s="236">
        <f t="shared" si="13"/>
        <v>0</v>
      </c>
      <c r="Y47" s="236">
        <f t="shared" si="13"/>
        <v>0</v>
      </c>
      <c r="Z47" s="236">
        <f t="shared" si="13"/>
        <v>0</v>
      </c>
      <c r="AA47" s="236">
        <f t="shared" si="13"/>
        <v>0</v>
      </c>
      <c r="AB47" s="162"/>
      <c r="AC47" s="162"/>
      <c r="AD47" s="238">
        <f t="shared" si="14"/>
        <v>0</v>
      </c>
      <c r="AE47" s="236">
        <f t="shared" si="14"/>
        <v>0</v>
      </c>
      <c r="AF47" s="236">
        <f t="shared" si="14"/>
        <v>0</v>
      </c>
      <c r="AG47" s="236">
        <f t="shared" si="14"/>
        <v>0</v>
      </c>
      <c r="AH47" s="237">
        <f t="shared" si="14"/>
        <v>0</v>
      </c>
      <c r="AI47" s="162"/>
      <c r="AJ47" s="162"/>
      <c r="AK47" s="139">
        <f t="shared" si="15"/>
        <v>6000</v>
      </c>
      <c r="AL47" s="140">
        <f t="shared" si="15"/>
        <v>7100</v>
      </c>
      <c r="AM47" s="140">
        <f t="shared" si="15"/>
        <v>8200</v>
      </c>
      <c r="AN47" s="140">
        <f t="shared" si="15"/>
        <v>9300</v>
      </c>
      <c r="AO47" s="141">
        <f t="shared" si="15"/>
        <v>11500</v>
      </c>
    </row>
    <row r="48" spans="1:41" s="116" customFormat="1" outlineLevel="1">
      <c r="A48" s="324"/>
      <c r="B48" s="244" t="s">
        <v>181</v>
      </c>
      <c r="C48" s="218"/>
      <c r="D48" s="223"/>
      <c r="E48" s="172"/>
      <c r="F48" s="238"/>
      <c r="G48" s="236"/>
      <c r="H48" s="236"/>
      <c r="I48" s="236"/>
      <c r="J48" s="236"/>
      <c r="K48" s="238"/>
      <c r="L48" s="236"/>
      <c r="M48" s="236"/>
      <c r="N48" s="236"/>
      <c r="O48" s="236"/>
      <c r="P48" s="162"/>
      <c r="Q48" s="162"/>
      <c r="R48" s="238"/>
      <c r="S48" s="236"/>
      <c r="T48" s="236"/>
      <c r="U48" s="236"/>
      <c r="V48" s="236"/>
      <c r="W48" s="238"/>
      <c r="X48" s="236"/>
      <c r="Y48" s="236"/>
      <c r="Z48" s="236"/>
      <c r="AA48" s="236"/>
      <c r="AB48" s="162"/>
      <c r="AC48" s="162"/>
      <c r="AD48" s="238"/>
      <c r="AE48" s="236"/>
      <c r="AF48" s="236"/>
      <c r="AG48" s="236"/>
      <c r="AH48" s="237"/>
      <c r="AI48" s="162"/>
      <c r="AJ48" s="162"/>
      <c r="AK48" s="139">
        <f t="shared" si="15"/>
        <v>0</v>
      </c>
      <c r="AL48" s="140">
        <f t="shared" si="15"/>
        <v>0</v>
      </c>
      <c r="AM48" s="140">
        <f t="shared" si="15"/>
        <v>0</v>
      </c>
      <c r="AN48" s="140">
        <f t="shared" si="15"/>
        <v>0</v>
      </c>
      <c r="AO48" s="141">
        <f t="shared" si="15"/>
        <v>0</v>
      </c>
    </row>
    <row r="49" spans="1:41" s="116" customFormat="1" outlineLevel="1">
      <c r="A49" s="324"/>
      <c r="B49" s="244" t="s">
        <v>182</v>
      </c>
      <c r="C49" s="218"/>
      <c r="D49" s="223"/>
      <c r="E49" s="172"/>
      <c r="F49" s="238"/>
      <c r="G49" s="236"/>
      <c r="H49" s="236"/>
      <c r="I49" s="236"/>
      <c r="J49" s="236"/>
      <c r="K49" s="238"/>
      <c r="L49" s="236"/>
      <c r="M49" s="236"/>
      <c r="N49" s="236"/>
      <c r="O49" s="236"/>
      <c r="P49" s="162"/>
      <c r="Q49" s="162"/>
      <c r="R49" s="238"/>
      <c r="S49" s="236"/>
      <c r="T49" s="236"/>
      <c r="U49" s="236"/>
      <c r="V49" s="236"/>
      <c r="W49" s="238"/>
      <c r="X49" s="236"/>
      <c r="Y49" s="236"/>
      <c r="Z49" s="236"/>
      <c r="AA49" s="236"/>
      <c r="AB49" s="162"/>
      <c r="AC49" s="162"/>
      <c r="AD49" s="238"/>
      <c r="AE49" s="236"/>
      <c r="AF49" s="236"/>
      <c r="AG49" s="236"/>
      <c r="AH49" s="237"/>
      <c r="AI49" s="162"/>
      <c r="AJ49" s="162"/>
      <c r="AK49" s="139">
        <f t="shared" si="15"/>
        <v>0</v>
      </c>
      <c r="AL49" s="140">
        <f t="shared" si="15"/>
        <v>0</v>
      </c>
      <c r="AM49" s="140">
        <f t="shared" si="15"/>
        <v>0</v>
      </c>
      <c r="AN49" s="140">
        <f t="shared" si="15"/>
        <v>0</v>
      </c>
      <c r="AO49" s="141">
        <f t="shared" si="15"/>
        <v>0</v>
      </c>
    </row>
    <row r="50" spans="1:41" s="116" customFormat="1" outlineLevel="1">
      <c r="A50" s="324"/>
      <c r="B50" s="280" t="s">
        <v>183</v>
      </c>
      <c r="C50" s="226"/>
      <c r="D50" s="231"/>
      <c r="E50" s="172"/>
      <c r="F50" s="238"/>
      <c r="G50" s="236"/>
      <c r="H50" s="236"/>
      <c r="I50" s="236"/>
      <c r="J50" s="236"/>
      <c r="K50" s="238"/>
      <c r="L50" s="236"/>
      <c r="M50" s="236"/>
      <c r="N50" s="236"/>
      <c r="O50" s="236"/>
      <c r="P50" s="162"/>
      <c r="Q50" s="162"/>
      <c r="R50" s="238"/>
      <c r="S50" s="236"/>
      <c r="T50" s="236"/>
      <c r="U50" s="236"/>
      <c r="V50" s="236"/>
      <c r="W50" s="238"/>
      <c r="X50" s="236"/>
      <c r="Y50" s="236"/>
      <c r="Z50" s="236"/>
      <c r="AA50" s="236"/>
      <c r="AB50" s="162"/>
      <c r="AC50" s="162"/>
      <c r="AD50" s="281"/>
      <c r="AE50" s="239"/>
      <c r="AF50" s="239"/>
      <c r="AG50" s="239"/>
      <c r="AH50" s="282"/>
      <c r="AI50" s="162"/>
      <c r="AJ50" s="162"/>
      <c r="AK50" s="139">
        <f t="shared" si="15"/>
        <v>0</v>
      </c>
      <c r="AL50" s="140">
        <f t="shared" si="15"/>
        <v>0</v>
      </c>
      <c r="AM50" s="140">
        <f t="shared" si="15"/>
        <v>0</v>
      </c>
      <c r="AN50" s="140">
        <f t="shared" si="15"/>
        <v>0</v>
      </c>
      <c r="AO50" s="141">
        <f t="shared" si="15"/>
        <v>0</v>
      </c>
    </row>
    <row r="51" spans="1:41" s="285" customFormat="1" ht="15">
      <c r="A51" s="325" t="s">
        <v>136</v>
      </c>
      <c r="B51" s="326"/>
      <c r="C51" s="326"/>
      <c r="D51" s="326"/>
      <c r="E51" s="327"/>
      <c r="F51" s="283">
        <f t="shared" ref="F51:O51" si="16">SUM(F46:F50)</f>
        <v>14000</v>
      </c>
      <c r="G51" s="284">
        <f t="shared" si="16"/>
        <v>15000</v>
      </c>
      <c r="H51" s="284">
        <f t="shared" si="16"/>
        <v>16000</v>
      </c>
      <c r="I51" s="284">
        <f t="shared" si="16"/>
        <v>17000</v>
      </c>
      <c r="J51" s="284">
        <f t="shared" si="16"/>
        <v>19000</v>
      </c>
      <c r="K51" s="283">
        <f t="shared" si="16"/>
        <v>19000</v>
      </c>
      <c r="L51" s="284">
        <f t="shared" si="16"/>
        <v>19100</v>
      </c>
      <c r="M51" s="284">
        <f t="shared" si="16"/>
        <v>19200</v>
      </c>
      <c r="N51" s="284">
        <f t="shared" si="16"/>
        <v>19300</v>
      </c>
      <c r="O51" s="284">
        <f t="shared" si="16"/>
        <v>19500</v>
      </c>
      <c r="P51" s="164"/>
      <c r="Q51" s="164"/>
      <c r="R51" s="283">
        <f t="shared" ref="R51:AA51" si="17">SUM(R46:R50)</f>
        <v>0</v>
      </c>
      <c r="S51" s="284">
        <f t="shared" si="17"/>
        <v>0</v>
      </c>
      <c r="T51" s="284">
        <f t="shared" si="17"/>
        <v>0</v>
      </c>
      <c r="U51" s="284">
        <f t="shared" si="17"/>
        <v>0</v>
      </c>
      <c r="V51" s="284">
        <f t="shared" si="17"/>
        <v>0</v>
      </c>
      <c r="W51" s="283">
        <f t="shared" si="17"/>
        <v>0</v>
      </c>
      <c r="X51" s="284">
        <f t="shared" si="17"/>
        <v>0</v>
      </c>
      <c r="Y51" s="284">
        <f t="shared" si="17"/>
        <v>0</v>
      </c>
      <c r="Z51" s="284">
        <f t="shared" si="17"/>
        <v>0</v>
      </c>
      <c r="AA51" s="284">
        <f t="shared" si="17"/>
        <v>0</v>
      </c>
      <c r="AB51" s="164"/>
      <c r="AC51" s="164"/>
      <c r="AD51" s="283">
        <f>SUM(AD46:AD50)</f>
        <v>0</v>
      </c>
      <c r="AE51" s="284">
        <f>SUM(AE46:AE50)</f>
        <v>0</v>
      </c>
      <c r="AF51" s="284">
        <f>SUM(AF46:AF50)</f>
        <v>0</v>
      </c>
      <c r="AG51" s="284">
        <f>SUM(AG46:AG50)</f>
        <v>0</v>
      </c>
      <c r="AH51" s="284">
        <f>SUM(AH46:AH50)</f>
        <v>0</v>
      </c>
      <c r="AI51" s="164"/>
      <c r="AJ51" s="164"/>
      <c r="AK51" s="283">
        <f>SUM(AK46:AK50)</f>
        <v>33000</v>
      </c>
      <c r="AL51" s="284">
        <f>SUM(AL46:AL50)</f>
        <v>34100</v>
      </c>
      <c r="AM51" s="284">
        <f>SUM(AM46:AM50)</f>
        <v>35200</v>
      </c>
      <c r="AN51" s="284">
        <f>SUM(AN46:AN50)</f>
        <v>36300</v>
      </c>
      <c r="AO51" s="284">
        <f>SUM(AO46:AO50)</f>
        <v>38500</v>
      </c>
    </row>
    <row r="52" spans="1:41">
      <c r="E52" s="162"/>
      <c r="F52" s="66"/>
      <c r="G52" s="46"/>
      <c r="H52" s="46"/>
      <c r="I52" s="46"/>
      <c r="J52" s="46"/>
      <c r="K52" s="66"/>
      <c r="L52" s="46"/>
      <c r="M52" s="46"/>
      <c r="N52" s="46"/>
      <c r="O52" s="142"/>
      <c r="P52" s="162"/>
      <c r="Q52" s="162"/>
      <c r="R52" s="61"/>
      <c r="V52" s="62"/>
      <c r="W52" s="61"/>
      <c r="AA52" s="62"/>
      <c r="AB52" s="162"/>
      <c r="AC52" s="162"/>
      <c r="AD52" s="61"/>
      <c r="AH52" s="62"/>
      <c r="AI52" s="162"/>
      <c r="AJ52" s="162"/>
      <c r="AK52" s="61"/>
      <c r="AO52" s="62"/>
    </row>
    <row r="53" spans="1:41" s="292" customFormat="1" ht="14.25" customHeight="1" outlineLevel="1">
      <c r="A53" s="314" t="s">
        <v>184</v>
      </c>
      <c r="B53" s="286" t="s">
        <v>153</v>
      </c>
      <c r="C53" s="287" t="s">
        <v>132</v>
      </c>
      <c r="D53" s="288">
        <v>100</v>
      </c>
      <c r="E53" s="187"/>
      <c r="F53" s="272">
        <f t="shared" ref="F53:O53" si="18">$D$53*F5*F9</f>
        <v>600</v>
      </c>
      <c r="G53" s="273">
        <f t="shared" si="18"/>
        <v>525</v>
      </c>
      <c r="H53" s="273">
        <f t="shared" si="18"/>
        <v>530</v>
      </c>
      <c r="I53" s="273">
        <f t="shared" si="18"/>
        <v>321</v>
      </c>
      <c r="J53" s="274">
        <f t="shared" si="18"/>
        <v>327</v>
      </c>
      <c r="K53" s="272">
        <f t="shared" si="18"/>
        <v>500</v>
      </c>
      <c r="L53" s="273">
        <f t="shared" si="18"/>
        <v>525</v>
      </c>
      <c r="M53" s="273">
        <f t="shared" si="18"/>
        <v>530</v>
      </c>
      <c r="N53" s="273">
        <f t="shared" si="18"/>
        <v>535</v>
      </c>
      <c r="O53" s="274">
        <f t="shared" si="18"/>
        <v>545</v>
      </c>
      <c r="P53" s="187"/>
      <c r="Q53" s="187"/>
      <c r="R53" s="272">
        <f t="shared" ref="R53:AA53" si="19">$D$53*R5*R9</f>
        <v>0</v>
      </c>
      <c r="S53" s="273">
        <f t="shared" si="19"/>
        <v>0</v>
      </c>
      <c r="T53" s="273">
        <f t="shared" si="19"/>
        <v>0</v>
      </c>
      <c r="U53" s="273">
        <f t="shared" si="19"/>
        <v>0</v>
      </c>
      <c r="V53" s="274">
        <f t="shared" si="19"/>
        <v>0</v>
      </c>
      <c r="W53" s="272">
        <f t="shared" si="19"/>
        <v>0</v>
      </c>
      <c r="X53" s="273">
        <f t="shared" si="19"/>
        <v>0</v>
      </c>
      <c r="Y53" s="273">
        <f t="shared" si="19"/>
        <v>0</v>
      </c>
      <c r="Z53" s="273">
        <f t="shared" si="19"/>
        <v>0</v>
      </c>
      <c r="AA53" s="274">
        <f t="shared" si="19"/>
        <v>0</v>
      </c>
      <c r="AB53" s="187"/>
      <c r="AC53" s="187"/>
      <c r="AD53" s="272">
        <f>$D$53*AD5*AD9</f>
        <v>0</v>
      </c>
      <c r="AE53" s="273">
        <f>$D$53*AE5*AE9</f>
        <v>0</v>
      </c>
      <c r="AF53" s="273">
        <f>$D$53*AF5*AF9</f>
        <v>0</v>
      </c>
      <c r="AG53" s="273">
        <f>$D$53*AG5*AG9</f>
        <v>0</v>
      </c>
      <c r="AH53" s="274">
        <f>$D$53*AH5*AH9</f>
        <v>0</v>
      </c>
      <c r="AI53" s="187"/>
      <c r="AJ53" s="187"/>
      <c r="AK53" s="289">
        <f t="shared" ref="AK53:AO58" si="20">F53+K53+R53+W53+AD53</f>
        <v>1100</v>
      </c>
      <c r="AL53" s="290">
        <f t="shared" si="20"/>
        <v>1050</v>
      </c>
      <c r="AM53" s="290">
        <f t="shared" si="20"/>
        <v>1060</v>
      </c>
      <c r="AN53" s="290">
        <f t="shared" si="20"/>
        <v>856</v>
      </c>
      <c r="AO53" s="291">
        <f t="shared" si="20"/>
        <v>872</v>
      </c>
    </row>
    <row r="54" spans="1:41" outlineLevel="1">
      <c r="A54" s="315"/>
      <c r="B54" s="286" t="s">
        <v>154</v>
      </c>
      <c r="C54" s="219" t="s">
        <v>132</v>
      </c>
      <c r="D54" s="233">
        <v>2000</v>
      </c>
      <c r="E54" s="162"/>
      <c r="F54" s="238">
        <f t="shared" ref="F54:O54" si="21">$D$54*F5*F9</f>
        <v>12000</v>
      </c>
      <c r="G54" s="236">
        <f t="shared" si="21"/>
        <v>10500</v>
      </c>
      <c r="H54" s="236">
        <f t="shared" si="21"/>
        <v>10600</v>
      </c>
      <c r="I54" s="236">
        <f t="shared" si="21"/>
        <v>6420</v>
      </c>
      <c r="J54" s="237">
        <f t="shared" si="21"/>
        <v>6540.0000000000009</v>
      </c>
      <c r="K54" s="238">
        <f t="shared" si="21"/>
        <v>10000</v>
      </c>
      <c r="L54" s="236">
        <f t="shared" si="21"/>
        <v>10500</v>
      </c>
      <c r="M54" s="236">
        <f t="shared" si="21"/>
        <v>10600</v>
      </c>
      <c r="N54" s="236">
        <f t="shared" si="21"/>
        <v>10700</v>
      </c>
      <c r="O54" s="237">
        <f t="shared" si="21"/>
        <v>10900</v>
      </c>
      <c r="P54" s="162"/>
      <c r="Q54" s="162"/>
      <c r="R54" s="238">
        <f t="shared" ref="R54:AA54" si="22">$D$54*R5*R9</f>
        <v>0</v>
      </c>
      <c r="S54" s="236">
        <f t="shared" si="22"/>
        <v>0</v>
      </c>
      <c r="T54" s="236">
        <f t="shared" si="22"/>
        <v>0</v>
      </c>
      <c r="U54" s="236">
        <f t="shared" si="22"/>
        <v>0</v>
      </c>
      <c r="V54" s="237">
        <f t="shared" si="22"/>
        <v>0</v>
      </c>
      <c r="W54" s="238">
        <f t="shared" si="22"/>
        <v>0</v>
      </c>
      <c r="X54" s="236">
        <f t="shared" si="22"/>
        <v>0</v>
      </c>
      <c r="Y54" s="236">
        <f t="shared" si="22"/>
        <v>0</v>
      </c>
      <c r="Z54" s="236">
        <f t="shared" si="22"/>
        <v>0</v>
      </c>
      <c r="AA54" s="237">
        <f t="shared" si="22"/>
        <v>0</v>
      </c>
      <c r="AB54" s="162"/>
      <c r="AC54" s="162"/>
      <c r="AD54" s="238">
        <f>$D$54*AD5*AD9</f>
        <v>0</v>
      </c>
      <c r="AE54" s="236">
        <f>$D$54*AE5*AE9</f>
        <v>0</v>
      </c>
      <c r="AF54" s="236">
        <f>$D$54*AF5*AF9</f>
        <v>0</v>
      </c>
      <c r="AG54" s="236">
        <f>$D$54*AG5*AG9</f>
        <v>0</v>
      </c>
      <c r="AH54" s="237">
        <f>$D$54*AH5*AH9</f>
        <v>0</v>
      </c>
      <c r="AI54" s="162"/>
      <c r="AJ54" s="162"/>
      <c r="AK54" s="66">
        <f t="shared" si="20"/>
        <v>22000</v>
      </c>
      <c r="AL54" s="46">
        <f t="shared" si="20"/>
        <v>21000</v>
      </c>
      <c r="AM54" s="46">
        <f t="shared" si="20"/>
        <v>21200</v>
      </c>
      <c r="AN54" s="46">
        <f t="shared" si="20"/>
        <v>17120</v>
      </c>
      <c r="AO54" s="142">
        <f t="shared" si="20"/>
        <v>17440</v>
      </c>
    </row>
    <row r="55" spans="1:41" outlineLevel="1">
      <c r="A55" s="315"/>
      <c r="B55" s="286" t="s">
        <v>155</v>
      </c>
      <c r="C55" s="219" t="s">
        <v>132</v>
      </c>
      <c r="D55" s="233">
        <v>5000</v>
      </c>
      <c r="E55" s="162"/>
      <c r="F55" s="238">
        <f t="shared" ref="F55:O55" si="23">$D$55*F5*F9</f>
        <v>30000</v>
      </c>
      <c r="G55" s="236">
        <f t="shared" si="23"/>
        <v>26250</v>
      </c>
      <c r="H55" s="236">
        <f t="shared" si="23"/>
        <v>26500</v>
      </c>
      <c r="I55" s="236">
        <f t="shared" si="23"/>
        <v>16050.000000000002</v>
      </c>
      <c r="J55" s="237">
        <f t="shared" si="23"/>
        <v>16350.000000000002</v>
      </c>
      <c r="K55" s="238">
        <f t="shared" si="23"/>
        <v>25000</v>
      </c>
      <c r="L55" s="236">
        <f t="shared" si="23"/>
        <v>26250</v>
      </c>
      <c r="M55" s="236">
        <f t="shared" si="23"/>
        <v>26500</v>
      </c>
      <c r="N55" s="236">
        <f t="shared" si="23"/>
        <v>26750</v>
      </c>
      <c r="O55" s="237">
        <f t="shared" si="23"/>
        <v>27250.000000000004</v>
      </c>
      <c r="P55" s="162"/>
      <c r="Q55" s="162"/>
      <c r="R55" s="238">
        <f t="shared" ref="R55:AA55" si="24">$D$55*R5*R9</f>
        <v>0</v>
      </c>
      <c r="S55" s="236">
        <f t="shared" si="24"/>
        <v>0</v>
      </c>
      <c r="T55" s="236">
        <f t="shared" si="24"/>
        <v>0</v>
      </c>
      <c r="U55" s="236">
        <f t="shared" si="24"/>
        <v>0</v>
      </c>
      <c r="V55" s="237">
        <f t="shared" si="24"/>
        <v>0</v>
      </c>
      <c r="W55" s="238">
        <f t="shared" si="24"/>
        <v>0</v>
      </c>
      <c r="X55" s="236">
        <f t="shared" si="24"/>
        <v>0</v>
      </c>
      <c r="Y55" s="236">
        <f t="shared" si="24"/>
        <v>0</v>
      </c>
      <c r="Z55" s="236">
        <f t="shared" si="24"/>
        <v>0</v>
      </c>
      <c r="AA55" s="237">
        <f t="shared" si="24"/>
        <v>0</v>
      </c>
      <c r="AB55" s="162"/>
      <c r="AC55" s="162"/>
      <c r="AD55" s="238">
        <f>$D$55*AD5*AD9</f>
        <v>0</v>
      </c>
      <c r="AE55" s="236">
        <f>$D$55*AE5*AE9</f>
        <v>0</v>
      </c>
      <c r="AF55" s="236">
        <f>$D$55*AF5*AF9</f>
        <v>0</v>
      </c>
      <c r="AG55" s="236">
        <f>$D$55*AG5*AG9</f>
        <v>0</v>
      </c>
      <c r="AH55" s="237">
        <f>$D$55*AH5*AH9</f>
        <v>0</v>
      </c>
      <c r="AI55" s="162"/>
      <c r="AJ55" s="162"/>
      <c r="AK55" s="66">
        <f t="shared" si="20"/>
        <v>55000</v>
      </c>
      <c r="AL55" s="46">
        <f t="shared" si="20"/>
        <v>52500</v>
      </c>
      <c r="AM55" s="46">
        <f t="shared" si="20"/>
        <v>53000</v>
      </c>
      <c r="AN55" s="46">
        <f t="shared" si="20"/>
        <v>42800</v>
      </c>
      <c r="AO55" s="142">
        <f t="shared" si="20"/>
        <v>43600.000000000007</v>
      </c>
    </row>
    <row r="56" spans="1:41" outlineLevel="1">
      <c r="A56" s="315"/>
      <c r="B56" s="286" t="s">
        <v>143</v>
      </c>
      <c r="C56" s="219" t="s">
        <v>145</v>
      </c>
      <c r="D56" s="233">
        <v>15000</v>
      </c>
      <c r="E56" s="162"/>
      <c r="F56" s="238">
        <f>D56*F9</f>
        <v>15000</v>
      </c>
      <c r="G56" s="236">
        <f>F56*G9</f>
        <v>15750</v>
      </c>
      <c r="H56" s="236">
        <f>G56*H9</f>
        <v>16695</v>
      </c>
      <c r="I56" s="236">
        <f>H56*I9</f>
        <v>17863.650000000001</v>
      </c>
      <c r="J56" s="237">
        <f>I56*J9</f>
        <v>19471.378500000003</v>
      </c>
      <c r="K56" s="238">
        <f>I56*K9</f>
        <v>17863.650000000001</v>
      </c>
      <c r="L56" s="236">
        <f>K56*L9</f>
        <v>18756.832500000004</v>
      </c>
      <c r="M56" s="236">
        <f>L56*M9</f>
        <v>19882.242450000005</v>
      </c>
      <c r="N56" s="236">
        <f>M56*N9</f>
        <v>21273.999421500008</v>
      </c>
      <c r="O56" s="237">
        <f>N56*O9</f>
        <v>23188.659369435009</v>
      </c>
      <c r="P56" s="162"/>
      <c r="Q56" s="162"/>
      <c r="R56" s="238">
        <f>P56*R9</f>
        <v>0</v>
      </c>
      <c r="S56" s="236">
        <f>R56*S9</f>
        <v>0</v>
      </c>
      <c r="T56" s="236">
        <f>S56*T9</f>
        <v>0</v>
      </c>
      <c r="U56" s="236">
        <f>T56*U9</f>
        <v>0</v>
      </c>
      <c r="V56" s="237">
        <f>U56*V9</f>
        <v>0</v>
      </c>
      <c r="W56" s="238">
        <f>U56*W9</f>
        <v>0</v>
      </c>
      <c r="X56" s="236">
        <f>W56*X9</f>
        <v>0</v>
      </c>
      <c r="Y56" s="236">
        <f>X56*Y9</f>
        <v>0</v>
      </c>
      <c r="Z56" s="236">
        <f>Y56*Z9</f>
        <v>0</v>
      </c>
      <c r="AA56" s="237">
        <f>Z56*AA9</f>
        <v>0</v>
      </c>
      <c r="AB56" s="162"/>
      <c r="AC56" s="162"/>
      <c r="AD56" s="238">
        <f>AB56*AD9</f>
        <v>0</v>
      </c>
      <c r="AE56" s="236">
        <f>AD56*AE9</f>
        <v>0</v>
      </c>
      <c r="AF56" s="236">
        <f>AE56*AF9</f>
        <v>0</v>
      </c>
      <c r="AG56" s="236">
        <f>AF56*AG9</f>
        <v>0</v>
      </c>
      <c r="AH56" s="237">
        <f>AG56*AH9</f>
        <v>0</v>
      </c>
      <c r="AI56" s="162"/>
      <c r="AJ56" s="162"/>
      <c r="AK56" s="66">
        <f t="shared" si="20"/>
        <v>32863.65</v>
      </c>
      <c r="AL56" s="46">
        <f t="shared" si="20"/>
        <v>34506.832500000004</v>
      </c>
      <c r="AM56" s="46">
        <f t="shared" si="20"/>
        <v>36577.242450000005</v>
      </c>
      <c r="AN56" s="46">
        <f t="shared" si="20"/>
        <v>39137.649421500013</v>
      </c>
      <c r="AO56" s="142">
        <f t="shared" si="20"/>
        <v>42660.037869435007</v>
      </c>
    </row>
    <row r="57" spans="1:41" outlineLevel="1">
      <c r="A57" s="315"/>
      <c r="B57" s="286" t="s">
        <v>156</v>
      </c>
      <c r="C57" s="219" t="s">
        <v>157</v>
      </c>
      <c r="D57" s="233">
        <f>120*5500</f>
        <v>660000</v>
      </c>
      <c r="E57" s="171"/>
      <c r="F57" s="238">
        <f>D57</f>
        <v>660000</v>
      </c>
      <c r="G57" s="236"/>
      <c r="H57" s="236"/>
      <c r="I57" s="236"/>
      <c r="J57" s="237"/>
      <c r="K57" s="238"/>
      <c r="L57" s="236"/>
      <c r="M57" s="236"/>
      <c r="N57" s="236"/>
      <c r="O57" s="237"/>
      <c r="P57" s="162"/>
      <c r="Q57" s="162"/>
      <c r="R57" s="238"/>
      <c r="S57" s="236"/>
      <c r="T57" s="236"/>
      <c r="U57" s="236"/>
      <c r="V57" s="237"/>
      <c r="W57" s="238"/>
      <c r="X57" s="236"/>
      <c r="Y57" s="236"/>
      <c r="Z57" s="236"/>
      <c r="AA57" s="237"/>
      <c r="AB57" s="162"/>
      <c r="AC57" s="162"/>
      <c r="AD57" s="238"/>
      <c r="AE57" s="236"/>
      <c r="AF57" s="236"/>
      <c r="AG57" s="236"/>
      <c r="AH57" s="237"/>
      <c r="AI57" s="162"/>
      <c r="AJ57" s="162"/>
      <c r="AK57" s="66">
        <f t="shared" si="20"/>
        <v>660000</v>
      </c>
      <c r="AL57" s="46">
        <f t="shared" si="20"/>
        <v>0</v>
      </c>
      <c r="AM57" s="46">
        <f t="shared" si="20"/>
        <v>0</v>
      </c>
      <c r="AN57" s="46">
        <f t="shared" si="20"/>
        <v>0</v>
      </c>
      <c r="AO57" s="142">
        <f t="shared" si="20"/>
        <v>0</v>
      </c>
    </row>
    <row r="58" spans="1:41" s="296" customFormat="1" outlineLevel="1">
      <c r="A58" s="315"/>
      <c r="B58" s="286"/>
      <c r="C58" s="227"/>
      <c r="D58" s="227"/>
      <c r="E58" s="200"/>
      <c r="F58" s="226"/>
      <c r="G58" s="227"/>
      <c r="H58" s="227"/>
      <c r="I58" s="227"/>
      <c r="J58" s="231"/>
      <c r="K58" s="226"/>
      <c r="L58" s="227"/>
      <c r="M58" s="227"/>
      <c r="N58" s="227"/>
      <c r="O58" s="231"/>
      <c r="P58" s="200"/>
      <c r="Q58" s="200"/>
      <c r="R58" s="226"/>
      <c r="S58" s="227"/>
      <c r="T58" s="227"/>
      <c r="U58" s="227"/>
      <c r="V58" s="231"/>
      <c r="W58" s="226"/>
      <c r="X58" s="227"/>
      <c r="Y58" s="227"/>
      <c r="Z58" s="227"/>
      <c r="AA58" s="231"/>
      <c r="AB58" s="200"/>
      <c r="AC58" s="200"/>
      <c r="AD58" s="226"/>
      <c r="AE58" s="227"/>
      <c r="AF58" s="227"/>
      <c r="AG58" s="227"/>
      <c r="AH58" s="231"/>
      <c r="AI58" s="200"/>
      <c r="AJ58" s="200"/>
      <c r="AK58" s="293">
        <f t="shared" si="20"/>
        <v>0</v>
      </c>
      <c r="AL58" s="294">
        <f t="shared" si="20"/>
        <v>0</v>
      </c>
      <c r="AM58" s="294">
        <f t="shared" si="20"/>
        <v>0</v>
      </c>
      <c r="AN58" s="294">
        <f t="shared" si="20"/>
        <v>0</v>
      </c>
      <c r="AO58" s="295">
        <f t="shared" si="20"/>
        <v>0</v>
      </c>
    </row>
    <row r="59" spans="1:41" s="60" customFormat="1" ht="15">
      <c r="A59" s="349" t="s">
        <v>136</v>
      </c>
      <c r="B59" s="350"/>
      <c r="C59" s="350"/>
      <c r="D59" s="350"/>
      <c r="E59" s="351"/>
      <c r="F59" s="293">
        <f t="shared" ref="F59:O59" si="25">SUM(F53:F57)</f>
        <v>717600</v>
      </c>
      <c r="G59" s="294">
        <f t="shared" si="25"/>
        <v>53025</v>
      </c>
      <c r="H59" s="294">
        <f t="shared" si="25"/>
        <v>54325</v>
      </c>
      <c r="I59" s="294">
        <f t="shared" si="25"/>
        <v>40654.65</v>
      </c>
      <c r="J59" s="294">
        <f t="shared" si="25"/>
        <v>42688.378500000006</v>
      </c>
      <c r="K59" s="143">
        <f t="shared" si="25"/>
        <v>53363.65</v>
      </c>
      <c r="L59" s="117">
        <f t="shared" si="25"/>
        <v>56031.832500000004</v>
      </c>
      <c r="M59" s="117">
        <f t="shared" si="25"/>
        <v>57512.242450000005</v>
      </c>
      <c r="N59" s="117">
        <f t="shared" si="25"/>
        <v>59258.999421500004</v>
      </c>
      <c r="O59" s="297">
        <f t="shared" si="25"/>
        <v>61883.659369435009</v>
      </c>
      <c r="P59" s="164"/>
      <c r="Q59" s="164"/>
      <c r="R59" s="143">
        <f t="shared" ref="R59:AA59" si="26">SUM(R53:R57)</f>
        <v>0</v>
      </c>
      <c r="S59" s="117">
        <f t="shared" si="26"/>
        <v>0</v>
      </c>
      <c r="T59" s="117">
        <f t="shared" si="26"/>
        <v>0</v>
      </c>
      <c r="U59" s="117">
        <f t="shared" si="26"/>
        <v>0</v>
      </c>
      <c r="V59" s="297">
        <f t="shared" si="26"/>
        <v>0</v>
      </c>
      <c r="W59" s="143">
        <f t="shared" si="26"/>
        <v>0</v>
      </c>
      <c r="X59" s="117">
        <f t="shared" si="26"/>
        <v>0</v>
      </c>
      <c r="Y59" s="117">
        <f t="shared" si="26"/>
        <v>0</v>
      </c>
      <c r="Z59" s="117">
        <f t="shared" si="26"/>
        <v>0</v>
      </c>
      <c r="AA59" s="297">
        <f t="shared" si="26"/>
        <v>0</v>
      </c>
      <c r="AB59" s="164"/>
      <c r="AC59" s="164"/>
      <c r="AD59" s="143">
        <f>SUM(AD53:AD57)</f>
        <v>0</v>
      </c>
      <c r="AE59" s="117">
        <f>SUM(AE53:AE57)</f>
        <v>0</v>
      </c>
      <c r="AF59" s="117">
        <f>SUM(AF53:AF57)</f>
        <v>0</v>
      </c>
      <c r="AG59" s="117">
        <f>SUM(AG53:AG57)</f>
        <v>0</v>
      </c>
      <c r="AH59" s="297">
        <f>SUM(AH53:AH57)</f>
        <v>0</v>
      </c>
      <c r="AI59" s="164"/>
      <c r="AJ59" s="164"/>
      <c r="AK59" s="143">
        <f>SUM(AK53:AK57)</f>
        <v>770963.65</v>
      </c>
      <c r="AL59" s="117">
        <f>SUM(AL53:AL57)</f>
        <v>109056.8325</v>
      </c>
      <c r="AM59" s="117">
        <f>SUM(AM53:AM57)</f>
        <v>111837.24245000001</v>
      </c>
      <c r="AN59" s="117">
        <f>SUM(AN53:AN57)</f>
        <v>99913.649421500013</v>
      </c>
      <c r="AO59" s="297">
        <f>SUM(AO53:AO57)</f>
        <v>104572.03786943501</v>
      </c>
    </row>
    <row r="60" spans="1:41">
      <c r="E60" s="162"/>
      <c r="F60" s="61"/>
      <c r="K60" s="61"/>
      <c r="O60" s="62"/>
      <c r="P60" s="162"/>
      <c r="Q60" s="162"/>
      <c r="R60" s="61"/>
      <c r="V60" s="62"/>
      <c r="W60" s="61"/>
      <c r="AA60" s="62"/>
      <c r="AB60" s="162"/>
      <c r="AC60" s="162"/>
      <c r="AD60" s="61"/>
      <c r="AH60" s="62"/>
      <c r="AI60" s="162"/>
      <c r="AJ60" s="162"/>
      <c r="AK60" s="61"/>
      <c r="AO60" s="62"/>
    </row>
    <row r="61" spans="1:41">
      <c r="E61" s="162"/>
      <c r="F61" s="61"/>
      <c r="K61" s="61"/>
      <c r="O61" s="62"/>
      <c r="P61" s="162"/>
      <c r="Q61" s="162"/>
      <c r="R61" s="61"/>
      <c r="V61" s="62"/>
      <c r="W61" s="61"/>
      <c r="AA61" s="62"/>
      <c r="AB61" s="162"/>
      <c r="AC61" s="162"/>
      <c r="AD61" s="61"/>
      <c r="AH61" s="62"/>
      <c r="AI61" s="162"/>
      <c r="AJ61" s="162"/>
      <c r="AK61" s="61"/>
      <c r="AO61" s="62"/>
    </row>
    <row r="62" spans="1:41">
      <c r="A62" t="s">
        <v>129</v>
      </c>
      <c r="E62" s="162"/>
      <c r="F62" s="61"/>
      <c r="K62" s="61"/>
      <c r="O62" s="62"/>
      <c r="P62" s="162"/>
      <c r="Q62" s="162"/>
      <c r="R62" s="61"/>
      <c r="V62" s="62"/>
      <c r="W62" s="61"/>
      <c r="AA62" s="62"/>
      <c r="AB62" s="162"/>
      <c r="AC62" s="162"/>
      <c r="AD62" s="61"/>
      <c r="AH62" s="62"/>
      <c r="AI62" s="162"/>
      <c r="AJ62" s="162"/>
      <c r="AK62" s="61"/>
      <c r="AO62" s="62"/>
    </row>
    <row r="63" spans="1:41" ht="15" thickBot="1">
      <c r="C63" t="s">
        <v>146</v>
      </c>
      <c r="D63">
        <v>1E-3</v>
      </c>
      <c r="E63" s="162"/>
      <c r="F63" s="61"/>
      <c r="K63" s="61"/>
      <c r="O63" s="62"/>
      <c r="P63" s="162"/>
      <c r="Q63" s="162"/>
      <c r="R63" s="61"/>
      <c r="V63" s="62"/>
      <c r="W63" s="61"/>
      <c r="AA63" s="62"/>
      <c r="AB63" s="162"/>
      <c r="AC63" s="162"/>
      <c r="AD63" s="61"/>
      <c r="AH63" s="62"/>
      <c r="AI63" s="162"/>
      <c r="AJ63" s="162"/>
      <c r="AK63" s="61"/>
      <c r="AO63" s="62"/>
    </row>
    <row r="64" spans="1:41" ht="15" thickBot="1">
      <c r="C64" t="s">
        <v>147</v>
      </c>
      <c r="D64" t="s">
        <v>110</v>
      </c>
      <c r="E64" s="162"/>
      <c r="F64" s="149">
        <f t="shared" ref="F64:O64" si="27">F59+F44+F40+F34+F17</f>
        <v>780600</v>
      </c>
      <c r="G64" s="150">
        <f t="shared" si="27"/>
        <v>350275</v>
      </c>
      <c r="H64" s="150">
        <f t="shared" si="27"/>
        <v>54325</v>
      </c>
      <c r="I64" s="150">
        <f t="shared" si="27"/>
        <v>40654.65</v>
      </c>
      <c r="J64" s="150">
        <f t="shared" si="27"/>
        <v>42688.378500000006</v>
      </c>
      <c r="K64" s="149">
        <f t="shared" si="27"/>
        <v>61363.65</v>
      </c>
      <c r="L64" s="150">
        <f t="shared" si="27"/>
        <v>70031.832500000004</v>
      </c>
      <c r="M64" s="150">
        <f t="shared" si="27"/>
        <v>57512.242450000005</v>
      </c>
      <c r="N64" s="150">
        <f t="shared" si="27"/>
        <v>59258.999421500004</v>
      </c>
      <c r="O64" s="150">
        <f t="shared" si="27"/>
        <v>61883.659369435009</v>
      </c>
      <c r="P64" s="162"/>
      <c r="Q64" s="162"/>
      <c r="R64" s="149">
        <f t="shared" ref="R64:AA64" si="28">R59+R44+R40+R34+R17</f>
        <v>681000.6</v>
      </c>
      <c r="S64" s="150">
        <f t="shared" si="28"/>
        <v>0</v>
      </c>
      <c r="T64" s="150">
        <f t="shared" si="28"/>
        <v>0</v>
      </c>
      <c r="U64" s="150">
        <f t="shared" si="28"/>
        <v>0</v>
      </c>
      <c r="V64" s="150">
        <f t="shared" si="28"/>
        <v>0</v>
      </c>
      <c r="W64" s="149">
        <f t="shared" si="28"/>
        <v>373500.2</v>
      </c>
      <c r="X64" s="150">
        <f t="shared" si="28"/>
        <v>0</v>
      </c>
      <c r="Y64" s="150">
        <f t="shared" si="28"/>
        <v>0</v>
      </c>
      <c r="Z64" s="150">
        <f t="shared" si="28"/>
        <v>0</v>
      </c>
      <c r="AA64" s="150">
        <f t="shared" si="28"/>
        <v>0</v>
      </c>
      <c r="AB64" s="162"/>
      <c r="AC64" s="162"/>
      <c r="AD64" s="149">
        <f>AD59+AD44+AD40+AD34+AD17</f>
        <v>111000.2</v>
      </c>
      <c r="AE64" s="150">
        <f>AE59+AE44+AE40+AE34+AE17</f>
        <v>0</v>
      </c>
      <c r="AF64" s="150">
        <f>AF59+AF44+AF40+AF34+AF17</f>
        <v>0</v>
      </c>
      <c r="AG64" s="150">
        <f>AG59+AG44+AG40+AG34+AG17</f>
        <v>0</v>
      </c>
      <c r="AH64" s="150">
        <f>AH59+AH44+AH40+AH34+AH17</f>
        <v>0</v>
      </c>
      <c r="AI64" s="162"/>
      <c r="AJ64" s="162"/>
      <c r="AK64" s="149">
        <f t="shared" ref="AK64:AO66" si="29">F64+K64+R64+W64+AD64</f>
        <v>2007464.65</v>
      </c>
      <c r="AL64" s="150">
        <f t="shared" si="29"/>
        <v>420306.83250000002</v>
      </c>
      <c r="AM64" s="150">
        <f t="shared" si="29"/>
        <v>111837.24245000001</v>
      </c>
      <c r="AN64" s="150">
        <f t="shared" si="29"/>
        <v>99913.649421500013</v>
      </c>
      <c r="AO64" s="150">
        <f t="shared" si="29"/>
        <v>104572.03786943501</v>
      </c>
    </row>
    <row r="65" spans="3:41" ht="15" thickBot="1">
      <c r="E65" s="162"/>
      <c r="F65" s="66">
        <f t="shared" ref="F65:O65" si="30">F64*$D$63</f>
        <v>780.6</v>
      </c>
      <c r="G65" s="46">
        <f t="shared" si="30"/>
        <v>350.27500000000003</v>
      </c>
      <c r="H65" s="46">
        <f t="shared" si="30"/>
        <v>54.325000000000003</v>
      </c>
      <c r="I65" s="46">
        <f t="shared" si="30"/>
        <v>40.654650000000004</v>
      </c>
      <c r="J65" s="46">
        <f t="shared" si="30"/>
        <v>42.688378500000006</v>
      </c>
      <c r="K65" s="66">
        <f t="shared" si="30"/>
        <v>61.36365</v>
      </c>
      <c r="L65" s="46">
        <f t="shared" si="30"/>
        <v>70.031832500000007</v>
      </c>
      <c r="M65" s="46">
        <f t="shared" si="30"/>
        <v>57.512242450000009</v>
      </c>
      <c r="N65" s="46">
        <f t="shared" si="30"/>
        <v>59.258999421500008</v>
      </c>
      <c r="O65" s="46">
        <f t="shared" si="30"/>
        <v>61.883659369435009</v>
      </c>
      <c r="P65" s="162"/>
      <c r="Q65" s="162"/>
      <c r="R65" s="66">
        <f t="shared" ref="R65:AA65" si="31">R64*$D$63</f>
        <v>681.00059999999996</v>
      </c>
      <c r="S65" s="46">
        <f t="shared" si="31"/>
        <v>0</v>
      </c>
      <c r="T65" s="46">
        <f t="shared" si="31"/>
        <v>0</v>
      </c>
      <c r="U65" s="46">
        <f t="shared" si="31"/>
        <v>0</v>
      </c>
      <c r="V65" s="46">
        <f t="shared" si="31"/>
        <v>0</v>
      </c>
      <c r="W65" s="66">
        <f t="shared" si="31"/>
        <v>373.50020000000001</v>
      </c>
      <c r="X65" s="46">
        <f t="shared" si="31"/>
        <v>0</v>
      </c>
      <c r="Y65" s="46">
        <f t="shared" si="31"/>
        <v>0</v>
      </c>
      <c r="Z65" s="46">
        <f t="shared" si="31"/>
        <v>0</v>
      </c>
      <c r="AA65" s="46">
        <f t="shared" si="31"/>
        <v>0</v>
      </c>
      <c r="AB65" s="162"/>
      <c r="AC65" s="162"/>
      <c r="AD65" s="66">
        <f>AD64*$D$63</f>
        <v>111.00019999999999</v>
      </c>
      <c r="AE65" s="46">
        <f>AE64*$D$63</f>
        <v>0</v>
      </c>
      <c r="AF65" s="46">
        <f>AF64*$D$63</f>
        <v>0</v>
      </c>
      <c r="AG65" s="46">
        <f>AG64*$D$63</f>
        <v>0</v>
      </c>
      <c r="AH65" s="46">
        <f>AH64*$D$63</f>
        <v>0</v>
      </c>
      <c r="AI65" s="162"/>
      <c r="AJ65" s="162"/>
      <c r="AK65" s="66">
        <f t="shared" si="29"/>
        <v>2007.4646499999999</v>
      </c>
      <c r="AL65" s="46">
        <f t="shared" si="29"/>
        <v>420.30683250000004</v>
      </c>
      <c r="AM65" s="46">
        <f t="shared" si="29"/>
        <v>111.83724245000002</v>
      </c>
      <c r="AN65" s="46">
        <f t="shared" si="29"/>
        <v>99.913649421500011</v>
      </c>
      <c r="AO65" s="46">
        <f t="shared" si="29"/>
        <v>104.57203786943501</v>
      </c>
    </row>
    <row r="66" spans="3:41" ht="15.75" thickBot="1">
      <c r="C66" t="s">
        <v>133</v>
      </c>
      <c r="E66" s="162"/>
      <c r="F66" s="152">
        <f t="shared" ref="F66:O66" si="32">F64+F65</f>
        <v>781380.6</v>
      </c>
      <c r="G66" s="153">
        <f t="shared" si="32"/>
        <v>350625.27500000002</v>
      </c>
      <c r="H66" s="153">
        <f t="shared" si="32"/>
        <v>54379.324999999997</v>
      </c>
      <c r="I66" s="153">
        <f t="shared" si="32"/>
        <v>40695.304649999998</v>
      </c>
      <c r="J66" s="153">
        <f t="shared" si="32"/>
        <v>42731.066878500009</v>
      </c>
      <c r="K66" s="152">
        <f t="shared" si="32"/>
        <v>61425.013650000001</v>
      </c>
      <c r="L66" s="153">
        <f t="shared" si="32"/>
        <v>70101.864332500001</v>
      </c>
      <c r="M66" s="153">
        <f t="shared" si="32"/>
        <v>57569.754692450006</v>
      </c>
      <c r="N66" s="153">
        <f t="shared" si="32"/>
        <v>59318.258420921506</v>
      </c>
      <c r="O66" s="153">
        <f t="shared" si="32"/>
        <v>61945.543028804444</v>
      </c>
      <c r="P66" s="162"/>
      <c r="Q66" s="162"/>
      <c r="R66" s="152">
        <f t="shared" ref="R66:AA66" si="33">R64+R65</f>
        <v>681681.60060000001</v>
      </c>
      <c r="S66" s="153">
        <f t="shared" si="33"/>
        <v>0</v>
      </c>
      <c r="T66" s="153">
        <f t="shared" si="33"/>
        <v>0</v>
      </c>
      <c r="U66" s="153">
        <f t="shared" si="33"/>
        <v>0</v>
      </c>
      <c r="V66" s="153">
        <f t="shared" si="33"/>
        <v>0</v>
      </c>
      <c r="W66" s="152">
        <f t="shared" si="33"/>
        <v>373873.70020000002</v>
      </c>
      <c r="X66" s="153">
        <f t="shared" si="33"/>
        <v>0</v>
      </c>
      <c r="Y66" s="153">
        <f t="shared" si="33"/>
        <v>0</v>
      </c>
      <c r="Z66" s="153">
        <f t="shared" si="33"/>
        <v>0</v>
      </c>
      <c r="AA66" s="153">
        <f t="shared" si="33"/>
        <v>0</v>
      </c>
      <c r="AB66" s="162"/>
      <c r="AC66" s="162"/>
      <c r="AD66" s="152">
        <f>AD64+AD65</f>
        <v>111111.20019999999</v>
      </c>
      <c r="AE66" s="153">
        <f>AE64+AE65</f>
        <v>0</v>
      </c>
      <c r="AF66" s="153">
        <f>AF64+AF65</f>
        <v>0</v>
      </c>
      <c r="AG66" s="153">
        <f>AG64+AG65</f>
        <v>0</v>
      </c>
      <c r="AH66" s="153">
        <f>AH64+AH65</f>
        <v>0</v>
      </c>
      <c r="AI66" s="162"/>
      <c r="AJ66" s="162"/>
      <c r="AK66" s="152">
        <f t="shared" si="29"/>
        <v>2009472.1146500001</v>
      </c>
      <c r="AL66" s="153">
        <f t="shared" si="29"/>
        <v>420727.13933250005</v>
      </c>
      <c r="AM66" s="153">
        <f t="shared" si="29"/>
        <v>111949.07969245</v>
      </c>
      <c r="AN66" s="153">
        <f t="shared" si="29"/>
        <v>100013.5630709215</v>
      </c>
      <c r="AO66" s="153">
        <f t="shared" si="29"/>
        <v>104676.60990730446</v>
      </c>
    </row>
  </sheetData>
  <mergeCells count="36">
    <mergeCell ref="C4:D4"/>
    <mergeCell ref="AK2:AO2"/>
    <mergeCell ref="F3:J3"/>
    <mergeCell ref="K3:O3"/>
    <mergeCell ref="R3:V3"/>
    <mergeCell ref="W3:AA3"/>
    <mergeCell ref="AD3:AH3"/>
    <mergeCell ref="AK3:AO3"/>
    <mergeCell ref="AD2:AH2"/>
    <mergeCell ref="A1:N1"/>
    <mergeCell ref="F2:J2"/>
    <mergeCell ref="K2:O2"/>
    <mergeCell ref="R2:V2"/>
    <mergeCell ref="W2:AA2"/>
    <mergeCell ref="A11:A16"/>
    <mergeCell ref="B11:B12"/>
    <mergeCell ref="B13:B14"/>
    <mergeCell ref="B15:B16"/>
    <mergeCell ref="A17:E17"/>
    <mergeCell ref="A19:A21"/>
    <mergeCell ref="A22:A24"/>
    <mergeCell ref="A25:A27"/>
    <mergeCell ref="A28:A30"/>
    <mergeCell ref="A31:A33"/>
    <mergeCell ref="A34:E34"/>
    <mergeCell ref="A36:A39"/>
    <mergeCell ref="B36:B37"/>
    <mergeCell ref="B38:B39"/>
    <mergeCell ref="A40:E40"/>
    <mergeCell ref="A53:A58"/>
    <mergeCell ref="A59:E59"/>
    <mergeCell ref="A42:A43"/>
    <mergeCell ref="B42:B43"/>
    <mergeCell ref="A44:E44"/>
    <mergeCell ref="A46:A50"/>
    <mergeCell ref="A51:E5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D2578-08C5-4DAA-A59C-68A59122FD3A}">
  <dimension ref="A1:AO71"/>
  <sheetViews>
    <sheetView topLeftCell="A4" workbookViewId="0">
      <selection activeCell="C19" sqref="C19"/>
    </sheetView>
  </sheetViews>
  <sheetFormatPr defaultRowHeight="14.25"/>
  <cols>
    <col min="1" max="1" width="15" bestFit="1" customWidth="1"/>
    <col min="2" max="2" width="18.375" bestFit="1" customWidth="1"/>
    <col min="3" max="3" width="19" bestFit="1" customWidth="1"/>
    <col min="4" max="4" width="13.75" bestFit="1" customWidth="1"/>
    <col min="5" max="5" width="8.75" bestFit="1" customWidth="1"/>
    <col min="6" max="10" width="13.75" bestFit="1" customWidth="1"/>
    <col min="11" max="15" width="11.125" bestFit="1" customWidth="1"/>
    <col min="17" max="17" width="18.625" bestFit="1" customWidth="1"/>
    <col min="18" max="18" width="12.125" bestFit="1" customWidth="1"/>
    <col min="19" max="22" width="4.375" bestFit="1" customWidth="1"/>
    <col min="23" max="23" width="11.125" bestFit="1" customWidth="1"/>
    <col min="24" max="27" width="4.375" bestFit="1" customWidth="1"/>
    <col min="29" max="29" width="10.375" bestFit="1" customWidth="1"/>
    <col min="30" max="34" width="4.375" bestFit="1" customWidth="1"/>
    <col min="36" max="36" width="7.25" bestFit="1" customWidth="1"/>
    <col min="37" max="41" width="4.375" bestFit="1" customWidth="1"/>
  </cols>
  <sheetData>
    <row r="1" spans="1:41" ht="78.75" customHeight="1">
      <c r="A1" s="316" t="s">
        <v>189</v>
      </c>
      <c r="B1" s="317"/>
      <c r="C1" s="317"/>
      <c r="D1" s="317"/>
      <c r="E1" s="317"/>
      <c r="F1" s="317"/>
      <c r="G1" s="317"/>
      <c r="H1" s="317"/>
      <c r="I1" s="317"/>
      <c r="J1" s="317"/>
      <c r="K1" s="317"/>
      <c r="L1" s="317"/>
      <c r="M1" s="317"/>
      <c r="N1" s="317"/>
    </row>
    <row r="2" spans="1:41" s="58" customFormat="1" ht="30">
      <c r="A2" s="162"/>
      <c r="B2" s="162"/>
      <c r="C2" s="162"/>
      <c r="D2" s="162"/>
      <c r="E2" s="201" t="s">
        <v>89</v>
      </c>
      <c r="F2" s="306" t="s">
        <v>96</v>
      </c>
      <c r="G2" s="307"/>
      <c r="H2" s="307"/>
      <c r="I2" s="307"/>
      <c r="J2" s="308"/>
      <c r="K2" s="306" t="s">
        <v>97</v>
      </c>
      <c r="L2" s="307"/>
      <c r="M2" s="307"/>
      <c r="N2" s="307"/>
      <c r="O2" s="308"/>
      <c r="P2" s="203"/>
      <c r="Q2" s="187" t="s">
        <v>101</v>
      </c>
      <c r="R2" s="306" t="s">
        <v>93</v>
      </c>
      <c r="S2" s="307"/>
      <c r="T2" s="307"/>
      <c r="U2" s="307"/>
      <c r="V2" s="308"/>
      <c r="W2" s="306" t="s">
        <v>95</v>
      </c>
      <c r="X2" s="307"/>
      <c r="Y2" s="307"/>
      <c r="Z2" s="307"/>
      <c r="AA2" s="308"/>
      <c r="AB2" s="182"/>
      <c r="AC2" s="187" t="s">
        <v>127</v>
      </c>
      <c r="AD2" s="306"/>
      <c r="AE2" s="307"/>
      <c r="AF2" s="307"/>
      <c r="AG2" s="307"/>
      <c r="AH2" s="308"/>
      <c r="AI2" s="162"/>
      <c r="AJ2" s="182" t="s">
        <v>29</v>
      </c>
      <c r="AK2" s="306"/>
      <c r="AL2" s="307"/>
      <c r="AM2" s="307"/>
      <c r="AN2" s="307"/>
      <c r="AO2" s="308"/>
    </row>
    <row r="3" spans="1:41" s="58" customFormat="1" ht="30">
      <c r="A3" s="162"/>
      <c r="B3" s="162"/>
      <c r="C3" s="162"/>
      <c r="D3" s="162"/>
      <c r="E3" s="202" t="s">
        <v>90</v>
      </c>
      <c r="F3" s="366" t="s">
        <v>91</v>
      </c>
      <c r="G3" s="367"/>
      <c r="H3" s="367"/>
      <c r="I3" s="367"/>
      <c r="J3" s="368"/>
      <c r="K3" s="366" t="s">
        <v>100</v>
      </c>
      <c r="L3" s="367"/>
      <c r="M3" s="367"/>
      <c r="N3" s="367"/>
      <c r="O3" s="368"/>
      <c r="P3" s="184"/>
      <c r="Q3" s="200" t="s">
        <v>102</v>
      </c>
      <c r="R3" s="366" t="s">
        <v>92</v>
      </c>
      <c r="S3" s="367"/>
      <c r="T3" s="367"/>
      <c r="U3" s="367"/>
      <c r="V3" s="368"/>
      <c r="W3" s="366" t="s">
        <v>94</v>
      </c>
      <c r="X3" s="367"/>
      <c r="Y3" s="367"/>
      <c r="Z3" s="367"/>
      <c r="AA3" s="368"/>
      <c r="AB3" s="204"/>
      <c r="AC3" s="200" t="s">
        <v>126</v>
      </c>
      <c r="AD3" s="366"/>
      <c r="AE3" s="367"/>
      <c r="AF3" s="367"/>
      <c r="AG3" s="367"/>
      <c r="AH3" s="368"/>
      <c r="AI3" s="162"/>
      <c r="AJ3" s="204" t="s">
        <v>128</v>
      </c>
      <c r="AK3" s="366"/>
      <c r="AL3" s="367"/>
      <c r="AM3" s="367"/>
      <c r="AN3" s="367"/>
      <c r="AO3" s="368"/>
    </row>
    <row r="4" spans="1:41" s="58" customFormat="1">
      <c r="A4" s="182"/>
      <c r="B4" s="187" t="s">
        <v>115</v>
      </c>
      <c r="C4" s="309" t="s">
        <v>98</v>
      </c>
      <c r="D4" s="365"/>
      <c r="E4" s="200"/>
      <c r="F4" s="184" t="s">
        <v>83</v>
      </c>
      <c r="G4" s="185" t="s">
        <v>84</v>
      </c>
      <c r="H4" s="185" t="s">
        <v>85</v>
      </c>
      <c r="I4" s="185" t="s">
        <v>86</v>
      </c>
      <c r="J4" s="186" t="s">
        <v>87</v>
      </c>
      <c r="K4" s="184" t="s">
        <v>83</v>
      </c>
      <c r="L4" s="185" t="s">
        <v>84</v>
      </c>
      <c r="M4" s="185" t="s">
        <v>85</v>
      </c>
      <c r="N4" s="185" t="s">
        <v>86</v>
      </c>
      <c r="O4" s="186" t="s">
        <v>87</v>
      </c>
      <c r="P4" s="161"/>
      <c r="Q4" s="161"/>
      <c r="R4" s="184" t="s">
        <v>83</v>
      </c>
      <c r="S4" s="185" t="s">
        <v>84</v>
      </c>
      <c r="T4" s="185" t="s">
        <v>85</v>
      </c>
      <c r="U4" s="185" t="s">
        <v>86</v>
      </c>
      <c r="V4" s="186" t="s">
        <v>87</v>
      </c>
      <c r="W4" s="184" t="s">
        <v>83</v>
      </c>
      <c r="X4" s="185" t="s">
        <v>84</v>
      </c>
      <c r="Y4" s="185" t="s">
        <v>85</v>
      </c>
      <c r="Z4" s="185" t="s">
        <v>86</v>
      </c>
      <c r="AA4" s="186" t="s">
        <v>87</v>
      </c>
      <c r="AB4" s="162"/>
      <c r="AC4" s="161"/>
      <c r="AD4" s="184" t="s">
        <v>83</v>
      </c>
      <c r="AE4" s="185" t="s">
        <v>84</v>
      </c>
      <c r="AF4" s="185" t="s">
        <v>85</v>
      </c>
      <c r="AG4" s="185" t="s">
        <v>86</v>
      </c>
      <c r="AH4" s="186" t="s">
        <v>87</v>
      </c>
      <c r="AI4" s="162"/>
      <c r="AJ4" s="161"/>
      <c r="AK4" s="184" t="s">
        <v>83</v>
      </c>
      <c r="AL4" s="185" t="s">
        <v>84</v>
      </c>
      <c r="AM4" s="185" t="s">
        <v>85</v>
      </c>
      <c r="AN4" s="185" t="s">
        <v>86</v>
      </c>
      <c r="AO4" s="186" t="s">
        <v>87</v>
      </c>
    </row>
    <row r="5" spans="1:41" s="58" customFormat="1">
      <c r="A5" s="144"/>
      <c r="C5" s="144" t="s">
        <v>117</v>
      </c>
      <c r="D5" s="145" t="s">
        <v>0</v>
      </c>
      <c r="E5" s="162"/>
      <c r="F5" s="146">
        <v>6</v>
      </c>
      <c r="G5" s="147">
        <v>5</v>
      </c>
      <c r="H5" s="147">
        <v>5</v>
      </c>
      <c r="I5" s="147">
        <v>3</v>
      </c>
      <c r="J5" s="148">
        <v>3</v>
      </c>
      <c r="K5" s="146">
        <v>5</v>
      </c>
      <c r="L5" s="147">
        <v>5</v>
      </c>
      <c r="M5" s="147">
        <v>5</v>
      </c>
      <c r="N5" s="147">
        <v>5</v>
      </c>
      <c r="O5" s="148">
        <v>5</v>
      </c>
      <c r="P5" s="161"/>
      <c r="Q5" s="161"/>
      <c r="R5" s="146"/>
      <c r="S5" s="147"/>
      <c r="T5" s="147"/>
      <c r="U5" s="147"/>
      <c r="V5" s="148"/>
      <c r="W5" s="146"/>
      <c r="X5" s="147"/>
      <c r="Y5" s="147"/>
      <c r="Z5" s="147"/>
      <c r="AA5" s="148"/>
      <c r="AB5" s="162"/>
      <c r="AC5" s="162"/>
      <c r="AD5" s="144"/>
      <c r="AH5" s="145"/>
      <c r="AI5" s="162"/>
      <c r="AJ5" s="162"/>
      <c r="AK5" s="144"/>
      <c r="AO5" s="145"/>
    </row>
    <row r="6" spans="1:41" s="58" customFormat="1">
      <c r="A6" s="144"/>
      <c r="C6" s="144" t="s">
        <v>118</v>
      </c>
      <c r="D6" s="145" t="s">
        <v>125</v>
      </c>
      <c r="E6" s="162"/>
      <c r="F6" s="146">
        <v>3</v>
      </c>
      <c r="G6" s="147">
        <v>3</v>
      </c>
      <c r="H6" s="147">
        <v>3</v>
      </c>
      <c r="I6" s="147">
        <v>3</v>
      </c>
      <c r="J6" s="148">
        <v>3</v>
      </c>
      <c r="K6" s="146">
        <v>6</v>
      </c>
      <c r="L6" s="147">
        <v>6</v>
      </c>
      <c r="M6" s="147">
        <v>6</v>
      </c>
      <c r="N6" s="147">
        <v>6</v>
      </c>
      <c r="O6" s="148">
        <v>6</v>
      </c>
      <c r="P6" s="161"/>
      <c r="Q6" s="161"/>
      <c r="R6" s="146"/>
      <c r="S6" s="147"/>
      <c r="T6" s="147"/>
      <c r="U6" s="147"/>
      <c r="V6" s="148"/>
      <c r="W6" s="146"/>
      <c r="X6" s="147"/>
      <c r="Y6" s="147"/>
      <c r="Z6" s="147"/>
      <c r="AA6" s="148"/>
      <c r="AB6" s="162"/>
      <c r="AC6" s="162"/>
      <c r="AD6" s="144"/>
      <c r="AH6" s="145"/>
      <c r="AI6" s="162"/>
      <c r="AJ6" s="162"/>
      <c r="AK6" s="144"/>
      <c r="AO6" s="145"/>
    </row>
    <row r="7" spans="1:41" s="58" customFormat="1">
      <c r="A7" s="144"/>
      <c r="C7" s="144" t="s">
        <v>123</v>
      </c>
      <c r="D7" s="145" t="s">
        <v>124</v>
      </c>
      <c r="E7" s="162"/>
      <c r="F7" s="146">
        <v>100</v>
      </c>
      <c r="G7" s="147">
        <v>120</v>
      </c>
      <c r="H7" s="147">
        <v>140</v>
      </c>
      <c r="I7" s="147">
        <v>160</v>
      </c>
      <c r="J7" s="148">
        <v>200</v>
      </c>
      <c r="K7" s="146">
        <v>20</v>
      </c>
      <c r="L7" s="147">
        <v>22</v>
      </c>
      <c r="M7" s="147">
        <v>24</v>
      </c>
      <c r="N7" s="147">
        <v>26</v>
      </c>
      <c r="O7" s="148">
        <v>30</v>
      </c>
      <c r="P7" s="161"/>
      <c r="Q7" s="161"/>
      <c r="R7" s="146"/>
      <c r="S7" s="147"/>
      <c r="T7" s="147"/>
      <c r="U7" s="147"/>
      <c r="V7" s="148"/>
      <c r="W7" s="146"/>
      <c r="X7" s="147"/>
      <c r="Y7" s="147"/>
      <c r="Z7" s="147"/>
      <c r="AA7" s="148"/>
      <c r="AB7" s="162"/>
      <c r="AC7" s="162"/>
      <c r="AD7" s="144"/>
      <c r="AH7" s="145"/>
      <c r="AI7" s="162"/>
      <c r="AJ7" s="162"/>
      <c r="AK7" s="144"/>
      <c r="AO7" s="145"/>
    </row>
    <row r="8" spans="1:41" s="58" customFormat="1">
      <c r="A8" s="144"/>
      <c r="C8" s="144" t="s">
        <v>135</v>
      </c>
      <c r="D8" s="145" t="s">
        <v>161</v>
      </c>
      <c r="E8" s="162"/>
      <c r="F8" s="146">
        <v>1</v>
      </c>
      <c r="G8" s="147">
        <v>1.03</v>
      </c>
      <c r="H8" s="147">
        <v>1.04</v>
      </c>
      <c r="I8" s="147">
        <v>1.04</v>
      </c>
      <c r="J8" s="148">
        <v>1.04</v>
      </c>
      <c r="K8" s="146">
        <v>1</v>
      </c>
      <c r="L8" s="147">
        <v>1.03</v>
      </c>
      <c r="M8" s="147">
        <v>1.04</v>
      </c>
      <c r="N8" s="147">
        <v>1.04</v>
      </c>
      <c r="O8" s="148">
        <v>1.04</v>
      </c>
      <c r="P8" s="161"/>
      <c r="Q8" s="161"/>
      <c r="R8" s="146"/>
      <c r="S8" s="147"/>
      <c r="T8" s="147"/>
      <c r="U8" s="147"/>
      <c r="V8" s="148"/>
      <c r="W8" s="146"/>
      <c r="X8" s="147"/>
      <c r="Y8" s="147"/>
      <c r="Z8" s="147"/>
      <c r="AA8" s="148"/>
      <c r="AB8" s="162"/>
      <c r="AC8" s="162"/>
      <c r="AD8" s="144"/>
      <c r="AH8" s="145"/>
      <c r="AI8" s="162"/>
      <c r="AJ8" s="162"/>
      <c r="AK8" s="144"/>
      <c r="AO8" s="145"/>
    </row>
    <row r="9" spans="1:41" s="58" customFormat="1">
      <c r="A9" s="144"/>
      <c r="C9" s="144" t="s">
        <v>188</v>
      </c>
      <c r="D9" s="145" t="s">
        <v>161</v>
      </c>
      <c r="E9" s="162"/>
      <c r="F9" s="146">
        <v>1</v>
      </c>
      <c r="G9" s="147">
        <v>1.05</v>
      </c>
      <c r="H9" s="147">
        <v>1.06</v>
      </c>
      <c r="I9" s="147">
        <v>1.07</v>
      </c>
      <c r="J9" s="148">
        <v>1.0900000000000001</v>
      </c>
      <c r="K9" s="146">
        <v>1</v>
      </c>
      <c r="L9" s="147">
        <v>1.05</v>
      </c>
      <c r="M9" s="147">
        <v>1.06</v>
      </c>
      <c r="N9" s="147">
        <v>1.07</v>
      </c>
      <c r="O9" s="148">
        <v>1.0900000000000001</v>
      </c>
      <c r="P9" s="161"/>
      <c r="Q9" s="161"/>
      <c r="R9" s="146"/>
      <c r="S9" s="147"/>
      <c r="T9" s="147"/>
      <c r="U9" s="147"/>
      <c r="V9" s="148"/>
      <c r="W9" s="146"/>
      <c r="X9" s="147"/>
      <c r="Y9" s="147"/>
      <c r="Z9" s="147"/>
      <c r="AA9" s="148"/>
      <c r="AB9" s="162"/>
      <c r="AC9" s="162"/>
      <c r="AD9" s="144"/>
      <c r="AH9" s="145"/>
      <c r="AI9" s="162"/>
      <c r="AJ9" s="162"/>
      <c r="AK9" s="144"/>
      <c r="AO9" s="145"/>
    </row>
    <row r="10" spans="1:41">
      <c r="A10" s="61"/>
      <c r="C10" s="61"/>
      <c r="D10" s="62"/>
      <c r="E10" s="162"/>
      <c r="F10" s="63"/>
      <c r="G10" s="65"/>
      <c r="H10" s="65"/>
      <c r="I10" s="65"/>
      <c r="J10" s="64"/>
      <c r="K10" s="63"/>
      <c r="L10" s="65"/>
      <c r="M10" s="65"/>
      <c r="N10" s="65"/>
      <c r="O10" s="64"/>
      <c r="P10" s="161"/>
      <c r="Q10" s="161"/>
      <c r="R10" s="63"/>
      <c r="S10" s="65"/>
      <c r="T10" s="65"/>
      <c r="U10" s="65"/>
      <c r="V10" s="64"/>
      <c r="W10" s="63"/>
      <c r="X10" s="65"/>
      <c r="AA10" s="62"/>
      <c r="AB10" s="162"/>
      <c r="AC10" s="162"/>
      <c r="AD10" s="61"/>
      <c r="AH10" s="62"/>
      <c r="AI10" s="162"/>
      <c r="AJ10" s="162"/>
      <c r="AK10" s="61"/>
      <c r="AO10" s="62"/>
    </row>
    <row r="11" spans="1:41" s="72" customFormat="1">
      <c r="A11" s="67" t="s">
        <v>88</v>
      </c>
      <c r="B11" s="72" t="s">
        <v>93</v>
      </c>
      <c r="C11" s="67" t="s">
        <v>130</v>
      </c>
      <c r="D11" s="68" t="s">
        <v>0</v>
      </c>
      <c r="E11" s="162"/>
      <c r="F11" s="69">
        <v>1.25</v>
      </c>
      <c r="G11" s="70">
        <v>1.4</v>
      </c>
      <c r="H11" s="70"/>
      <c r="I11" s="70"/>
      <c r="J11" s="71"/>
      <c r="K11" s="69"/>
      <c r="L11" s="70"/>
      <c r="M11" s="70"/>
      <c r="N11" s="70"/>
      <c r="O11" s="71"/>
      <c r="P11" s="161"/>
      <c r="Q11" s="161"/>
      <c r="R11" s="69" t="s">
        <v>103</v>
      </c>
      <c r="S11" s="70"/>
      <c r="T11" s="70"/>
      <c r="U11" s="70"/>
      <c r="V11" s="71"/>
      <c r="W11" s="69">
        <v>0.2</v>
      </c>
      <c r="X11" s="70"/>
      <c r="AA11" s="68"/>
      <c r="AB11" s="162"/>
      <c r="AC11" s="162"/>
      <c r="AD11" s="67"/>
      <c r="AH11" s="68"/>
      <c r="AI11" s="162"/>
      <c r="AJ11" s="162"/>
      <c r="AK11" s="67"/>
      <c r="AO11" s="68"/>
    </row>
    <row r="12" spans="1:41" s="72" customFormat="1">
      <c r="A12" s="67"/>
      <c r="C12" s="67" t="s">
        <v>134</v>
      </c>
      <c r="D12" s="188">
        <v>350000</v>
      </c>
      <c r="E12" s="162"/>
      <c r="F12" s="73">
        <f>F11*$D$12</f>
        <v>437500</v>
      </c>
      <c r="G12" s="74">
        <f>G11*$D$12*G8</f>
        <v>504699.99999999994</v>
      </c>
      <c r="H12" s="70"/>
      <c r="I12" s="70"/>
      <c r="J12" s="71"/>
      <c r="K12" s="69"/>
      <c r="L12" s="70"/>
      <c r="M12" s="70"/>
      <c r="N12" s="70"/>
      <c r="O12" s="71"/>
      <c r="P12" s="161"/>
      <c r="Q12" s="161"/>
      <c r="R12" s="69"/>
      <c r="S12" s="70"/>
      <c r="T12" s="70"/>
      <c r="U12" s="70"/>
      <c r="V12" s="71"/>
      <c r="W12" s="73">
        <f>W11*D12</f>
        <v>70000</v>
      </c>
      <c r="X12" s="70"/>
      <c r="AA12" s="68"/>
      <c r="AB12" s="162"/>
      <c r="AC12" s="162"/>
      <c r="AD12" s="67"/>
      <c r="AH12" s="68"/>
      <c r="AI12" s="162"/>
      <c r="AJ12" s="162"/>
      <c r="AK12" s="67"/>
      <c r="AO12" s="68"/>
    </row>
    <row r="13" spans="1:41" s="72" customFormat="1">
      <c r="A13" s="67"/>
      <c r="B13" s="72" t="s">
        <v>95</v>
      </c>
      <c r="C13" s="67" t="s">
        <v>116</v>
      </c>
      <c r="D13" s="68" t="s">
        <v>0</v>
      </c>
      <c r="E13" s="162"/>
      <c r="F13" s="69">
        <v>1</v>
      </c>
      <c r="G13" s="70">
        <v>1.2</v>
      </c>
      <c r="H13" s="70"/>
      <c r="I13" s="70"/>
      <c r="J13" s="71"/>
      <c r="K13" s="69"/>
      <c r="L13" s="70"/>
      <c r="M13" s="70"/>
      <c r="N13" s="70"/>
      <c r="O13" s="71"/>
      <c r="P13" s="161"/>
      <c r="Q13" s="161"/>
      <c r="R13" s="69">
        <v>0.75</v>
      </c>
      <c r="S13" s="70"/>
      <c r="T13" s="70"/>
      <c r="U13" s="70"/>
      <c r="V13" s="71"/>
      <c r="W13" s="69" t="s">
        <v>103</v>
      </c>
      <c r="X13" s="70"/>
      <c r="AA13" s="68"/>
      <c r="AB13" s="162"/>
      <c r="AC13" s="162"/>
      <c r="AD13" s="67"/>
      <c r="AH13" s="68"/>
      <c r="AI13" s="162"/>
      <c r="AJ13" s="162"/>
      <c r="AK13" s="67"/>
      <c r="AO13" s="68"/>
    </row>
    <row r="14" spans="1:41" s="72" customFormat="1">
      <c r="A14" s="67"/>
      <c r="C14" s="67" t="s">
        <v>131</v>
      </c>
      <c r="D14" s="188">
        <v>335000</v>
      </c>
      <c r="E14" s="162"/>
      <c r="F14" s="73">
        <f>F13*$D$14</f>
        <v>335000</v>
      </c>
      <c r="G14" s="74">
        <f>G13*D14*G8</f>
        <v>414060</v>
      </c>
      <c r="H14" s="70"/>
      <c r="I14" s="70"/>
      <c r="J14" s="71"/>
      <c r="K14" s="69"/>
      <c r="L14" s="70"/>
      <c r="M14" s="70"/>
      <c r="N14" s="70"/>
      <c r="O14" s="71"/>
      <c r="P14" s="161"/>
      <c r="Q14" s="161"/>
      <c r="R14" s="73">
        <f>R13*D14</f>
        <v>251250</v>
      </c>
      <c r="S14" s="70"/>
      <c r="T14" s="70"/>
      <c r="U14" s="70"/>
      <c r="V14" s="71"/>
      <c r="W14" s="69"/>
      <c r="X14" s="70"/>
      <c r="AA14" s="68"/>
      <c r="AB14" s="162"/>
      <c r="AC14" s="162"/>
      <c r="AD14" s="67"/>
      <c r="AH14" s="68"/>
      <c r="AI14" s="162"/>
      <c r="AJ14" s="162"/>
      <c r="AK14" s="67"/>
      <c r="AO14" s="68"/>
    </row>
    <row r="15" spans="1:41" s="72" customFormat="1">
      <c r="A15" s="67"/>
      <c r="B15" s="72" t="s">
        <v>99</v>
      </c>
      <c r="C15" s="67"/>
      <c r="D15" s="68"/>
      <c r="E15" s="162"/>
      <c r="F15" s="69"/>
      <c r="G15" s="70"/>
      <c r="H15" s="70"/>
      <c r="I15" s="70"/>
      <c r="J15" s="71"/>
      <c r="K15" s="69"/>
      <c r="L15" s="70"/>
      <c r="M15" s="70"/>
      <c r="N15" s="70"/>
      <c r="O15" s="71"/>
      <c r="P15" s="161"/>
      <c r="Q15" s="161"/>
      <c r="R15" s="69"/>
      <c r="S15" s="70"/>
      <c r="T15" s="70"/>
      <c r="U15" s="70"/>
      <c r="V15" s="71"/>
      <c r="W15" s="69"/>
      <c r="X15" s="70"/>
      <c r="AA15" s="68"/>
      <c r="AB15" s="162"/>
      <c r="AC15" s="162"/>
      <c r="AD15" s="67"/>
      <c r="AH15" s="68"/>
      <c r="AI15" s="162"/>
      <c r="AJ15" s="162"/>
      <c r="AK15" s="67"/>
      <c r="AO15" s="68"/>
    </row>
    <row r="16" spans="1:41" s="72" customFormat="1">
      <c r="A16" s="82" t="s">
        <v>136</v>
      </c>
      <c r="B16" s="83"/>
      <c r="C16" s="82"/>
      <c r="D16" s="87"/>
      <c r="E16" s="164"/>
      <c r="F16" s="120">
        <f>F14+F12</f>
        <v>772500</v>
      </c>
      <c r="G16" s="120">
        <f>G14+G12</f>
        <v>918760</v>
      </c>
      <c r="H16" s="85"/>
      <c r="I16" s="85"/>
      <c r="J16" s="86"/>
      <c r="K16" s="155"/>
      <c r="L16" s="85"/>
      <c r="M16" s="85"/>
      <c r="N16" s="85"/>
      <c r="O16" s="86"/>
      <c r="P16" s="163"/>
      <c r="Q16" s="163"/>
      <c r="R16" s="155"/>
      <c r="S16" s="85"/>
      <c r="T16" s="85"/>
      <c r="U16" s="85"/>
      <c r="V16" s="86"/>
      <c r="W16" s="165"/>
      <c r="X16" s="85"/>
      <c r="Y16" s="83"/>
      <c r="Z16" s="83"/>
      <c r="AA16" s="87"/>
      <c r="AB16" s="162"/>
      <c r="AC16" s="162"/>
      <c r="AD16" s="67"/>
      <c r="AH16" s="68"/>
      <c r="AI16" s="162"/>
      <c r="AJ16" s="162"/>
      <c r="AK16" s="67"/>
      <c r="AO16" s="68"/>
    </row>
    <row r="17" spans="1:41">
      <c r="C17" s="61"/>
      <c r="D17" s="62"/>
      <c r="E17" s="162"/>
      <c r="F17" s="61"/>
      <c r="J17" s="62"/>
      <c r="K17" s="61"/>
      <c r="O17" s="62"/>
      <c r="P17" s="162"/>
      <c r="Q17" s="162"/>
      <c r="R17" s="61"/>
      <c r="V17" s="62"/>
      <c r="W17" s="61"/>
      <c r="AA17" s="62"/>
      <c r="AB17" s="162"/>
      <c r="AC17" s="162"/>
      <c r="AD17" s="61"/>
      <c r="AH17" s="62"/>
      <c r="AI17" s="162"/>
      <c r="AJ17" s="162"/>
      <c r="AK17" s="61"/>
      <c r="AO17" s="62"/>
    </row>
    <row r="18" spans="1:41" s="88" customFormat="1">
      <c r="A18" s="88" t="s">
        <v>108</v>
      </c>
      <c r="C18" s="121"/>
      <c r="D18" s="122"/>
      <c r="E18" s="162"/>
      <c r="F18" s="121"/>
      <c r="J18" s="122"/>
      <c r="K18" s="121"/>
      <c r="O18" s="122"/>
      <c r="P18" s="162"/>
      <c r="Q18" s="162"/>
      <c r="R18" s="121"/>
      <c r="V18" s="122"/>
      <c r="W18" s="121"/>
      <c r="AA18" s="122"/>
      <c r="AB18" s="162"/>
      <c r="AC18" s="162"/>
      <c r="AD18" s="121"/>
      <c r="AH18" s="122"/>
      <c r="AI18" s="162"/>
      <c r="AJ18" s="162"/>
      <c r="AK18" s="121"/>
      <c r="AO18" s="122"/>
    </row>
    <row r="19" spans="1:41" s="88" customFormat="1">
      <c r="B19" s="88" t="s">
        <v>112</v>
      </c>
      <c r="C19" s="121" t="s">
        <v>111</v>
      </c>
      <c r="D19" s="124" t="s">
        <v>110</v>
      </c>
      <c r="E19" s="162"/>
      <c r="F19" s="121"/>
      <c r="J19" s="122"/>
      <c r="K19" s="121"/>
      <c r="O19" s="122"/>
      <c r="P19" s="162"/>
      <c r="Q19" s="162"/>
      <c r="R19" s="121"/>
      <c r="V19" s="122"/>
      <c r="W19" s="121"/>
      <c r="AA19" s="122"/>
      <c r="AB19" s="162"/>
      <c r="AC19" s="162"/>
      <c r="AD19" s="121"/>
      <c r="AH19" s="122"/>
      <c r="AI19" s="162"/>
      <c r="AJ19" s="162"/>
      <c r="AK19" s="121"/>
      <c r="AO19" s="122"/>
    </row>
    <row r="20" spans="1:41" s="88" customFormat="1">
      <c r="C20" s="121"/>
      <c r="D20" s="122"/>
      <c r="E20" s="162"/>
      <c r="F20" s="121"/>
      <c r="J20" s="122"/>
      <c r="K20" s="121"/>
      <c r="O20" s="122"/>
      <c r="P20" s="162"/>
      <c r="Q20" s="162"/>
      <c r="R20" s="121"/>
      <c r="V20" s="122"/>
      <c r="W20" s="121"/>
      <c r="AA20" s="122"/>
      <c r="AB20" s="162"/>
      <c r="AC20" s="162"/>
      <c r="AD20" s="121"/>
      <c r="AH20" s="122"/>
      <c r="AI20" s="162"/>
      <c r="AJ20" s="162"/>
      <c r="AK20" s="121"/>
      <c r="AO20" s="122"/>
    </row>
    <row r="21" spans="1:41" s="88" customFormat="1">
      <c r="A21" s="88" t="s">
        <v>109</v>
      </c>
      <c r="C21" s="121"/>
      <c r="D21" s="122"/>
      <c r="E21" s="162"/>
      <c r="F21" s="121"/>
      <c r="J21" s="122"/>
      <c r="K21" s="121"/>
      <c r="O21" s="122"/>
      <c r="P21" s="162"/>
      <c r="Q21" s="162"/>
      <c r="R21" s="121"/>
      <c r="V21" s="122"/>
      <c r="W21" s="121"/>
      <c r="AA21" s="122"/>
      <c r="AB21" s="162"/>
      <c r="AC21" s="162"/>
      <c r="AD21" s="121"/>
      <c r="AH21" s="122"/>
      <c r="AI21" s="162"/>
      <c r="AJ21" s="162"/>
      <c r="AK21" s="121"/>
      <c r="AO21" s="122"/>
    </row>
    <row r="22" spans="1:41" s="88" customFormat="1">
      <c r="C22" s="121"/>
      <c r="D22" s="122"/>
      <c r="E22" s="162"/>
      <c r="F22" s="121"/>
      <c r="J22" s="122"/>
      <c r="K22" s="121"/>
      <c r="O22" s="122"/>
      <c r="P22" s="162"/>
      <c r="Q22" s="162"/>
      <c r="R22" s="121"/>
      <c r="V22" s="122"/>
      <c r="W22" s="121"/>
      <c r="AA22" s="122"/>
      <c r="AB22" s="162"/>
      <c r="AC22" s="162"/>
      <c r="AD22" s="121"/>
      <c r="AH22" s="122"/>
      <c r="AI22" s="162"/>
      <c r="AJ22" s="162"/>
      <c r="AK22" s="121"/>
      <c r="AO22" s="122"/>
    </row>
    <row r="23" spans="1:41" s="88" customFormat="1">
      <c r="C23" s="121"/>
      <c r="D23" s="122"/>
      <c r="E23" s="162"/>
      <c r="F23" s="121"/>
      <c r="J23" s="122"/>
      <c r="K23" s="121"/>
      <c r="O23" s="122"/>
      <c r="P23" s="162"/>
      <c r="Q23" s="162"/>
      <c r="R23" s="121"/>
      <c r="V23" s="122"/>
      <c r="W23" s="121"/>
      <c r="AA23" s="122"/>
      <c r="AB23" s="162"/>
      <c r="AC23" s="162"/>
      <c r="AD23" s="121"/>
      <c r="AH23" s="122"/>
      <c r="AI23" s="162"/>
      <c r="AJ23" s="162"/>
      <c r="AK23" s="121"/>
      <c r="AO23" s="122"/>
    </row>
    <row r="24" spans="1:41" s="88" customFormat="1">
      <c r="A24" s="88" t="s">
        <v>137</v>
      </c>
      <c r="C24" s="121"/>
      <c r="D24" s="122"/>
      <c r="E24" s="162"/>
      <c r="F24" s="121"/>
      <c r="J24" s="122"/>
      <c r="K24" s="121"/>
      <c r="O24" s="122"/>
      <c r="P24" s="162"/>
      <c r="Q24" s="162"/>
      <c r="R24" s="121"/>
      <c r="V24" s="122"/>
      <c r="W24" s="121"/>
      <c r="AA24" s="122"/>
      <c r="AB24" s="162"/>
      <c r="AC24" s="162"/>
      <c r="AD24" s="121"/>
      <c r="AH24" s="122"/>
      <c r="AI24" s="162"/>
      <c r="AJ24" s="162"/>
      <c r="AK24" s="121"/>
      <c r="AO24" s="122"/>
    </row>
    <row r="25" spans="1:41" s="88" customFormat="1">
      <c r="C25" s="121"/>
      <c r="D25" s="122"/>
      <c r="E25" s="162"/>
      <c r="F25" s="121"/>
      <c r="J25" s="122"/>
      <c r="K25" s="121"/>
      <c r="O25" s="122"/>
      <c r="P25" s="162"/>
      <c r="Q25" s="162"/>
      <c r="R25" s="121"/>
      <c r="V25" s="122"/>
      <c r="W25" s="121"/>
      <c r="AA25" s="122"/>
      <c r="AB25" s="162"/>
      <c r="AC25" s="162"/>
      <c r="AD25" s="121"/>
      <c r="AH25" s="122"/>
      <c r="AI25" s="162"/>
      <c r="AJ25" s="162"/>
      <c r="AK25" s="121"/>
      <c r="AO25" s="122"/>
    </row>
    <row r="26" spans="1:41" s="88" customFormat="1">
      <c r="C26" s="121"/>
      <c r="D26" s="122"/>
      <c r="E26" s="162"/>
      <c r="F26" s="121"/>
      <c r="J26" s="122"/>
      <c r="K26" s="121"/>
      <c r="O26" s="122"/>
      <c r="P26" s="162"/>
      <c r="Q26" s="162"/>
      <c r="R26" s="121"/>
      <c r="V26" s="122"/>
      <c r="W26" s="121"/>
      <c r="AA26" s="122"/>
      <c r="AB26" s="162"/>
      <c r="AC26" s="162"/>
      <c r="AD26" s="121"/>
      <c r="AH26" s="122"/>
      <c r="AI26" s="162"/>
      <c r="AJ26" s="162"/>
      <c r="AK26" s="121"/>
      <c r="AO26" s="122"/>
    </row>
    <row r="27" spans="1:41" s="88" customFormat="1">
      <c r="A27" s="88" t="s">
        <v>138</v>
      </c>
      <c r="C27" s="121"/>
      <c r="D27" s="122"/>
      <c r="E27" s="162"/>
      <c r="F27" s="121"/>
      <c r="J27" s="122"/>
      <c r="K27" s="121"/>
      <c r="O27" s="122"/>
      <c r="P27" s="162"/>
      <c r="Q27" s="162"/>
      <c r="R27" s="121"/>
      <c r="V27" s="122"/>
      <c r="W27" s="121"/>
      <c r="AA27" s="122"/>
      <c r="AB27" s="162"/>
      <c r="AC27" s="162"/>
      <c r="AD27" s="121"/>
      <c r="AH27" s="122"/>
      <c r="AI27" s="162"/>
      <c r="AJ27" s="162"/>
      <c r="AK27" s="121"/>
      <c r="AO27" s="122"/>
    </row>
    <row r="28" spans="1:41" s="88" customFormat="1">
      <c r="C28" s="121"/>
      <c r="D28" s="122"/>
      <c r="E28" s="162"/>
      <c r="F28" s="121"/>
      <c r="J28" s="122"/>
      <c r="K28" s="121"/>
      <c r="O28" s="122"/>
      <c r="P28" s="162"/>
      <c r="Q28" s="162"/>
      <c r="R28" s="121"/>
      <c r="V28" s="122"/>
      <c r="W28" s="121"/>
      <c r="AA28" s="122"/>
      <c r="AB28" s="162"/>
      <c r="AC28" s="162"/>
      <c r="AD28" s="121"/>
      <c r="AH28" s="122"/>
      <c r="AI28" s="162"/>
      <c r="AJ28" s="162"/>
      <c r="AK28" s="121"/>
      <c r="AO28" s="122"/>
    </row>
    <row r="29" spans="1:41" s="88" customFormat="1">
      <c r="C29" s="121"/>
      <c r="D29" s="122"/>
      <c r="E29" s="162"/>
      <c r="F29" s="121"/>
      <c r="J29" s="122"/>
      <c r="K29" s="121"/>
      <c r="O29" s="122"/>
      <c r="P29" s="162"/>
      <c r="Q29" s="162"/>
      <c r="R29" s="121"/>
      <c r="V29" s="122"/>
      <c r="W29" s="121"/>
      <c r="AA29" s="122"/>
      <c r="AB29" s="162"/>
      <c r="AC29" s="162"/>
      <c r="AD29" s="121"/>
      <c r="AH29" s="122"/>
      <c r="AI29" s="162"/>
      <c r="AJ29" s="162"/>
      <c r="AK29" s="121"/>
      <c r="AO29" s="122"/>
    </row>
    <row r="30" spans="1:41" s="88" customFormat="1">
      <c r="A30" s="88" t="s">
        <v>139</v>
      </c>
      <c r="C30" s="121"/>
      <c r="D30" s="122"/>
      <c r="E30" s="162"/>
      <c r="F30" s="121"/>
      <c r="J30" s="122"/>
      <c r="K30" s="121"/>
      <c r="O30" s="122"/>
      <c r="P30" s="162"/>
      <c r="Q30" s="162"/>
      <c r="R30" s="121"/>
      <c r="V30" s="122"/>
      <c r="W30" s="121"/>
      <c r="AA30" s="122"/>
      <c r="AB30" s="162"/>
      <c r="AC30" s="162"/>
      <c r="AD30" s="121"/>
      <c r="AH30" s="122"/>
      <c r="AI30" s="162"/>
      <c r="AJ30" s="162"/>
      <c r="AK30" s="121"/>
      <c r="AO30" s="122"/>
    </row>
    <row r="31" spans="1:41" s="88" customFormat="1">
      <c r="C31" s="121"/>
      <c r="D31" s="122"/>
      <c r="E31" s="162"/>
      <c r="F31" s="123"/>
      <c r="G31" s="89"/>
      <c r="H31" s="89"/>
      <c r="I31" s="89"/>
      <c r="J31" s="124"/>
      <c r="K31" s="123"/>
      <c r="L31" s="89"/>
      <c r="M31" s="89"/>
      <c r="N31" s="89"/>
      <c r="O31" s="124"/>
      <c r="P31" s="161"/>
      <c r="Q31" s="161"/>
      <c r="R31" s="123"/>
      <c r="S31" s="89"/>
      <c r="T31" s="89"/>
      <c r="U31" s="89"/>
      <c r="V31" s="124"/>
      <c r="W31" s="123"/>
      <c r="X31" s="89"/>
      <c r="AA31" s="122"/>
      <c r="AB31" s="162"/>
      <c r="AC31" s="162"/>
      <c r="AD31" s="121"/>
      <c r="AH31" s="122"/>
      <c r="AI31" s="162"/>
      <c r="AJ31" s="162"/>
      <c r="AK31" s="121"/>
      <c r="AO31" s="122"/>
    </row>
    <row r="32" spans="1:41" s="88" customFormat="1">
      <c r="C32" s="121"/>
      <c r="D32" s="122"/>
      <c r="E32" s="162"/>
      <c r="F32" s="121"/>
      <c r="J32" s="122"/>
      <c r="K32" s="121"/>
      <c r="O32" s="122"/>
      <c r="P32" s="162"/>
      <c r="Q32" s="162"/>
      <c r="R32" s="121"/>
      <c r="V32" s="122"/>
      <c r="W32" s="121"/>
      <c r="AA32" s="122"/>
      <c r="AB32" s="162"/>
      <c r="AC32" s="162"/>
      <c r="AD32" s="121"/>
      <c r="AH32" s="122"/>
      <c r="AI32" s="162"/>
      <c r="AJ32" s="162"/>
      <c r="AK32" s="121"/>
      <c r="AO32" s="122"/>
    </row>
    <row r="33" spans="1:41" s="88" customFormat="1">
      <c r="A33" s="90" t="s">
        <v>136</v>
      </c>
      <c r="B33" s="91"/>
      <c r="C33" s="90"/>
      <c r="D33" s="95"/>
      <c r="E33" s="164"/>
      <c r="F33" s="125"/>
      <c r="G33" s="92"/>
      <c r="H33" s="93"/>
      <c r="I33" s="93"/>
      <c r="J33" s="94"/>
      <c r="K33" s="156"/>
      <c r="L33" s="93"/>
      <c r="M33" s="93"/>
      <c r="N33" s="93"/>
      <c r="O33" s="94"/>
      <c r="P33" s="163"/>
      <c r="Q33" s="163"/>
      <c r="R33" s="156">
        <f>SUM(R23:R32)</f>
        <v>0</v>
      </c>
      <c r="S33" s="93"/>
      <c r="T33" s="93"/>
      <c r="U33" s="93"/>
      <c r="V33" s="94"/>
      <c r="W33" s="166">
        <f>SUM(W23:W32)</f>
        <v>0</v>
      </c>
      <c r="X33" s="93"/>
      <c r="Y33" s="91"/>
      <c r="Z33" s="91"/>
      <c r="AA33" s="95"/>
      <c r="AB33" s="162"/>
      <c r="AC33" s="162"/>
      <c r="AD33" s="121"/>
      <c r="AH33" s="122"/>
      <c r="AI33" s="162"/>
      <c r="AJ33" s="162"/>
      <c r="AK33" s="121"/>
      <c r="AO33" s="122"/>
    </row>
    <row r="34" spans="1:41">
      <c r="C34" s="61"/>
      <c r="D34" s="62"/>
      <c r="E34" s="162"/>
      <c r="F34" s="63"/>
      <c r="G34" s="65"/>
      <c r="H34" s="65"/>
      <c r="I34" s="65"/>
      <c r="J34" s="64"/>
      <c r="K34" s="63"/>
      <c r="L34" s="65"/>
      <c r="M34" s="65"/>
      <c r="N34" s="65"/>
      <c r="O34" s="64"/>
      <c r="P34" s="161"/>
      <c r="Q34" s="161"/>
      <c r="R34" s="63"/>
      <c r="S34" s="65"/>
      <c r="T34" s="65"/>
      <c r="U34" s="65"/>
      <c r="V34" s="64"/>
      <c r="W34" s="63"/>
      <c r="X34" s="65"/>
      <c r="AA34" s="62"/>
      <c r="AB34" s="162"/>
      <c r="AC34" s="162"/>
      <c r="AD34" s="61"/>
      <c r="AH34" s="62"/>
      <c r="AI34" s="162"/>
      <c r="AJ34" s="162"/>
      <c r="AK34" s="61"/>
      <c r="AO34" s="62"/>
    </row>
    <row r="35" spans="1:41" s="96" customFormat="1">
      <c r="A35" s="96" t="s">
        <v>104</v>
      </c>
      <c r="C35" s="97"/>
      <c r="D35" s="167"/>
      <c r="E35" s="162"/>
      <c r="F35" s="126"/>
      <c r="G35" s="105"/>
      <c r="H35" s="105"/>
      <c r="I35" s="105"/>
      <c r="J35" s="127"/>
      <c r="K35" s="126"/>
      <c r="L35" s="105"/>
      <c r="M35" s="105"/>
      <c r="N35" s="105"/>
      <c r="O35" s="127"/>
      <c r="P35" s="161"/>
      <c r="Q35" s="161"/>
      <c r="R35" s="126"/>
      <c r="S35" s="105"/>
      <c r="T35" s="105"/>
      <c r="U35" s="105"/>
      <c r="V35" s="127"/>
      <c r="W35" s="126"/>
      <c r="X35" s="105"/>
      <c r="AA35" s="167"/>
      <c r="AB35" s="162"/>
      <c r="AC35" s="162"/>
      <c r="AD35" s="97"/>
      <c r="AH35" s="167"/>
      <c r="AI35" s="162"/>
      <c r="AJ35" s="162"/>
      <c r="AK35" s="97"/>
      <c r="AO35" s="167"/>
    </row>
    <row r="36" spans="1:41" s="96" customFormat="1">
      <c r="B36" s="96" t="s">
        <v>106</v>
      </c>
      <c r="C36" s="97" t="s">
        <v>130</v>
      </c>
      <c r="D36" s="167" t="s">
        <v>0</v>
      </c>
      <c r="E36" s="162"/>
      <c r="F36" s="126">
        <v>0.02</v>
      </c>
      <c r="G36" s="105">
        <v>0.04</v>
      </c>
      <c r="H36" s="105"/>
      <c r="I36" s="105"/>
      <c r="J36" s="127"/>
      <c r="K36" s="126"/>
      <c r="L36" s="105"/>
      <c r="M36" s="105"/>
      <c r="N36" s="105"/>
      <c r="O36" s="127"/>
      <c r="P36" s="161"/>
      <c r="Q36" s="161"/>
      <c r="R36" s="126"/>
      <c r="S36" s="105"/>
      <c r="T36" s="105"/>
      <c r="U36" s="105"/>
      <c r="V36" s="127"/>
      <c r="W36" s="126"/>
      <c r="X36" s="105"/>
      <c r="AA36" s="167"/>
      <c r="AB36" s="162"/>
      <c r="AC36" s="162"/>
      <c r="AD36" s="97"/>
      <c r="AH36" s="167"/>
      <c r="AI36" s="162"/>
      <c r="AJ36" s="162"/>
      <c r="AK36" s="97"/>
      <c r="AO36" s="167"/>
    </row>
    <row r="37" spans="1:41" s="96" customFormat="1">
      <c r="C37" s="97" t="s">
        <v>134</v>
      </c>
      <c r="D37" s="189">
        <v>350000</v>
      </c>
      <c r="E37" s="162"/>
      <c r="F37" s="128">
        <f>F36*D37</f>
        <v>7000</v>
      </c>
      <c r="G37" s="104">
        <f>G36*D37*G8</f>
        <v>14420</v>
      </c>
      <c r="H37" s="105"/>
      <c r="I37" s="105"/>
      <c r="J37" s="127"/>
      <c r="K37" s="126"/>
      <c r="L37" s="105"/>
      <c r="M37" s="105"/>
      <c r="N37" s="105"/>
      <c r="O37" s="127"/>
      <c r="P37" s="161"/>
      <c r="Q37" s="161"/>
      <c r="R37" s="126"/>
      <c r="S37" s="105"/>
      <c r="T37" s="105"/>
      <c r="U37" s="105"/>
      <c r="V37" s="127"/>
      <c r="W37" s="126"/>
      <c r="X37" s="105"/>
      <c r="AA37" s="167"/>
      <c r="AB37" s="162"/>
      <c r="AC37" s="162"/>
      <c r="AD37" s="97"/>
      <c r="AH37" s="167"/>
      <c r="AI37" s="162"/>
      <c r="AJ37" s="162"/>
      <c r="AK37" s="97"/>
      <c r="AO37" s="167"/>
    </row>
    <row r="38" spans="1:41" s="96" customFormat="1">
      <c r="B38" s="96" t="s">
        <v>107</v>
      </c>
      <c r="C38" s="97" t="s">
        <v>130</v>
      </c>
      <c r="D38" s="167" t="s">
        <v>0</v>
      </c>
      <c r="E38" s="162"/>
      <c r="F38" s="126">
        <v>0.01</v>
      </c>
      <c r="G38" s="105">
        <v>0.02</v>
      </c>
      <c r="H38" s="105"/>
      <c r="I38" s="105"/>
      <c r="J38" s="127"/>
      <c r="K38" s="126"/>
      <c r="L38" s="105"/>
      <c r="M38" s="105"/>
      <c r="N38" s="105"/>
      <c r="O38" s="127"/>
      <c r="P38" s="161"/>
      <c r="Q38" s="161"/>
      <c r="R38" s="126"/>
      <c r="S38" s="105"/>
      <c r="T38" s="105"/>
      <c r="U38" s="105"/>
      <c r="V38" s="127"/>
      <c r="W38" s="126"/>
      <c r="X38" s="105"/>
      <c r="AA38" s="167"/>
      <c r="AB38" s="162"/>
      <c r="AC38" s="162"/>
      <c r="AD38" s="97"/>
      <c r="AH38" s="167"/>
      <c r="AI38" s="162"/>
      <c r="AJ38" s="162"/>
      <c r="AK38" s="97"/>
      <c r="AO38" s="167"/>
    </row>
    <row r="39" spans="1:41" s="96" customFormat="1">
      <c r="C39" s="97" t="s">
        <v>134</v>
      </c>
      <c r="D39" s="189">
        <v>350000</v>
      </c>
      <c r="E39" s="162"/>
      <c r="F39" s="128">
        <f>F38*D39</f>
        <v>3500</v>
      </c>
      <c r="G39" s="104">
        <f>G38*D39*G8</f>
        <v>7210</v>
      </c>
      <c r="H39" s="105"/>
      <c r="I39" s="105"/>
      <c r="J39" s="127"/>
      <c r="K39" s="126"/>
      <c r="L39" s="105"/>
      <c r="M39" s="105"/>
      <c r="N39" s="105"/>
      <c r="O39" s="127"/>
      <c r="P39" s="161"/>
      <c r="Q39" s="161"/>
      <c r="R39" s="126"/>
      <c r="S39" s="105"/>
      <c r="T39" s="105"/>
      <c r="U39" s="105"/>
      <c r="V39" s="127"/>
      <c r="W39" s="126"/>
      <c r="X39" s="105"/>
      <c r="AA39" s="167"/>
      <c r="AB39" s="162"/>
      <c r="AC39" s="162"/>
      <c r="AD39" s="97"/>
      <c r="AH39" s="167"/>
      <c r="AI39" s="162"/>
      <c r="AJ39" s="162"/>
      <c r="AK39" s="97"/>
      <c r="AO39" s="167"/>
    </row>
    <row r="40" spans="1:41" s="96" customFormat="1">
      <c r="C40" s="97"/>
      <c r="D40" s="167"/>
      <c r="E40" s="162"/>
      <c r="F40" s="126"/>
      <c r="G40" s="105"/>
      <c r="H40" s="105"/>
      <c r="I40" s="105"/>
      <c r="J40" s="127"/>
      <c r="K40" s="126"/>
      <c r="L40" s="105"/>
      <c r="M40" s="105"/>
      <c r="N40" s="105"/>
      <c r="O40" s="127"/>
      <c r="P40" s="161"/>
      <c r="Q40" s="161"/>
      <c r="R40" s="126"/>
      <c r="S40" s="105"/>
      <c r="T40" s="105"/>
      <c r="U40" s="105"/>
      <c r="V40" s="127"/>
      <c r="W40" s="126"/>
      <c r="X40" s="105"/>
      <c r="AA40" s="167"/>
      <c r="AB40" s="162"/>
      <c r="AC40" s="162"/>
      <c r="AD40" s="97"/>
      <c r="AH40" s="167"/>
      <c r="AI40" s="162"/>
      <c r="AJ40" s="162"/>
      <c r="AK40" s="97"/>
      <c r="AO40" s="167"/>
    </row>
    <row r="41" spans="1:41" s="96" customFormat="1">
      <c r="A41" s="98" t="s">
        <v>136</v>
      </c>
      <c r="B41" s="99"/>
      <c r="C41" s="98"/>
      <c r="D41" s="103"/>
      <c r="E41" s="164"/>
      <c r="F41" s="129">
        <f>F37+F39</f>
        <v>10500</v>
      </c>
      <c r="G41" s="100">
        <f>G37+G39</f>
        <v>21630</v>
      </c>
      <c r="H41" s="101"/>
      <c r="I41" s="101"/>
      <c r="J41" s="102"/>
      <c r="K41" s="157"/>
      <c r="L41" s="101"/>
      <c r="M41" s="101"/>
      <c r="N41" s="101"/>
      <c r="O41" s="102"/>
      <c r="P41" s="163"/>
      <c r="Q41" s="163"/>
      <c r="R41" s="157">
        <f>SUM(R31:R40)</f>
        <v>0</v>
      </c>
      <c r="S41" s="101"/>
      <c r="T41" s="101"/>
      <c r="U41" s="101"/>
      <c r="V41" s="102"/>
      <c r="W41" s="168">
        <f>SUM(W31:W40)</f>
        <v>0</v>
      </c>
      <c r="X41" s="101"/>
      <c r="Y41" s="99"/>
      <c r="Z41" s="99"/>
      <c r="AA41" s="103"/>
      <c r="AB41" s="162"/>
      <c r="AC41" s="162"/>
      <c r="AD41" s="97"/>
      <c r="AH41" s="167"/>
      <c r="AI41" s="162"/>
      <c r="AJ41" s="162"/>
      <c r="AK41" s="97"/>
      <c r="AO41" s="167"/>
    </row>
    <row r="42" spans="1:41">
      <c r="C42" s="61"/>
      <c r="D42" s="62"/>
      <c r="E42" s="162"/>
      <c r="F42" s="63"/>
      <c r="G42" s="65"/>
      <c r="H42" s="65"/>
      <c r="I42" s="65"/>
      <c r="J42" s="64"/>
      <c r="K42" s="63"/>
      <c r="L42" s="65"/>
      <c r="M42" s="65"/>
      <c r="N42" s="65"/>
      <c r="O42" s="64"/>
      <c r="P42" s="161"/>
      <c r="Q42" s="161"/>
      <c r="R42" s="63"/>
      <c r="S42" s="65"/>
      <c r="T42" s="65"/>
      <c r="U42" s="65"/>
      <c r="V42" s="64"/>
      <c r="W42" s="63"/>
      <c r="X42" s="65"/>
      <c r="AA42" s="62"/>
      <c r="AB42" s="162"/>
      <c r="AC42" s="162"/>
      <c r="AD42" s="61"/>
      <c r="AH42" s="62"/>
      <c r="AI42" s="162"/>
      <c r="AJ42" s="162"/>
      <c r="AK42" s="61"/>
      <c r="AO42" s="62"/>
    </row>
    <row r="43" spans="1:41" s="107" customFormat="1">
      <c r="A43" s="107" t="s">
        <v>105</v>
      </c>
      <c r="C43" s="108"/>
      <c r="D43" s="169"/>
      <c r="E43" s="162"/>
      <c r="F43" s="130"/>
      <c r="G43" s="131"/>
      <c r="H43" s="131"/>
      <c r="I43" s="131"/>
      <c r="J43" s="132"/>
      <c r="K43" s="130"/>
      <c r="L43" s="131"/>
      <c r="M43" s="131"/>
      <c r="N43" s="131"/>
      <c r="O43" s="132"/>
      <c r="P43" s="161"/>
      <c r="Q43" s="161"/>
      <c r="R43" s="130"/>
      <c r="S43" s="131"/>
      <c r="T43" s="131"/>
      <c r="U43" s="131"/>
      <c r="V43" s="132"/>
      <c r="W43" s="130"/>
      <c r="X43" s="131"/>
      <c r="AA43" s="169"/>
      <c r="AB43" s="162"/>
      <c r="AC43" s="162"/>
      <c r="AD43" s="108"/>
      <c r="AH43" s="169"/>
      <c r="AI43" s="162"/>
      <c r="AJ43" s="162"/>
      <c r="AK43" s="108"/>
      <c r="AO43" s="169"/>
    </row>
    <row r="44" spans="1:41" s="107" customFormat="1">
      <c r="B44" s="107" t="s">
        <v>37</v>
      </c>
      <c r="C44" s="108" t="s">
        <v>0</v>
      </c>
      <c r="D44" s="169"/>
      <c r="E44" s="162"/>
      <c r="F44" s="130">
        <v>0</v>
      </c>
      <c r="G44" s="131">
        <v>0</v>
      </c>
      <c r="H44" s="131"/>
      <c r="I44" s="131"/>
      <c r="J44" s="132"/>
      <c r="K44" s="130"/>
      <c r="L44" s="131"/>
      <c r="M44" s="131"/>
      <c r="N44" s="131"/>
      <c r="O44" s="132"/>
      <c r="P44" s="161"/>
      <c r="Q44" s="161"/>
      <c r="R44" s="130">
        <v>1</v>
      </c>
      <c r="S44" s="131"/>
      <c r="T44" s="131"/>
      <c r="U44" s="131"/>
      <c r="V44" s="132"/>
      <c r="W44" s="130">
        <v>0.75</v>
      </c>
      <c r="X44" s="131"/>
      <c r="AA44" s="169"/>
      <c r="AB44" s="162"/>
      <c r="AC44" s="162"/>
      <c r="AD44" s="108"/>
      <c r="AH44" s="169"/>
      <c r="AI44" s="162"/>
      <c r="AJ44" s="162"/>
      <c r="AK44" s="108"/>
      <c r="AO44" s="169"/>
    </row>
    <row r="45" spans="1:41" s="107" customFormat="1">
      <c r="C45" s="108" t="s">
        <v>134</v>
      </c>
      <c r="D45" s="190">
        <v>350000</v>
      </c>
      <c r="E45" s="162"/>
      <c r="F45" s="133">
        <f>F44*D45</f>
        <v>0</v>
      </c>
      <c r="G45" s="134">
        <f>G44*D45*G8</f>
        <v>0</v>
      </c>
      <c r="H45" s="131"/>
      <c r="I45" s="131"/>
      <c r="J45" s="132"/>
      <c r="K45" s="130"/>
      <c r="L45" s="131"/>
      <c r="M45" s="131"/>
      <c r="N45" s="131"/>
      <c r="O45" s="132"/>
      <c r="P45" s="161"/>
      <c r="Q45" s="161"/>
      <c r="R45" s="130"/>
      <c r="S45" s="131"/>
      <c r="T45" s="131"/>
      <c r="U45" s="131"/>
      <c r="V45" s="132"/>
      <c r="W45" s="130"/>
      <c r="X45" s="131"/>
      <c r="AA45" s="169"/>
      <c r="AB45" s="162"/>
      <c r="AC45" s="162"/>
      <c r="AD45" s="108"/>
      <c r="AH45" s="169"/>
      <c r="AI45" s="162"/>
      <c r="AJ45" s="162"/>
      <c r="AK45" s="108"/>
      <c r="AO45" s="169"/>
    </row>
    <row r="46" spans="1:41" s="107" customFormat="1">
      <c r="C46" s="108"/>
      <c r="D46" s="169"/>
      <c r="E46" s="171"/>
      <c r="F46" s="133"/>
      <c r="G46" s="134"/>
      <c r="H46" s="131"/>
      <c r="I46" s="131"/>
      <c r="J46" s="132"/>
      <c r="K46" s="130"/>
      <c r="L46" s="131"/>
      <c r="M46" s="131"/>
      <c r="N46" s="131"/>
      <c r="O46" s="132"/>
      <c r="P46" s="161"/>
      <c r="Q46" s="161"/>
      <c r="R46" s="130"/>
      <c r="S46" s="131"/>
      <c r="T46" s="131"/>
      <c r="U46" s="131"/>
      <c r="V46" s="132"/>
      <c r="W46" s="130"/>
      <c r="X46" s="131"/>
      <c r="AA46" s="169"/>
      <c r="AB46" s="162"/>
      <c r="AC46" s="162"/>
      <c r="AD46" s="108"/>
      <c r="AH46" s="169"/>
      <c r="AI46" s="162"/>
      <c r="AJ46" s="162"/>
      <c r="AK46" s="108"/>
      <c r="AO46" s="169"/>
    </row>
    <row r="47" spans="1:41" s="107" customFormat="1">
      <c r="A47" s="110" t="s">
        <v>136</v>
      </c>
      <c r="B47" s="111"/>
      <c r="C47" s="110"/>
      <c r="D47" s="115"/>
      <c r="E47" s="164"/>
      <c r="F47" s="135">
        <f>F45</f>
        <v>0</v>
      </c>
      <c r="G47" s="112">
        <f>G45</f>
        <v>0</v>
      </c>
      <c r="H47" s="113"/>
      <c r="I47" s="113"/>
      <c r="J47" s="114"/>
      <c r="K47" s="158"/>
      <c r="L47" s="113"/>
      <c r="M47" s="113"/>
      <c r="N47" s="113"/>
      <c r="O47" s="114"/>
      <c r="P47" s="163"/>
      <c r="Q47" s="163"/>
      <c r="R47" s="158">
        <f>SUM(R37:R46)</f>
        <v>1</v>
      </c>
      <c r="S47" s="113"/>
      <c r="T47" s="113"/>
      <c r="U47" s="113"/>
      <c r="V47" s="114"/>
      <c r="W47" s="170">
        <f>SUM(W37:W46)</f>
        <v>0.75</v>
      </c>
      <c r="X47" s="113"/>
      <c r="Y47" s="111"/>
      <c r="Z47" s="111"/>
      <c r="AA47" s="115"/>
      <c r="AB47" s="162"/>
      <c r="AC47" s="162"/>
      <c r="AD47" s="108"/>
      <c r="AH47" s="169"/>
      <c r="AI47" s="162"/>
      <c r="AJ47" s="162"/>
      <c r="AK47" s="108"/>
      <c r="AO47" s="169"/>
    </row>
    <row r="48" spans="1:41">
      <c r="C48" s="61"/>
      <c r="D48" s="62"/>
      <c r="E48" s="162"/>
      <c r="F48" s="136"/>
      <c r="G48" s="106"/>
      <c r="H48" s="65"/>
      <c r="I48" s="65"/>
      <c r="J48" s="64"/>
      <c r="K48" s="63"/>
      <c r="L48" s="65"/>
      <c r="M48" s="65"/>
      <c r="N48" s="65"/>
      <c r="O48" s="64"/>
      <c r="P48" s="161"/>
      <c r="Q48" s="161"/>
      <c r="R48" s="63"/>
      <c r="S48" s="65"/>
      <c r="T48" s="65"/>
      <c r="U48" s="65"/>
      <c r="V48" s="64"/>
      <c r="W48" s="63"/>
      <c r="X48" s="65"/>
      <c r="AA48" s="62"/>
      <c r="AB48" s="162"/>
      <c r="AC48" s="162"/>
      <c r="AD48" s="61"/>
      <c r="AH48" s="62"/>
      <c r="AI48" s="162"/>
      <c r="AJ48" s="162"/>
      <c r="AK48" s="61"/>
      <c r="AO48" s="62"/>
    </row>
    <row r="49" spans="1:41" s="116" customFormat="1">
      <c r="A49" s="116" t="s">
        <v>113</v>
      </c>
      <c r="C49" s="137"/>
      <c r="D49" s="138"/>
      <c r="E49" s="162"/>
      <c r="F49" s="137"/>
      <c r="J49" s="138"/>
      <c r="K49" s="137"/>
      <c r="O49" s="138"/>
      <c r="P49" s="162"/>
      <c r="Q49" s="162"/>
      <c r="R49" s="137"/>
      <c r="V49" s="138"/>
      <c r="W49" s="137"/>
      <c r="AA49" s="138"/>
      <c r="AB49" s="162"/>
      <c r="AC49" s="162"/>
      <c r="AD49" s="137"/>
      <c r="AH49" s="138"/>
      <c r="AI49" s="162"/>
      <c r="AJ49" s="162"/>
      <c r="AK49" s="137"/>
      <c r="AO49" s="138"/>
    </row>
    <row r="50" spans="1:41" s="116" customFormat="1">
      <c r="B50" s="116" t="s">
        <v>119</v>
      </c>
      <c r="C50" s="137" t="s">
        <v>122</v>
      </c>
      <c r="D50" s="191">
        <v>3000</v>
      </c>
      <c r="E50" s="162"/>
      <c r="F50" s="139">
        <f t="shared" ref="F50:O50" si="0">$D$50*F6</f>
        <v>9000</v>
      </c>
      <c r="G50" s="140">
        <f t="shared" si="0"/>
        <v>9000</v>
      </c>
      <c r="H50" s="140">
        <f t="shared" si="0"/>
        <v>9000</v>
      </c>
      <c r="I50" s="140">
        <f t="shared" si="0"/>
        <v>9000</v>
      </c>
      <c r="J50" s="141">
        <f t="shared" si="0"/>
        <v>9000</v>
      </c>
      <c r="K50" s="139">
        <f t="shared" si="0"/>
        <v>18000</v>
      </c>
      <c r="L50" s="140">
        <f t="shared" si="0"/>
        <v>18000</v>
      </c>
      <c r="M50" s="140">
        <f t="shared" si="0"/>
        <v>18000</v>
      </c>
      <c r="N50" s="140">
        <f t="shared" si="0"/>
        <v>18000</v>
      </c>
      <c r="O50" s="141">
        <f t="shared" si="0"/>
        <v>18000</v>
      </c>
      <c r="P50" s="162"/>
      <c r="Q50" s="162"/>
      <c r="R50" s="137"/>
      <c r="V50" s="138"/>
      <c r="W50" s="137"/>
      <c r="AA50" s="138"/>
      <c r="AB50" s="162"/>
      <c r="AC50" s="162"/>
      <c r="AD50" s="137"/>
      <c r="AH50" s="138"/>
      <c r="AI50" s="162"/>
      <c r="AJ50" s="162"/>
      <c r="AK50" s="137"/>
      <c r="AO50" s="138"/>
    </row>
    <row r="51" spans="1:41" s="116" customFormat="1">
      <c r="B51" s="116" t="s">
        <v>120</v>
      </c>
      <c r="C51" s="137" t="s">
        <v>121</v>
      </c>
      <c r="D51" s="191">
        <v>50</v>
      </c>
      <c r="E51" s="162"/>
      <c r="F51" s="139">
        <f t="shared" ref="F51:O51" si="1">$D$51*F7</f>
        <v>5000</v>
      </c>
      <c r="G51" s="140">
        <f t="shared" si="1"/>
        <v>6000</v>
      </c>
      <c r="H51" s="140">
        <f t="shared" si="1"/>
        <v>7000</v>
      </c>
      <c r="I51" s="140">
        <f t="shared" si="1"/>
        <v>8000</v>
      </c>
      <c r="J51" s="141">
        <f t="shared" si="1"/>
        <v>10000</v>
      </c>
      <c r="K51" s="139">
        <f t="shared" si="1"/>
        <v>1000</v>
      </c>
      <c r="L51" s="140">
        <f t="shared" si="1"/>
        <v>1100</v>
      </c>
      <c r="M51" s="140">
        <f t="shared" si="1"/>
        <v>1200</v>
      </c>
      <c r="N51" s="140">
        <f t="shared" si="1"/>
        <v>1300</v>
      </c>
      <c r="O51" s="141">
        <f t="shared" si="1"/>
        <v>1500</v>
      </c>
      <c r="P51" s="162"/>
      <c r="Q51" s="162"/>
      <c r="R51" s="137"/>
      <c r="V51" s="138"/>
      <c r="W51" s="137"/>
      <c r="AA51" s="138"/>
      <c r="AB51" s="162"/>
      <c r="AC51" s="162"/>
      <c r="AD51" s="137"/>
      <c r="AH51" s="138"/>
      <c r="AI51" s="162"/>
      <c r="AJ51" s="162"/>
      <c r="AK51" s="137"/>
      <c r="AO51" s="138"/>
    </row>
    <row r="52" spans="1:41" s="116" customFormat="1">
      <c r="C52" s="137"/>
      <c r="D52" s="138"/>
      <c r="E52" s="172"/>
      <c r="F52" s="139"/>
      <c r="G52" s="140"/>
      <c r="H52" s="140"/>
      <c r="I52" s="140"/>
      <c r="J52" s="141"/>
      <c r="K52" s="139"/>
      <c r="L52" s="140"/>
      <c r="M52" s="140"/>
      <c r="N52" s="140"/>
      <c r="O52" s="141"/>
      <c r="P52" s="162"/>
      <c r="Q52" s="162"/>
      <c r="R52" s="137"/>
      <c r="V52" s="138"/>
      <c r="W52" s="137"/>
      <c r="AA52" s="138"/>
      <c r="AB52" s="162"/>
      <c r="AC52" s="162"/>
      <c r="AD52" s="137"/>
      <c r="AH52" s="138"/>
      <c r="AI52" s="162"/>
      <c r="AJ52" s="162"/>
      <c r="AK52" s="137"/>
      <c r="AO52" s="138"/>
    </row>
    <row r="53" spans="1:41" s="116" customFormat="1">
      <c r="C53" s="137"/>
      <c r="D53" s="138"/>
      <c r="E53" s="172"/>
      <c r="F53" s="139"/>
      <c r="G53" s="140"/>
      <c r="H53" s="140"/>
      <c r="I53" s="140"/>
      <c r="J53" s="141"/>
      <c r="K53" s="139"/>
      <c r="L53" s="140"/>
      <c r="M53" s="140"/>
      <c r="N53" s="140"/>
      <c r="O53" s="141"/>
      <c r="P53" s="162"/>
      <c r="Q53" s="162"/>
      <c r="R53" s="137"/>
      <c r="V53" s="138"/>
      <c r="W53" s="137"/>
      <c r="AA53" s="138"/>
      <c r="AB53" s="162"/>
      <c r="AC53" s="162"/>
      <c r="AD53" s="137"/>
      <c r="AH53" s="138"/>
      <c r="AI53" s="162"/>
      <c r="AJ53" s="162"/>
      <c r="AK53" s="137"/>
      <c r="AO53" s="138"/>
    </row>
    <row r="54" spans="1:41" s="116" customFormat="1">
      <c r="A54" s="116" t="s">
        <v>136</v>
      </c>
      <c r="C54" s="137"/>
      <c r="D54" s="138"/>
      <c r="E54" s="162"/>
      <c r="F54" s="139">
        <f>SUM(F50:F53)</f>
        <v>14000</v>
      </c>
      <c r="G54" s="140">
        <f t="shared" ref="G54:O54" si="2">SUM(G50:G53)</f>
        <v>15000</v>
      </c>
      <c r="H54" s="140">
        <f t="shared" si="2"/>
        <v>16000</v>
      </c>
      <c r="I54" s="140">
        <f t="shared" si="2"/>
        <v>17000</v>
      </c>
      <c r="J54" s="141">
        <f t="shared" si="2"/>
        <v>19000</v>
      </c>
      <c r="K54" s="139">
        <f t="shared" si="2"/>
        <v>19000</v>
      </c>
      <c r="L54" s="140">
        <f t="shared" si="2"/>
        <v>19100</v>
      </c>
      <c r="M54" s="140">
        <f t="shared" si="2"/>
        <v>19200</v>
      </c>
      <c r="N54" s="140">
        <f t="shared" si="2"/>
        <v>19300</v>
      </c>
      <c r="O54" s="141">
        <f t="shared" si="2"/>
        <v>19500</v>
      </c>
      <c r="P54" s="162"/>
      <c r="Q54" s="162"/>
      <c r="R54" s="137"/>
      <c r="V54" s="138"/>
      <c r="W54" s="137"/>
      <c r="AA54" s="138"/>
      <c r="AB54" s="162"/>
      <c r="AC54" s="162"/>
      <c r="AD54" s="137"/>
      <c r="AH54" s="138"/>
      <c r="AI54" s="162"/>
      <c r="AJ54" s="162"/>
      <c r="AK54" s="137"/>
      <c r="AO54" s="138"/>
    </row>
    <row r="55" spans="1:41">
      <c r="C55" s="61"/>
      <c r="D55" s="62"/>
      <c r="E55" s="162"/>
      <c r="F55" s="66"/>
      <c r="G55" s="46"/>
      <c r="H55" s="46"/>
      <c r="I55" s="46"/>
      <c r="J55" s="142"/>
      <c r="K55" s="66"/>
      <c r="L55" s="46"/>
      <c r="M55" s="46"/>
      <c r="N55" s="46"/>
      <c r="O55" s="142"/>
      <c r="P55" s="162"/>
      <c r="Q55" s="162"/>
      <c r="R55" s="61"/>
      <c r="V55" s="62"/>
      <c r="W55" s="61"/>
      <c r="AA55" s="62"/>
      <c r="AB55" s="162"/>
      <c r="AC55" s="162"/>
      <c r="AD55" s="61"/>
      <c r="AH55" s="62"/>
      <c r="AI55" s="162"/>
      <c r="AJ55" s="162"/>
      <c r="AK55" s="61"/>
      <c r="AO55" s="62"/>
    </row>
    <row r="56" spans="1:41">
      <c r="A56" s="314" t="s">
        <v>184</v>
      </c>
      <c r="C56" s="61"/>
      <c r="D56" s="62"/>
      <c r="E56" s="162"/>
      <c r="F56" s="61"/>
      <c r="J56" s="62"/>
      <c r="K56" s="61"/>
      <c r="O56" s="62"/>
      <c r="P56" s="162"/>
      <c r="Q56" s="162"/>
      <c r="R56" s="61"/>
      <c r="V56" s="62"/>
      <c r="W56" s="61"/>
      <c r="AA56" s="62"/>
      <c r="AB56" s="162"/>
      <c r="AC56" s="162"/>
      <c r="AD56" s="61"/>
      <c r="AH56" s="62"/>
      <c r="AI56" s="162"/>
      <c r="AJ56" s="162"/>
      <c r="AK56" s="61"/>
      <c r="AO56" s="62"/>
    </row>
    <row r="57" spans="1:41">
      <c r="A57" s="315"/>
      <c r="B57" t="s">
        <v>140</v>
      </c>
      <c r="C57" s="61" t="s">
        <v>122</v>
      </c>
      <c r="D57" s="192">
        <v>40</v>
      </c>
      <c r="E57" s="162"/>
      <c r="F57" s="66">
        <f>$D$57*F6*F9</f>
        <v>120</v>
      </c>
      <c r="G57" s="46">
        <f>$D$57*G6*G9</f>
        <v>126</v>
      </c>
      <c r="H57" s="46">
        <f>$D$57*H6*H9</f>
        <v>127.2</v>
      </c>
      <c r="I57" s="46">
        <f>$D$57*I6*I9</f>
        <v>128.4</v>
      </c>
      <c r="J57" s="142">
        <f>$D$57*J6*J9</f>
        <v>130.80000000000001</v>
      </c>
      <c r="K57" s="61"/>
      <c r="O57" s="62"/>
      <c r="P57" s="162"/>
      <c r="Q57" s="162"/>
      <c r="R57" s="61"/>
      <c r="V57" s="62"/>
      <c r="W57" s="61"/>
      <c r="AA57" s="62"/>
      <c r="AB57" s="162"/>
      <c r="AC57" s="162"/>
      <c r="AD57" s="61"/>
      <c r="AH57" s="62"/>
      <c r="AI57" s="162"/>
      <c r="AJ57" s="162"/>
      <c r="AK57" s="61"/>
      <c r="AO57" s="62"/>
    </row>
    <row r="58" spans="1:41">
      <c r="A58" s="315"/>
      <c r="B58" t="s">
        <v>141</v>
      </c>
      <c r="C58" s="61" t="s">
        <v>132</v>
      </c>
      <c r="D58" s="192">
        <v>2000</v>
      </c>
      <c r="E58" s="162"/>
      <c r="F58" s="66">
        <f>$D$58*F5*F8</f>
        <v>12000</v>
      </c>
      <c r="G58" s="46">
        <f>$D$58*G5*G8</f>
        <v>10300</v>
      </c>
      <c r="H58" s="46">
        <f>$D$58*H5*H8</f>
        <v>10400</v>
      </c>
      <c r="I58" s="46">
        <f>$D$58*I5*I8</f>
        <v>6240</v>
      </c>
      <c r="J58" s="142">
        <f>$D$58*J5*J8</f>
        <v>6240</v>
      </c>
      <c r="K58" s="61"/>
      <c r="O58" s="62"/>
      <c r="P58" s="162"/>
      <c r="Q58" s="162"/>
      <c r="R58" s="61"/>
      <c r="V58" s="62"/>
      <c r="W58" s="61"/>
      <c r="AA58" s="62"/>
      <c r="AB58" s="162"/>
      <c r="AC58" s="162"/>
      <c r="AD58" s="61"/>
      <c r="AH58" s="62"/>
      <c r="AI58" s="162"/>
      <c r="AJ58" s="162"/>
      <c r="AK58" s="61"/>
      <c r="AO58" s="62"/>
    </row>
    <row r="59" spans="1:41">
      <c r="A59" s="315"/>
      <c r="B59" t="s">
        <v>142</v>
      </c>
      <c r="C59" s="61" t="s">
        <v>110</v>
      </c>
      <c r="D59" s="192">
        <v>1000000</v>
      </c>
      <c r="E59" s="162"/>
      <c r="F59" s="66">
        <f>D59*F9</f>
        <v>1000000</v>
      </c>
      <c r="G59" s="46">
        <f>F59*G9</f>
        <v>1050000</v>
      </c>
      <c r="H59" s="46">
        <f>G59*H9</f>
        <v>1113000</v>
      </c>
      <c r="I59" s="46">
        <f>H59*I9</f>
        <v>1190910</v>
      </c>
      <c r="J59" s="142">
        <f>I59*J9</f>
        <v>1298091.9000000001</v>
      </c>
      <c r="K59" s="61"/>
      <c r="O59" s="62"/>
      <c r="P59" s="162"/>
      <c r="Q59" s="162"/>
      <c r="R59" s="61"/>
      <c r="V59" s="62"/>
      <c r="W59" s="61"/>
      <c r="AA59" s="62"/>
      <c r="AB59" s="162"/>
      <c r="AC59" s="162"/>
      <c r="AD59" s="61"/>
      <c r="AH59" s="62"/>
      <c r="AI59" s="162"/>
      <c r="AJ59" s="162"/>
      <c r="AK59" s="61"/>
      <c r="AO59" s="62"/>
    </row>
    <row r="60" spans="1:41">
      <c r="A60" s="315"/>
      <c r="B60" t="s">
        <v>143</v>
      </c>
      <c r="C60" s="61" t="s">
        <v>145</v>
      </c>
      <c r="D60" s="192">
        <v>15000</v>
      </c>
      <c r="E60" s="162"/>
      <c r="F60" s="66">
        <f>D60*F9</f>
        <v>15000</v>
      </c>
      <c r="G60" s="46">
        <f>F60*G9</f>
        <v>15750</v>
      </c>
      <c r="H60" s="46">
        <f>G60*H9</f>
        <v>16695</v>
      </c>
      <c r="I60" s="46">
        <f>H60*I9</f>
        <v>17863.650000000001</v>
      </c>
      <c r="J60" s="142">
        <f>I60*J9</f>
        <v>19471.378500000003</v>
      </c>
      <c r="K60" s="61"/>
      <c r="O60" s="62"/>
      <c r="P60" s="162"/>
      <c r="Q60" s="162"/>
      <c r="R60" s="61"/>
      <c r="V60" s="62"/>
      <c r="W60" s="61"/>
      <c r="AA60" s="62"/>
      <c r="AB60" s="162"/>
      <c r="AC60" s="162"/>
      <c r="AD60" s="61"/>
      <c r="AH60" s="62"/>
      <c r="AI60" s="162"/>
      <c r="AJ60" s="162"/>
      <c r="AK60" s="61"/>
      <c r="AO60" s="62"/>
    </row>
    <row r="61" spans="1:41">
      <c r="A61" s="315"/>
      <c r="B61" t="s">
        <v>144</v>
      </c>
      <c r="C61" s="61" t="s">
        <v>110</v>
      </c>
      <c r="D61" s="192">
        <v>150000</v>
      </c>
      <c r="E61" s="162"/>
      <c r="F61" s="66">
        <f>D61*F9</f>
        <v>150000</v>
      </c>
      <c r="G61" s="46">
        <f>F61*G9</f>
        <v>157500</v>
      </c>
      <c r="H61" s="46">
        <f>G61*H9</f>
        <v>166950</v>
      </c>
      <c r="I61" s="46">
        <f>H61*I9</f>
        <v>178636.5</v>
      </c>
      <c r="J61" s="142">
        <f>I61*J9</f>
        <v>194713.785</v>
      </c>
      <c r="K61" s="61"/>
      <c r="O61" s="62"/>
      <c r="P61" s="162"/>
      <c r="Q61" s="162"/>
      <c r="R61" s="61"/>
      <c r="V61" s="62"/>
      <c r="W61" s="61"/>
      <c r="AA61" s="62"/>
      <c r="AB61" s="162"/>
      <c r="AC61" s="162"/>
      <c r="AD61" s="61"/>
      <c r="AH61" s="62"/>
      <c r="AI61" s="162"/>
      <c r="AJ61" s="162"/>
      <c r="AK61" s="61"/>
      <c r="AO61" s="62"/>
    </row>
    <row r="62" spans="1:41">
      <c r="C62" s="61"/>
      <c r="D62" s="62"/>
      <c r="E62" s="162"/>
      <c r="F62" s="61"/>
      <c r="J62" s="62"/>
      <c r="K62" s="61"/>
      <c r="O62" s="62"/>
      <c r="P62" s="162"/>
      <c r="Q62" s="162"/>
      <c r="R62" s="61"/>
      <c r="V62" s="62"/>
      <c r="W62" s="61"/>
      <c r="AA62" s="62"/>
      <c r="AB62" s="162"/>
      <c r="AC62" s="162"/>
      <c r="AD62" s="61"/>
      <c r="AH62" s="62"/>
      <c r="AI62" s="162"/>
      <c r="AJ62" s="162"/>
      <c r="AK62" s="61"/>
      <c r="AO62" s="62"/>
    </row>
    <row r="63" spans="1:41">
      <c r="C63" s="61"/>
      <c r="D63" s="62"/>
      <c r="E63" s="162"/>
      <c r="F63" s="61"/>
      <c r="J63" s="62"/>
      <c r="K63" s="61"/>
      <c r="O63" s="62"/>
      <c r="P63" s="162"/>
      <c r="Q63" s="162"/>
      <c r="R63" s="61"/>
      <c r="V63" s="62"/>
      <c r="W63" s="61"/>
      <c r="AA63" s="62"/>
      <c r="AB63" s="162"/>
      <c r="AC63" s="162"/>
      <c r="AD63" s="61"/>
      <c r="AH63" s="62"/>
      <c r="AI63" s="162"/>
      <c r="AJ63" s="162"/>
      <c r="AK63" s="61"/>
      <c r="AO63" s="62"/>
    </row>
    <row r="64" spans="1:41" s="194" customFormat="1" ht="15">
      <c r="A64" s="193" t="s">
        <v>136</v>
      </c>
      <c r="C64" s="193"/>
      <c r="D64" s="195"/>
      <c r="E64" s="196"/>
      <c r="F64" s="197">
        <f>SUM(F57:F61)</f>
        <v>1177120</v>
      </c>
      <c r="G64" s="198">
        <f t="shared" ref="G64:J64" si="3">SUM(G57:G61)</f>
        <v>1233676</v>
      </c>
      <c r="H64" s="198">
        <f t="shared" si="3"/>
        <v>1307172.2</v>
      </c>
      <c r="I64" s="198">
        <f t="shared" si="3"/>
        <v>1393778.5499999998</v>
      </c>
      <c r="J64" s="199">
        <f t="shared" si="3"/>
        <v>1518647.8635000002</v>
      </c>
      <c r="K64" s="193"/>
      <c r="O64" s="195"/>
      <c r="P64" s="196"/>
      <c r="Q64" s="196"/>
      <c r="R64" s="193"/>
      <c r="V64" s="195"/>
      <c r="W64" s="193"/>
      <c r="AA64" s="195"/>
      <c r="AB64" s="196"/>
      <c r="AC64" s="196"/>
      <c r="AD64" s="193"/>
      <c r="AH64" s="195"/>
      <c r="AI64" s="196"/>
      <c r="AJ64" s="196"/>
      <c r="AK64" s="193"/>
      <c r="AO64" s="195"/>
    </row>
    <row r="65" spans="1:41">
      <c r="C65" s="61"/>
      <c r="D65" s="62"/>
      <c r="E65" s="162"/>
      <c r="F65" s="61"/>
      <c r="J65" s="62"/>
      <c r="K65" s="61"/>
      <c r="O65" s="62"/>
      <c r="P65" s="162"/>
      <c r="Q65" s="162"/>
      <c r="R65" s="61"/>
      <c r="V65" s="62"/>
      <c r="W65" s="61"/>
      <c r="AA65" s="62"/>
      <c r="AB65" s="162"/>
      <c r="AC65" s="162"/>
      <c r="AD65" s="61"/>
      <c r="AH65" s="62"/>
      <c r="AI65" s="162"/>
      <c r="AJ65" s="162"/>
      <c r="AK65" s="61"/>
      <c r="AO65" s="62"/>
    </row>
    <row r="66" spans="1:41">
      <c r="C66" s="61"/>
      <c r="D66" s="62"/>
      <c r="E66" s="162"/>
      <c r="F66" s="61"/>
      <c r="J66" s="62"/>
      <c r="K66" s="61"/>
      <c r="O66" s="62"/>
      <c r="P66" s="162"/>
      <c r="Q66" s="162"/>
      <c r="R66" s="61"/>
      <c r="V66" s="62"/>
      <c r="W66" s="61"/>
      <c r="AA66" s="62"/>
      <c r="AB66" s="162"/>
      <c r="AC66" s="162"/>
      <c r="AD66" s="61"/>
      <c r="AH66" s="62"/>
      <c r="AI66" s="162"/>
      <c r="AJ66" s="162"/>
      <c r="AK66" s="61"/>
      <c r="AO66" s="62"/>
    </row>
    <row r="67" spans="1:41">
      <c r="A67" t="s">
        <v>129</v>
      </c>
      <c r="C67" s="61"/>
      <c r="D67" s="62"/>
      <c r="E67" s="162"/>
      <c r="F67" s="61"/>
      <c r="J67" s="62"/>
      <c r="K67" s="61"/>
      <c r="O67" s="62"/>
      <c r="P67" s="162"/>
      <c r="Q67" s="162"/>
      <c r="R67" s="61"/>
      <c r="V67" s="62"/>
      <c r="W67" s="61"/>
      <c r="AA67" s="62"/>
      <c r="AB67" s="162"/>
      <c r="AC67" s="162"/>
      <c r="AD67" s="61"/>
      <c r="AH67" s="62"/>
      <c r="AI67" s="162"/>
      <c r="AJ67" s="162"/>
      <c r="AK67" s="61"/>
      <c r="AO67" s="62"/>
    </row>
    <row r="68" spans="1:41" ht="15" thickBot="1">
      <c r="C68" s="61" t="s">
        <v>146</v>
      </c>
      <c r="D68" s="62">
        <v>1E-3</v>
      </c>
      <c r="E68" s="162"/>
      <c r="F68" s="61"/>
      <c r="J68" s="62"/>
      <c r="K68" s="61"/>
      <c r="O68" s="62"/>
      <c r="P68" s="162"/>
      <c r="Q68" s="162"/>
      <c r="R68" s="61"/>
      <c r="V68" s="62"/>
      <c r="W68" s="61"/>
      <c r="AA68" s="62"/>
      <c r="AB68" s="162"/>
      <c r="AC68" s="162"/>
      <c r="AD68" s="61"/>
      <c r="AH68" s="62"/>
      <c r="AI68" s="162"/>
      <c r="AJ68" s="162"/>
      <c r="AK68" s="61"/>
      <c r="AO68" s="62"/>
    </row>
    <row r="69" spans="1:41" ht="15" thickBot="1">
      <c r="C69" s="61" t="s">
        <v>147</v>
      </c>
      <c r="D69" s="62" t="s">
        <v>110</v>
      </c>
      <c r="E69" s="162"/>
      <c r="F69" s="149">
        <f>F64+F47+F41+F33+F16</f>
        <v>1960120</v>
      </c>
      <c r="G69" s="150">
        <f t="shared" ref="G69:J69" si="4">G64+G47+G41+G33+G16</f>
        <v>2174066</v>
      </c>
      <c r="H69" s="150">
        <f t="shared" si="4"/>
        <v>1307172.2</v>
      </c>
      <c r="I69" s="150">
        <f t="shared" si="4"/>
        <v>1393778.5499999998</v>
      </c>
      <c r="J69" s="151">
        <f t="shared" si="4"/>
        <v>1518647.8635000002</v>
      </c>
      <c r="K69" s="174"/>
      <c r="L69" s="175"/>
      <c r="M69" s="175"/>
      <c r="N69" s="175"/>
      <c r="O69" s="176"/>
      <c r="P69" s="162"/>
      <c r="Q69" s="162"/>
      <c r="R69" s="174"/>
      <c r="S69" s="175"/>
      <c r="T69" s="175"/>
      <c r="U69" s="175"/>
      <c r="V69" s="176"/>
      <c r="W69" s="174"/>
      <c r="X69" s="175"/>
      <c r="Y69" s="175"/>
      <c r="Z69" s="175"/>
      <c r="AA69" s="176"/>
      <c r="AB69" s="162"/>
      <c r="AC69" s="162"/>
      <c r="AD69" s="174"/>
      <c r="AE69" s="175"/>
      <c r="AF69" s="175"/>
      <c r="AG69" s="175"/>
      <c r="AH69" s="176"/>
      <c r="AI69" s="162"/>
      <c r="AJ69" s="162"/>
      <c r="AK69" s="174"/>
      <c r="AL69" s="175"/>
      <c r="AM69" s="175"/>
      <c r="AN69" s="175"/>
      <c r="AO69" s="176"/>
    </row>
    <row r="70" spans="1:41" ht="15" thickBot="1">
      <c r="C70" s="61"/>
      <c r="D70" s="62"/>
      <c r="E70" s="162"/>
      <c r="F70" s="66">
        <f>F69*$D$68</f>
        <v>1960.1200000000001</v>
      </c>
      <c r="G70" s="46">
        <f>G69*$D$68</f>
        <v>2174.0660000000003</v>
      </c>
      <c r="H70" s="46">
        <f>H69*$D$68</f>
        <v>1307.1722</v>
      </c>
      <c r="I70" s="46">
        <f>I69*$D$68</f>
        <v>1393.7785499999998</v>
      </c>
      <c r="J70" s="142">
        <f>J69*$D$68</f>
        <v>1518.6478635000003</v>
      </c>
      <c r="K70" s="61"/>
      <c r="O70" s="62"/>
      <c r="P70" s="162"/>
      <c r="Q70" s="162"/>
      <c r="R70" s="61"/>
      <c r="V70" s="62"/>
      <c r="W70" s="61"/>
      <c r="AA70" s="62"/>
      <c r="AB70" s="162"/>
      <c r="AC70" s="162"/>
      <c r="AD70" s="61"/>
      <c r="AH70" s="62"/>
      <c r="AI70" s="162"/>
      <c r="AJ70" s="162"/>
      <c r="AK70" s="61"/>
      <c r="AO70" s="62"/>
    </row>
    <row r="71" spans="1:41" ht="15.75" thickBot="1">
      <c r="C71" s="180" t="s">
        <v>133</v>
      </c>
      <c r="D71" s="160"/>
      <c r="E71" s="162"/>
      <c r="F71" s="152">
        <f>F69+F70</f>
        <v>1962080.12</v>
      </c>
      <c r="G71" s="153">
        <f t="shared" ref="G71:J71" si="5">G69+G70</f>
        <v>2176240.0660000001</v>
      </c>
      <c r="H71" s="153">
        <f t="shared" si="5"/>
        <v>1308479.3721999999</v>
      </c>
      <c r="I71" s="153">
        <f t="shared" si="5"/>
        <v>1395172.3285499997</v>
      </c>
      <c r="J71" s="154">
        <f t="shared" si="5"/>
        <v>1520166.5113635003</v>
      </c>
      <c r="K71" s="177"/>
      <c r="L71" s="178"/>
      <c r="M71" s="178"/>
      <c r="N71" s="178"/>
      <c r="O71" s="179"/>
      <c r="P71" s="162"/>
      <c r="Q71" s="162"/>
      <c r="R71" s="177"/>
      <c r="S71" s="178"/>
      <c r="T71" s="178"/>
      <c r="U71" s="178"/>
      <c r="V71" s="179"/>
      <c r="W71" s="177"/>
      <c r="X71" s="178"/>
      <c r="Y71" s="178"/>
      <c r="Z71" s="178"/>
      <c r="AA71" s="179"/>
      <c r="AB71" s="162"/>
      <c r="AC71" s="162"/>
      <c r="AD71" s="177"/>
      <c r="AE71" s="178"/>
      <c r="AF71" s="178"/>
      <c r="AG71" s="178"/>
      <c r="AH71" s="179"/>
      <c r="AI71" s="162"/>
      <c r="AJ71" s="162"/>
      <c r="AK71" s="177"/>
      <c r="AL71" s="178"/>
      <c r="AM71" s="178"/>
      <c r="AN71" s="178"/>
      <c r="AO71" s="179"/>
    </row>
  </sheetData>
  <mergeCells count="15">
    <mergeCell ref="A56:A61"/>
    <mergeCell ref="C4:D4"/>
    <mergeCell ref="AK2:AO2"/>
    <mergeCell ref="F3:J3"/>
    <mergeCell ref="K3:O3"/>
    <mergeCell ref="R3:V3"/>
    <mergeCell ref="W3:AA3"/>
    <mergeCell ref="AD3:AH3"/>
    <mergeCell ref="AK3:AO3"/>
    <mergeCell ref="AD2:AH2"/>
    <mergeCell ref="A1:N1"/>
    <mergeCell ref="F2:J2"/>
    <mergeCell ref="K2:O2"/>
    <mergeCell ref="R2:V2"/>
    <mergeCell ref="W2:AA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072BF-3CCE-4ED0-80DA-DC5046E3A29B}">
  <sheetPr>
    <tabColor theme="5"/>
  </sheetPr>
  <dimension ref="A1:AO66"/>
  <sheetViews>
    <sheetView workbookViewId="0">
      <selection sqref="A1:N1"/>
    </sheetView>
  </sheetViews>
  <sheetFormatPr defaultRowHeight="14.25" outlineLevelRow="1" outlineLevelCol="1"/>
  <cols>
    <col min="1" max="1" width="13.875" bestFit="1" customWidth="1"/>
    <col min="2" max="2" width="17.875" bestFit="1" customWidth="1"/>
    <col min="3" max="3" width="19" bestFit="1" customWidth="1"/>
    <col min="4" max="4" width="12.125" bestFit="1" customWidth="1"/>
    <col min="5" max="5" width="14.625" customWidth="1" outlineLevel="1"/>
    <col min="6" max="15" width="14.75" customWidth="1" outlineLevel="1"/>
    <col min="17" max="17" width="19.875" customWidth="1" outlineLevel="1"/>
    <col min="18" max="27" width="14.75" customWidth="1" outlineLevel="1"/>
    <col min="29" max="29" width="11.75" customWidth="1" outlineLevel="1"/>
    <col min="30" max="34" width="14.75" customWidth="1" outlineLevel="1"/>
    <col min="35" max="35" width="9" outlineLevel="1"/>
    <col min="36" max="36" width="7.25" bestFit="1" customWidth="1"/>
    <col min="37" max="41" width="14.75" customWidth="1"/>
  </cols>
  <sheetData>
    <row r="1" spans="1:41" ht="78.75" customHeight="1">
      <c r="A1" s="316" t="s">
        <v>189</v>
      </c>
      <c r="B1" s="317"/>
      <c r="C1" s="317"/>
      <c r="D1" s="317"/>
      <c r="E1" s="317"/>
      <c r="F1" s="317"/>
      <c r="G1" s="317"/>
      <c r="H1" s="317"/>
      <c r="I1" s="317"/>
      <c r="J1" s="317"/>
      <c r="K1" s="317"/>
      <c r="L1" s="317"/>
      <c r="M1" s="317"/>
      <c r="N1" s="317"/>
    </row>
    <row r="2" spans="1:41" s="210" customFormat="1" ht="14.25" customHeight="1">
      <c r="A2" s="205"/>
      <c r="B2" s="205"/>
      <c r="C2" s="205"/>
      <c r="D2" s="206"/>
      <c r="E2" s="207" t="s">
        <v>162</v>
      </c>
      <c r="F2" s="345" t="s">
        <v>96</v>
      </c>
      <c r="G2" s="346"/>
      <c r="H2" s="346"/>
      <c r="I2" s="346"/>
      <c r="J2" s="346"/>
      <c r="K2" s="345" t="s">
        <v>97</v>
      </c>
      <c r="L2" s="346"/>
      <c r="M2" s="346"/>
      <c r="N2" s="346"/>
      <c r="O2" s="357"/>
      <c r="P2" s="208"/>
      <c r="Q2" s="209" t="s">
        <v>163</v>
      </c>
      <c r="R2" s="345" t="s">
        <v>93</v>
      </c>
      <c r="S2" s="346"/>
      <c r="T2" s="346"/>
      <c r="U2" s="346"/>
      <c r="V2" s="357"/>
      <c r="W2" s="345" t="s">
        <v>95</v>
      </c>
      <c r="X2" s="346"/>
      <c r="Y2" s="346"/>
      <c r="Z2" s="346"/>
      <c r="AA2" s="357"/>
      <c r="AB2" s="205"/>
      <c r="AC2" s="205" t="s">
        <v>127</v>
      </c>
      <c r="AD2" s="358"/>
      <c r="AE2" s="359"/>
      <c r="AF2" s="359"/>
      <c r="AG2" s="359"/>
      <c r="AH2" s="360"/>
      <c r="AI2" s="205"/>
      <c r="AJ2" s="205" t="s">
        <v>29</v>
      </c>
      <c r="AK2" s="358"/>
      <c r="AL2" s="359"/>
      <c r="AM2" s="359"/>
      <c r="AN2" s="359"/>
      <c r="AO2" s="360"/>
    </row>
    <row r="3" spans="1:41" s="210" customFormat="1" ht="14.25" customHeight="1">
      <c r="A3" s="205"/>
      <c r="B3" s="205"/>
      <c r="C3" s="205"/>
      <c r="D3" s="211"/>
      <c r="E3" s="212" t="s">
        <v>90</v>
      </c>
      <c r="F3" s="347" t="s">
        <v>91</v>
      </c>
      <c r="G3" s="348"/>
      <c r="H3" s="348"/>
      <c r="I3" s="348"/>
      <c r="J3" s="348"/>
      <c r="K3" s="347" t="s">
        <v>100</v>
      </c>
      <c r="L3" s="348"/>
      <c r="M3" s="348"/>
      <c r="N3" s="348"/>
      <c r="O3" s="361"/>
      <c r="P3" s="208"/>
      <c r="Q3" s="209" t="s">
        <v>164</v>
      </c>
      <c r="R3" s="347" t="s">
        <v>92</v>
      </c>
      <c r="S3" s="348"/>
      <c r="T3" s="348"/>
      <c r="U3" s="348"/>
      <c r="V3" s="361"/>
      <c r="W3" s="347" t="s">
        <v>94</v>
      </c>
      <c r="X3" s="348"/>
      <c r="Y3" s="348"/>
      <c r="Z3" s="348"/>
      <c r="AA3" s="361"/>
      <c r="AB3" s="205"/>
      <c r="AC3" s="205" t="s">
        <v>126</v>
      </c>
      <c r="AD3" s="362"/>
      <c r="AE3" s="363"/>
      <c r="AF3" s="363"/>
      <c r="AG3" s="363"/>
      <c r="AH3" s="364"/>
      <c r="AI3" s="205"/>
      <c r="AJ3" s="205" t="s">
        <v>128</v>
      </c>
      <c r="AK3" s="362"/>
      <c r="AL3" s="363"/>
      <c r="AM3" s="363"/>
      <c r="AN3" s="363"/>
      <c r="AO3" s="364"/>
    </row>
    <row r="4" spans="1:41" s="210" customFormat="1" ht="15">
      <c r="A4" s="213" t="s">
        <v>50</v>
      </c>
      <c r="B4" s="213" t="s">
        <v>165</v>
      </c>
      <c r="C4" s="343" t="s">
        <v>98</v>
      </c>
      <c r="D4" s="343"/>
      <c r="E4" s="196"/>
      <c r="F4" s="214" t="s">
        <v>83</v>
      </c>
      <c r="G4" s="215" t="s">
        <v>84</v>
      </c>
      <c r="H4" s="215" t="s">
        <v>85</v>
      </c>
      <c r="I4" s="215" t="s">
        <v>86</v>
      </c>
      <c r="J4" s="215" t="s">
        <v>87</v>
      </c>
      <c r="K4" s="214" t="s">
        <v>83</v>
      </c>
      <c r="L4" s="215" t="s">
        <v>84</v>
      </c>
      <c r="M4" s="215" t="s">
        <v>85</v>
      </c>
      <c r="N4" s="215" t="s">
        <v>86</v>
      </c>
      <c r="O4" s="216" t="s">
        <v>87</v>
      </c>
      <c r="P4" s="217"/>
      <c r="Q4" s="217"/>
      <c r="R4" s="214" t="s">
        <v>83</v>
      </c>
      <c r="S4" s="215" t="s">
        <v>84</v>
      </c>
      <c r="T4" s="215" t="s">
        <v>85</v>
      </c>
      <c r="U4" s="215" t="s">
        <v>86</v>
      </c>
      <c r="V4" s="216" t="s">
        <v>87</v>
      </c>
      <c r="W4" s="214" t="s">
        <v>83</v>
      </c>
      <c r="X4" s="215" t="s">
        <v>84</v>
      </c>
      <c r="Y4" s="215" t="s">
        <v>85</v>
      </c>
      <c r="Z4" s="215" t="s">
        <v>86</v>
      </c>
      <c r="AA4" s="216" t="s">
        <v>87</v>
      </c>
      <c r="AB4" s="205"/>
      <c r="AC4" s="217"/>
      <c r="AD4" s="214" t="s">
        <v>83</v>
      </c>
      <c r="AE4" s="215" t="s">
        <v>84</v>
      </c>
      <c r="AF4" s="215" t="s">
        <v>85</v>
      </c>
      <c r="AG4" s="215" t="s">
        <v>86</v>
      </c>
      <c r="AH4" s="216" t="s">
        <v>87</v>
      </c>
      <c r="AI4" s="205"/>
      <c r="AJ4" s="217"/>
      <c r="AK4" s="214" t="s">
        <v>83</v>
      </c>
      <c r="AL4" s="215" t="s">
        <v>84</v>
      </c>
      <c r="AM4" s="215" t="s">
        <v>85</v>
      </c>
      <c r="AN4" s="215" t="s">
        <v>86</v>
      </c>
      <c r="AO4" s="216" t="s">
        <v>87</v>
      </c>
    </row>
    <row r="5" spans="1:41" s="58" customFormat="1">
      <c r="A5" s="144"/>
      <c r="B5" s="145"/>
      <c r="C5" s="218" t="s">
        <v>117</v>
      </c>
      <c r="D5" s="219" t="s">
        <v>0</v>
      </c>
      <c r="E5" s="162"/>
      <c r="F5" s="220">
        <v>6</v>
      </c>
      <c r="G5" s="221">
        <v>5</v>
      </c>
      <c r="H5" s="221">
        <v>5</v>
      </c>
      <c r="I5" s="221">
        <v>3</v>
      </c>
      <c r="J5" s="221">
        <v>3</v>
      </c>
      <c r="K5" s="220">
        <v>5</v>
      </c>
      <c r="L5" s="221">
        <v>5</v>
      </c>
      <c r="M5" s="221">
        <v>5</v>
      </c>
      <c r="N5" s="221">
        <v>5</v>
      </c>
      <c r="O5" s="222">
        <v>5</v>
      </c>
      <c r="P5" s="161"/>
      <c r="Q5" s="161"/>
      <c r="R5" s="220"/>
      <c r="S5" s="221"/>
      <c r="T5" s="221"/>
      <c r="U5" s="221"/>
      <c r="V5" s="222"/>
      <c r="W5" s="220"/>
      <c r="X5" s="221"/>
      <c r="Y5" s="221"/>
      <c r="Z5" s="221"/>
      <c r="AA5" s="222"/>
      <c r="AB5" s="162"/>
      <c r="AC5" s="162"/>
      <c r="AD5" s="218"/>
      <c r="AE5" s="219"/>
      <c r="AF5" s="219"/>
      <c r="AG5" s="219"/>
      <c r="AH5" s="223"/>
      <c r="AI5" s="162"/>
      <c r="AJ5" s="162"/>
      <c r="AK5" s="144"/>
      <c r="AO5" s="145"/>
    </row>
    <row r="6" spans="1:41" s="58" customFormat="1">
      <c r="A6" s="144"/>
      <c r="B6" s="145"/>
      <c r="C6" s="218" t="s">
        <v>118</v>
      </c>
      <c r="D6" s="219" t="s">
        <v>125</v>
      </c>
      <c r="E6" s="162"/>
      <c r="F6" s="220">
        <v>3</v>
      </c>
      <c r="G6" s="221">
        <v>3</v>
      </c>
      <c r="H6" s="221">
        <v>3</v>
      </c>
      <c r="I6" s="221">
        <v>3</v>
      </c>
      <c r="J6" s="221">
        <v>3</v>
      </c>
      <c r="K6" s="220">
        <v>6</v>
      </c>
      <c r="L6" s="221">
        <v>6</v>
      </c>
      <c r="M6" s="221">
        <v>6</v>
      </c>
      <c r="N6" s="221">
        <v>6</v>
      </c>
      <c r="O6" s="222">
        <v>6</v>
      </c>
      <c r="P6" s="161"/>
      <c r="Q6" s="161"/>
      <c r="R6" s="220"/>
      <c r="S6" s="221"/>
      <c r="T6" s="221"/>
      <c r="U6" s="221"/>
      <c r="V6" s="222"/>
      <c r="W6" s="220"/>
      <c r="X6" s="221"/>
      <c r="Y6" s="221"/>
      <c r="Z6" s="221"/>
      <c r="AA6" s="222"/>
      <c r="AB6" s="162"/>
      <c r="AC6" s="162"/>
      <c r="AD6" s="218"/>
      <c r="AE6" s="219"/>
      <c r="AF6" s="219"/>
      <c r="AG6" s="219"/>
      <c r="AH6" s="223"/>
      <c r="AI6" s="162"/>
      <c r="AJ6" s="162"/>
      <c r="AK6" s="144"/>
      <c r="AO6" s="145"/>
    </row>
    <row r="7" spans="1:41" s="58" customFormat="1">
      <c r="A7" s="144"/>
      <c r="B7" s="145"/>
      <c r="C7" s="218" t="s">
        <v>123</v>
      </c>
      <c r="D7" s="219" t="s">
        <v>124</v>
      </c>
      <c r="E7" s="162"/>
      <c r="F7" s="220">
        <v>100</v>
      </c>
      <c r="G7" s="221">
        <v>120</v>
      </c>
      <c r="H7" s="221">
        <v>140</v>
      </c>
      <c r="I7" s="221">
        <v>160</v>
      </c>
      <c r="J7" s="221">
        <v>200</v>
      </c>
      <c r="K7" s="220">
        <v>20</v>
      </c>
      <c r="L7" s="221">
        <v>22</v>
      </c>
      <c r="M7" s="221">
        <v>24</v>
      </c>
      <c r="N7" s="221">
        <v>26</v>
      </c>
      <c r="O7" s="222">
        <v>30</v>
      </c>
      <c r="P7" s="161"/>
      <c r="Q7" s="161"/>
      <c r="R7" s="220"/>
      <c r="S7" s="221"/>
      <c r="T7" s="221"/>
      <c r="U7" s="221"/>
      <c r="V7" s="222"/>
      <c r="W7" s="220"/>
      <c r="X7" s="221"/>
      <c r="Y7" s="221"/>
      <c r="Z7" s="221"/>
      <c r="AA7" s="222"/>
      <c r="AB7" s="162"/>
      <c r="AC7" s="162"/>
      <c r="AD7" s="218"/>
      <c r="AE7" s="219"/>
      <c r="AF7" s="219"/>
      <c r="AG7" s="219"/>
      <c r="AH7" s="223"/>
      <c r="AI7" s="162"/>
      <c r="AJ7" s="162"/>
      <c r="AK7" s="144"/>
      <c r="AO7" s="145"/>
    </row>
    <row r="8" spans="1:41" s="58" customFormat="1">
      <c r="A8" s="144"/>
      <c r="B8" s="145"/>
      <c r="C8" s="218" t="s">
        <v>135</v>
      </c>
      <c r="D8" s="219"/>
      <c r="E8" s="162"/>
      <c r="F8" s="220">
        <v>1</v>
      </c>
      <c r="G8" s="221">
        <v>1.03</v>
      </c>
      <c r="H8" s="221">
        <v>1.04</v>
      </c>
      <c r="I8" s="221">
        <v>1.04</v>
      </c>
      <c r="J8" s="221">
        <v>1.04</v>
      </c>
      <c r="K8" s="220">
        <v>1</v>
      </c>
      <c r="L8" s="221">
        <v>1.03</v>
      </c>
      <c r="M8" s="221">
        <v>1.04</v>
      </c>
      <c r="N8" s="221">
        <v>1.04</v>
      </c>
      <c r="O8" s="222">
        <v>1.04</v>
      </c>
      <c r="P8" s="161"/>
      <c r="Q8" s="161"/>
      <c r="R8" s="220"/>
      <c r="S8" s="221"/>
      <c r="T8" s="221"/>
      <c r="U8" s="221"/>
      <c r="V8" s="222"/>
      <c r="W8" s="220"/>
      <c r="X8" s="221"/>
      <c r="Y8" s="221"/>
      <c r="Z8" s="221"/>
      <c r="AA8" s="222"/>
      <c r="AB8" s="162"/>
      <c r="AC8" s="162"/>
      <c r="AD8" s="218"/>
      <c r="AE8" s="219"/>
      <c r="AF8" s="219"/>
      <c r="AG8" s="219"/>
      <c r="AH8" s="223"/>
      <c r="AI8" s="162"/>
      <c r="AJ8" s="162"/>
      <c r="AK8" s="144"/>
      <c r="AO8" s="145"/>
    </row>
    <row r="9" spans="1:41" s="232" customFormat="1">
      <c r="A9" s="224"/>
      <c r="B9" s="225"/>
      <c r="C9" s="226" t="s">
        <v>188</v>
      </c>
      <c r="D9" s="227"/>
      <c r="E9" s="200"/>
      <c r="F9" s="228">
        <v>1</v>
      </c>
      <c r="G9" s="229">
        <v>1.05</v>
      </c>
      <c r="H9" s="229">
        <v>1.06</v>
      </c>
      <c r="I9" s="229">
        <v>1.07</v>
      </c>
      <c r="J9" s="229">
        <v>1.0900000000000001</v>
      </c>
      <c r="K9" s="228">
        <v>1</v>
      </c>
      <c r="L9" s="229">
        <v>1.05</v>
      </c>
      <c r="M9" s="229">
        <v>1.06</v>
      </c>
      <c r="N9" s="229">
        <v>1.07</v>
      </c>
      <c r="O9" s="230">
        <v>1.0900000000000001</v>
      </c>
      <c r="P9" s="185"/>
      <c r="Q9" s="185"/>
      <c r="R9" s="228"/>
      <c r="S9" s="229"/>
      <c r="T9" s="229"/>
      <c r="U9" s="229"/>
      <c r="V9" s="230"/>
      <c r="W9" s="228"/>
      <c r="X9" s="229"/>
      <c r="Y9" s="229"/>
      <c r="Z9" s="229"/>
      <c r="AA9" s="230"/>
      <c r="AB9" s="200"/>
      <c r="AC9" s="200"/>
      <c r="AD9" s="226"/>
      <c r="AE9" s="227"/>
      <c r="AF9" s="227"/>
      <c r="AG9" s="227"/>
      <c r="AH9" s="231"/>
      <c r="AI9" s="200"/>
      <c r="AJ9" s="200"/>
      <c r="AK9" s="224"/>
      <c r="AO9" s="225"/>
    </row>
    <row r="10" spans="1:41">
      <c r="A10" s="61"/>
      <c r="B10" s="62"/>
      <c r="C10" s="61"/>
      <c r="E10" s="162"/>
      <c r="F10" s="63"/>
      <c r="G10" s="65"/>
      <c r="H10" s="65"/>
      <c r="I10" s="65"/>
      <c r="J10" s="65"/>
      <c r="K10" s="63"/>
      <c r="L10" s="65"/>
      <c r="M10" s="65"/>
      <c r="N10" s="65"/>
      <c r="O10" s="64"/>
      <c r="P10" s="161"/>
      <c r="Q10" s="161"/>
      <c r="R10" s="63"/>
      <c r="S10" s="65"/>
      <c r="T10" s="65"/>
      <c r="U10" s="65"/>
      <c r="V10" s="64"/>
      <c r="W10" s="63"/>
      <c r="X10" s="65"/>
      <c r="AA10" s="62"/>
      <c r="AB10" s="162"/>
      <c r="AC10" s="162"/>
      <c r="AD10" s="61"/>
      <c r="AH10" s="62"/>
      <c r="AI10" s="162"/>
      <c r="AJ10" s="162"/>
      <c r="AK10" s="61"/>
      <c r="AO10" s="62"/>
    </row>
    <row r="11" spans="1:41" s="72" customFormat="1" outlineLevel="1">
      <c r="A11" s="335" t="s">
        <v>166</v>
      </c>
      <c r="B11" s="337" t="s">
        <v>93</v>
      </c>
      <c r="C11" s="67" t="s">
        <v>116</v>
      </c>
      <c r="D11" s="72" t="s">
        <v>0</v>
      </c>
      <c r="E11" s="162"/>
      <c r="F11" s="220"/>
      <c r="G11" s="221"/>
      <c r="H11" s="221"/>
      <c r="I11" s="221"/>
      <c r="J11" s="221"/>
      <c r="K11" s="220"/>
      <c r="L11" s="221"/>
      <c r="M11" s="221"/>
      <c r="N11" s="221"/>
      <c r="O11" s="222"/>
      <c r="P11" s="161"/>
      <c r="Q11" s="161"/>
      <c r="R11" s="220"/>
      <c r="S11" s="221"/>
      <c r="T11" s="221"/>
      <c r="U11" s="221"/>
      <c r="V11" s="222"/>
      <c r="W11" s="220"/>
      <c r="X11" s="221"/>
      <c r="Y11" s="219"/>
      <c r="Z11" s="219"/>
      <c r="AA11" s="223"/>
      <c r="AB11" s="162"/>
      <c r="AC11" s="162"/>
      <c r="AD11" s="220"/>
      <c r="AE11" s="221"/>
      <c r="AF11" s="219"/>
      <c r="AG11" s="219"/>
      <c r="AH11" s="223"/>
      <c r="AI11" s="162"/>
      <c r="AJ11" s="162"/>
      <c r="AK11" s="220">
        <f t="shared" ref="AK11:AO16" si="0">F11+K11+R11+W11+AD11</f>
        <v>0</v>
      </c>
      <c r="AL11" s="221">
        <f t="shared" si="0"/>
        <v>0</v>
      </c>
      <c r="AM11" s="221">
        <f t="shared" si="0"/>
        <v>0</v>
      </c>
      <c r="AN11" s="221">
        <f t="shared" si="0"/>
        <v>0</v>
      </c>
      <c r="AO11" s="222">
        <f t="shared" si="0"/>
        <v>0</v>
      </c>
    </row>
    <row r="12" spans="1:41" s="72" customFormat="1" outlineLevel="1">
      <c r="A12" s="336"/>
      <c r="B12" s="337"/>
      <c r="C12" s="67" t="s">
        <v>167</v>
      </c>
      <c r="D12" s="233"/>
      <c r="E12" s="162"/>
      <c r="F12" s="234"/>
      <c r="G12" s="235"/>
      <c r="H12" s="221"/>
      <c r="I12" s="221"/>
      <c r="J12" s="221"/>
      <c r="K12" s="220"/>
      <c r="L12" s="221"/>
      <c r="M12" s="221"/>
      <c r="N12" s="221"/>
      <c r="O12" s="222"/>
      <c r="P12" s="161"/>
      <c r="Q12" s="161"/>
      <c r="R12" s="220"/>
      <c r="S12" s="221"/>
      <c r="T12" s="221"/>
      <c r="U12" s="221"/>
      <c r="V12" s="222"/>
      <c r="W12" s="220"/>
      <c r="X12" s="221"/>
      <c r="Y12" s="219"/>
      <c r="Z12" s="219"/>
      <c r="AA12" s="223"/>
      <c r="AB12" s="162"/>
      <c r="AC12" s="162"/>
      <c r="AD12" s="220"/>
      <c r="AE12" s="221"/>
      <c r="AF12" s="219"/>
      <c r="AG12" s="219"/>
      <c r="AH12" s="223"/>
      <c r="AI12" s="162"/>
      <c r="AJ12" s="162"/>
      <c r="AK12" s="234">
        <f t="shared" si="0"/>
        <v>0</v>
      </c>
      <c r="AL12" s="235">
        <f t="shared" si="0"/>
        <v>0</v>
      </c>
      <c r="AM12" s="236">
        <f t="shared" si="0"/>
        <v>0</v>
      </c>
      <c r="AN12" s="236">
        <f t="shared" si="0"/>
        <v>0</v>
      </c>
      <c r="AO12" s="237">
        <f t="shared" si="0"/>
        <v>0</v>
      </c>
    </row>
    <row r="13" spans="1:41" s="72" customFormat="1" outlineLevel="1">
      <c r="A13" s="336"/>
      <c r="B13" s="338" t="s">
        <v>38</v>
      </c>
      <c r="C13" s="67" t="s">
        <v>116</v>
      </c>
      <c r="D13" s="72" t="s">
        <v>0</v>
      </c>
      <c r="E13" s="162"/>
      <c r="F13" s="220">
        <v>0.1</v>
      </c>
      <c r="G13" s="221">
        <v>0.5</v>
      </c>
      <c r="H13" s="221"/>
      <c r="I13" s="221"/>
      <c r="J13" s="221"/>
      <c r="K13" s="220"/>
      <c r="L13" s="221"/>
      <c r="M13" s="221"/>
      <c r="N13" s="221"/>
      <c r="O13" s="222"/>
      <c r="P13" s="161"/>
      <c r="Q13" s="161"/>
      <c r="R13" s="220">
        <v>0.6</v>
      </c>
      <c r="S13" s="221"/>
      <c r="T13" s="221"/>
      <c r="U13" s="221"/>
      <c r="V13" s="222"/>
      <c r="W13" s="220">
        <v>0.2</v>
      </c>
      <c r="X13" s="221"/>
      <c r="Y13" s="219"/>
      <c r="Z13" s="219"/>
      <c r="AA13" s="223"/>
      <c r="AB13" s="162"/>
      <c r="AC13" s="162"/>
      <c r="AD13" s="220">
        <v>0.2</v>
      </c>
      <c r="AE13" s="221"/>
      <c r="AF13" s="219"/>
      <c r="AG13" s="219"/>
      <c r="AH13" s="223"/>
      <c r="AI13" s="162"/>
      <c r="AJ13" s="162"/>
      <c r="AK13" s="220">
        <f t="shared" si="0"/>
        <v>1.0999999999999999</v>
      </c>
      <c r="AL13" s="221">
        <f t="shared" si="0"/>
        <v>0.5</v>
      </c>
      <c r="AM13" s="221">
        <f t="shared" si="0"/>
        <v>0</v>
      </c>
      <c r="AN13" s="221">
        <f t="shared" si="0"/>
        <v>0</v>
      </c>
      <c r="AO13" s="222">
        <f t="shared" si="0"/>
        <v>0</v>
      </c>
    </row>
    <row r="14" spans="1:41" s="72" customFormat="1" outlineLevel="1">
      <c r="A14" s="336"/>
      <c r="B14" s="339"/>
      <c r="C14" s="67" t="s">
        <v>167</v>
      </c>
      <c r="D14" s="233">
        <v>550000</v>
      </c>
      <c r="E14" s="162"/>
      <c r="F14" s="238">
        <f>F13*D14</f>
        <v>55000</v>
      </c>
      <c r="G14" s="236">
        <f>G13*G8*D14</f>
        <v>283250</v>
      </c>
      <c r="H14" s="219"/>
      <c r="I14" s="219"/>
      <c r="J14" s="219"/>
      <c r="K14" s="218"/>
      <c r="L14" s="219"/>
      <c r="M14" s="219"/>
      <c r="N14" s="219"/>
      <c r="O14" s="223"/>
      <c r="P14" s="162"/>
      <c r="Q14" s="162"/>
      <c r="R14" s="238">
        <f>R13*$D14</f>
        <v>330000</v>
      </c>
      <c r="S14" s="219"/>
      <c r="T14" s="219"/>
      <c r="U14" s="219"/>
      <c r="V14" s="223"/>
      <c r="W14" s="238">
        <f>W13*$D14</f>
        <v>110000</v>
      </c>
      <c r="X14" s="221"/>
      <c r="Y14" s="219"/>
      <c r="Z14" s="219"/>
      <c r="AA14" s="223"/>
      <c r="AB14" s="162"/>
      <c r="AC14" s="162"/>
      <c r="AD14" s="238">
        <f>AD13*$D14</f>
        <v>110000</v>
      </c>
      <c r="AE14" s="221"/>
      <c r="AF14" s="219"/>
      <c r="AG14" s="219"/>
      <c r="AH14" s="223"/>
      <c r="AI14" s="162"/>
      <c r="AJ14" s="162"/>
      <c r="AK14" s="238">
        <f t="shared" si="0"/>
        <v>605000</v>
      </c>
      <c r="AL14" s="235">
        <f t="shared" si="0"/>
        <v>283250</v>
      </c>
      <c r="AM14" s="236">
        <f t="shared" si="0"/>
        <v>0</v>
      </c>
      <c r="AN14" s="236">
        <f t="shared" si="0"/>
        <v>0</v>
      </c>
      <c r="AO14" s="237">
        <f t="shared" si="0"/>
        <v>0</v>
      </c>
    </row>
    <row r="15" spans="1:41" s="72" customFormat="1" outlineLevel="1">
      <c r="A15" s="336"/>
      <c r="B15" s="338"/>
      <c r="C15" s="67" t="s">
        <v>116</v>
      </c>
      <c r="D15" s="72" t="s">
        <v>0</v>
      </c>
      <c r="E15" s="162"/>
      <c r="F15" s="238"/>
      <c r="G15" s="236"/>
      <c r="H15" s="219"/>
      <c r="I15" s="219"/>
      <c r="J15" s="219"/>
      <c r="K15" s="218"/>
      <c r="L15" s="219"/>
      <c r="M15" s="219"/>
      <c r="N15" s="219"/>
      <c r="O15" s="223"/>
      <c r="P15" s="162"/>
      <c r="Q15" s="162"/>
      <c r="R15" s="218"/>
      <c r="S15" s="219"/>
      <c r="T15" s="219"/>
      <c r="U15" s="219"/>
      <c r="V15" s="223"/>
      <c r="W15" s="218"/>
      <c r="X15" s="221"/>
      <c r="Y15" s="219"/>
      <c r="Z15" s="219"/>
      <c r="AA15" s="223"/>
      <c r="AB15" s="162"/>
      <c r="AC15" s="162"/>
      <c r="AD15" s="218"/>
      <c r="AE15" s="221"/>
      <c r="AF15" s="219"/>
      <c r="AG15" s="219"/>
      <c r="AH15" s="223"/>
      <c r="AI15" s="162"/>
      <c r="AJ15" s="162"/>
      <c r="AK15" s="220">
        <f t="shared" si="0"/>
        <v>0</v>
      </c>
      <c r="AL15" s="221">
        <f t="shared" si="0"/>
        <v>0</v>
      </c>
      <c r="AM15" s="221">
        <f t="shared" si="0"/>
        <v>0</v>
      </c>
      <c r="AN15" s="221">
        <f t="shared" si="0"/>
        <v>0</v>
      </c>
      <c r="AO15" s="222">
        <f t="shared" si="0"/>
        <v>0</v>
      </c>
    </row>
    <row r="16" spans="1:41" s="72" customFormat="1" outlineLevel="1">
      <c r="A16" s="336"/>
      <c r="B16" s="339"/>
      <c r="C16" s="67" t="s">
        <v>167</v>
      </c>
      <c r="D16" s="239"/>
      <c r="E16" s="162"/>
      <c r="F16" s="228"/>
      <c r="G16" s="229"/>
      <c r="H16" s="229"/>
      <c r="I16" s="229"/>
      <c r="J16" s="229"/>
      <c r="K16" s="228"/>
      <c r="L16" s="229"/>
      <c r="M16" s="229"/>
      <c r="N16" s="229"/>
      <c r="O16" s="230"/>
      <c r="P16" s="161"/>
      <c r="Q16" s="161"/>
      <c r="R16" s="220"/>
      <c r="S16" s="221"/>
      <c r="T16" s="221"/>
      <c r="U16" s="221"/>
      <c r="V16" s="222"/>
      <c r="W16" s="220"/>
      <c r="X16" s="221"/>
      <c r="Y16" s="219"/>
      <c r="Z16" s="219"/>
      <c r="AA16" s="223"/>
      <c r="AB16" s="162"/>
      <c r="AC16" s="162"/>
      <c r="AD16" s="220"/>
      <c r="AE16" s="221"/>
      <c r="AF16" s="219"/>
      <c r="AG16" s="219"/>
      <c r="AH16" s="223"/>
      <c r="AI16" s="162"/>
      <c r="AJ16" s="162"/>
      <c r="AK16" s="234">
        <f t="shared" si="0"/>
        <v>0</v>
      </c>
      <c r="AL16" s="235">
        <f t="shared" si="0"/>
        <v>0</v>
      </c>
      <c r="AM16" s="236">
        <f t="shared" si="0"/>
        <v>0</v>
      </c>
      <c r="AN16" s="236">
        <f t="shared" si="0"/>
        <v>0</v>
      </c>
      <c r="AO16" s="237">
        <f t="shared" si="0"/>
        <v>0</v>
      </c>
    </row>
    <row r="17" spans="1:41" s="72" customFormat="1" ht="15">
      <c r="A17" s="340" t="s">
        <v>136</v>
      </c>
      <c r="B17" s="341"/>
      <c r="C17" s="341"/>
      <c r="D17" s="341"/>
      <c r="E17" s="342"/>
      <c r="F17" s="120">
        <f>SUM(F12,F14,F16)</f>
        <v>55000</v>
      </c>
      <c r="G17" s="84">
        <f>SUM(G12,G14,G16)</f>
        <v>283250</v>
      </c>
      <c r="H17" s="84">
        <f>SUM(H12,H14,H16)</f>
        <v>0</v>
      </c>
      <c r="I17" s="84">
        <f>SUM(I12,I14,I16)</f>
        <v>0</v>
      </c>
      <c r="J17" s="84">
        <f>SUM(J12,J14,J16)</f>
        <v>0</v>
      </c>
      <c r="K17" s="84"/>
      <c r="L17" s="84"/>
      <c r="M17" s="84"/>
      <c r="N17" s="84"/>
      <c r="O17" s="84"/>
      <c r="P17" s="163"/>
      <c r="Q17" s="163"/>
      <c r="R17" s="84">
        <f t="shared" ref="R17:AA17" si="1">SUM(R11:R16)</f>
        <v>330000.59999999998</v>
      </c>
      <c r="S17" s="84">
        <f t="shared" si="1"/>
        <v>0</v>
      </c>
      <c r="T17" s="84">
        <f t="shared" si="1"/>
        <v>0</v>
      </c>
      <c r="U17" s="84">
        <f t="shared" si="1"/>
        <v>0</v>
      </c>
      <c r="V17" s="84">
        <f t="shared" si="1"/>
        <v>0</v>
      </c>
      <c r="W17" s="84">
        <f t="shared" si="1"/>
        <v>110000.2</v>
      </c>
      <c r="X17" s="84">
        <f t="shared" si="1"/>
        <v>0</v>
      </c>
      <c r="Y17" s="84">
        <f t="shared" si="1"/>
        <v>0</v>
      </c>
      <c r="Z17" s="84">
        <f t="shared" si="1"/>
        <v>0</v>
      </c>
      <c r="AA17" s="84">
        <f t="shared" si="1"/>
        <v>0</v>
      </c>
      <c r="AB17" s="162"/>
      <c r="AC17" s="162"/>
      <c r="AD17" s="84">
        <f>SUM(AD11:AD16)</f>
        <v>110000.2</v>
      </c>
      <c r="AE17" s="84">
        <f>SUM(AE11:AE16)</f>
        <v>0</v>
      </c>
      <c r="AF17" s="84">
        <f>SUM(AF11:AF16)</f>
        <v>0</v>
      </c>
      <c r="AG17" s="84">
        <f>SUM(AG11:AG16)</f>
        <v>0</v>
      </c>
      <c r="AH17" s="84">
        <f>SUM(AH11:AH16)</f>
        <v>0</v>
      </c>
      <c r="AI17" s="162"/>
      <c r="AJ17" s="162"/>
      <c r="AK17" s="84">
        <f>SUM(AK11:AK16)</f>
        <v>605001.1</v>
      </c>
      <c r="AL17" s="84">
        <f>SUM(AL11:AL16)</f>
        <v>283250.5</v>
      </c>
      <c r="AM17" s="84">
        <f>SUM(AM11:AM16)</f>
        <v>0</v>
      </c>
      <c r="AN17" s="84">
        <f>SUM(AN11:AN16)</f>
        <v>0</v>
      </c>
      <c r="AO17" s="240">
        <f>SUM(AO11:AO16)</f>
        <v>0</v>
      </c>
    </row>
    <row r="18" spans="1:41">
      <c r="E18" s="162"/>
      <c r="F18" s="61"/>
      <c r="K18" s="61"/>
      <c r="O18" s="62"/>
      <c r="P18" s="162"/>
      <c r="Q18" s="162"/>
      <c r="R18" s="61"/>
      <c r="V18" s="62"/>
      <c r="W18" s="61"/>
      <c r="AA18" s="62"/>
      <c r="AB18" s="162"/>
      <c r="AC18" s="162"/>
      <c r="AD18" s="61"/>
      <c r="AH18" s="62"/>
      <c r="AI18" s="162"/>
      <c r="AJ18" s="162"/>
      <c r="AK18" s="61"/>
      <c r="AO18" s="62"/>
    </row>
    <row r="19" spans="1:41" s="88" customFormat="1" outlineLevel="1">
      <c r="A19" s="355" t="s">
        <v>168</v>
      </c>
      <c r="B19" s="166" t="s">
        <v>169</v>
      </c>
      <c r="D19" s="89" t="s">
        <v>110</v>
      </c>
      <c r="E19" s="162"/>
      <c r="F19" s="234">
        <v>1000</v>
      </c>
      <c r="G19" s="241" t="s">
        <v>170</v>
      </c>
      <c r="H19" s="241" t="s">
        <v>170</v>
      </c>
      <c r="I19" s="241" t="s">
        <v>170</v>
      </c>
      <c r="J19" s="242" t="s">
        <v>170</v>
      </c>
      <c r="K19" s="234">
        <v>1000</v>
      </c>
      <c r="L19" s="241" t="s">
        <v>170</v>
      </c>
      <c r="M19" s="241" t="s">
        <v>170</v>
      </c>
      <c r="N19" s="241" t="s">
        <v>170</v>
      </c>
      <c r="O19" s="242" t="s">
        <v>170</v>
      </c>
      <c r="P19" s="162"/>
      <c r="Q19" s="162"/>
      <c r="R19" s="234">
        <v>1000</v>
      </c>
      <c r="S19" s="241" t="s">
        <v>170</v>
      </c>
      <c r="T19" s="241" t="s">
        <v>170</v>
      </c>
      <c r="U19" s="241" t="s">
        <v>170</v>
      </c>
      <c r="V19" s="242" t="s">
        <v>170</v>
      </c>
      <c r="W19" s="234">
        <v>1000</v>
      </c>
      <c r="X19" s="241" t="s">
        <v>170</v>
      </c>
      <c r="Y19" s="241" t="s">
        <v>170</v>
      </c>
      <c r="Z19" s="241" t="s">
        <v>170</v>
      </c>
      <c r="AA19" s="242" t="s">
        <v>170</v>
      </c>
      <c r="AB19" s="162"/>
      <c r="AC19" s="162"/>
      <c r="AD19" s="234">
        <v>1000</v>
      </c>
      <c r="AE19" s="241" t="s">
        <v>170</v>
      </c>
      <c r="AF19" s="241" t="s">
        <v>170</v>
      </c>
      <c r="AG19" s="241" t="s">
        <v>170</v>
      </c>
      <c r="AH19" s="242" t="s">
        <v>170</v>
      </c>
      <c r="AI19" s="162"/>
      <c r="AJ19" s="162"/>
      <c r="AK19" s="243">
        <f>SUM(F19,K19,R19,W19,AD19)</f>
        <v>5000</v>
      </c>
      <c r="AL19" s="241" t="s">
        <v>170</v>
      </c>
      <c r="AM19" s="241" t="s">
        <v>170</v>
      </c>
      <c r="AN19" s="241" t="s">
        <v>170</v>
      </c>
      <c r="AO19" s="242" t="s">
        <v>170</v>
      </c>
    </row>
    <row r="20" spans="1:41" s="88" customFormat="1" outlineLevel="1">
      <c r="A20" s="356"/>
      <c r="B20" s="244" t="s">
        <v>171</v>
      </c>
      <c r="D20" s="89" t="s">
        <v>110</v>
      </c>
      <c r="E20" s="162"/>
      <c r="F20" s="234"/>
      <c r="G20" s="241" t="s">
        <v>170</v>
      </c>
      <c r="H20" s="241" t="s">
        <v>170</v>
      </c>
      <c r="I20" s="241" t="s">
        <v>170</v>
      </c>
      <c r="J20" s="242" t="s">
        <v>170</v>
      </c>
      <c r="K20" s="234"/>
      <c r="L20" s="241" t="s">
        <v>170</v>
      </c>
      <c r="M20" s="241" t="s">
        <v>170</v>
      </c>
      <c r="N20" s="241" t="s">
        <v>170</v>
      </c>
      <c r="O20" s="242" t="s">
        <v>170</v>
      </c>
      <c r="P20" s="162"/>
      <c r="Q20" s="162"/>
      <c r="R20" s="234"/>
      <c r="S20" s="241" t="s">
        <v>170</v>
      </c>
      <c r="T20" s="241" t="s">
        <v>170</v>
      </c>
      <c r="U20" s="241" t="s">
        <v>170</v>
      </c>
      <c r="V20" s="242" t="s">
        <v>170</v>
      </c>
      <c r="W20" s="234"/>
      <c r="X20" s="241" t="s">
        <v>170</v>
      </c>
      <c r="Y20" s="241" t="s">
        <v>170</v>
      </c>
      <c r="Z20" s="241" t="s">
        <v>170</v>
      </c>
      <c r="AA20" s="242" t="s">
        <v>170</v>
      </c>
      <c r="AB20" s="162"/>
      <c r="AC20" s="162"/>
      <c r="AD20" s="234"/>
      <c r="AE20" s="241" t="s">
        <v>170</v>
      </c>
      <c r="AF20" s="241" t="s">
        <v>170</v>
      </c>
      <c r="AG20" s="241" t="s">
        <v>170</v>
      </c>
      <c r="AH20" s="242" t="s">
        <v>170</v>
      </c>
      <c r="AI20" s="162"/>
      <c r="AJ20" s="162"/>
      <c r="AK20" s="243">
        <f>SUM(F20,K20,R20,W20,AD20)</f>
        <v>0</v>
      </c>
      <c r="AL20" s="241" t="s">
        <v>170</v>
      </c>
      <c r="AM20" s="241" t="s">
        <v>170</v>
      </c>
      <c r="AN20" s="241" t="s">
        <v>170</v>
      </c>
      <c r="AO20" s="242" t="s">
        <v>170</v>
      </c>
    </row>
    <row r="21" spans="1:41" s="88" customFormat="1" outlineLevel="1">
      <c r="A21" s="356"/>
      <c r="B21" s="244" t="s">
        <v>172</v>
      </c>
      <c r="D21" s="89" t="s">
        <v>110</v>
      </c>
      <c r="E21" s="162"/>
      <c r="F21" s="234"/>
      <c r="G21" s="241" t="s">
        <v>170</v>
      </c>
      <c r="H21" s="241" t="s">
        <v>170</v>
      </c>
      <c r="I21" s="241" t="s">
        <v>170</v>
      </c>
      <c r="J21" s="242" t="s">
        <v>170</v>
      </c>
      <c r="K21" s="234"/>
      <c r="L21" s="241" t="s">
        <v>170</v>
      </c>
      <c r="M21" s="241" t="s">
        <v>170</v>
      </c>
      <c r="N21" s="241" t="s">
        <v>170</v>
      </c>
      <c r="O21" s="242" t="s">
        <v>170</v>
      </c>
      <c r="P21" s="162"/>
      <c r="Q21" s="162"/>
      <c r="R21" s="234"/>
      <c r="S21" s="241" t="s">
        <v>170</v>
      </c>
      <c r="T21" s="241" t="s">
        <v>170</v>
      </c>
      <c r="U21" s="241" t="s">
        <v>170</v>
      </c>
      <c r="V21" s="242" t="s">
        <v>170</v>
      </c>
      <c r="W21" s="234"/>
      <c r="X21" s="241" t="s">
        <v>170</v>
      </c>
      <c r="Y21" s="241" t="s">
        <v>170</v>
      </c>
      <c r="Z21" s="241" t="s">
        <v>170</v>
      </c>
      <c r="AA21" s="242" t="s">
        <v>170</v>
      </c>
      <c r="AB21" s="162"/>
      <c r="AC21" s="162"/>
      <c r="AD21" s="234"/>
      <c r="AE21" s="241" t="s">
        <v>170</v>
      </c>
      <c r="AF21" s="241" t="s">
        <v>170</v>
      </c>
      <c r="AG21" s="241" t="s">
        <v>170</v>
      </c>
      <c r="AH21" s="242" t="s">
        <v>170</v>
      </c>
      <c r="AI21" s="162"/>
      <c r="AJ21" s="162"/>
      <c r="AK21" s="243">
        <f>SUM(F21,K21,R21,W21,AD21)</f>
        <v>0</v>
      </c>
      <c r="AL21" s="241" t="s">
        <v>170</v>
      </c>
      <c r="AM21" s="241" t="s">
        <v>170</v>
      </c>
      <c r="AN21" s="241" t="s">
        <v>170</v>
      </c>
      <c r="AO21" s="242" t="s">
        <v>170</v>
      </c>
    </row>
    <row r="22" spans="1:41" s="88" customFormat="1" outlineLevel="1">
      <c r="A22" s="355" t="s">
        <v>173</v>
      </c>
      <c r="B22" s="166" t="s">
        <v>169</v>
      </c>
      <c r="D22" s="89" t="s">
        <v>110</v>
      </c>
      <c r="E22" s="162"/>
      <c r="F22" s="243" t="s">
        <v>170</v>
      </c>
      <c r="G22" s="235"/>
      <c r="H22" s="241" t="s">
        <v>170</v>
      </c>
      <c r="I22" s="241" t="s">
        <v>170</v>
      </c>
      <c r="J22" s="242" t="s">
        <v>170</v>
      </c>
      <c r="K22" s="243" t="s">
        <v>170</v>
      </c>
      <c r="L22" s="235"/>
      <c r="M22" s="241" t="s">
        <v>170</v>
      </c>
      <c r="N22" s="241" t="s">
        <v>170</v>
      </c>
      <c r="O22" s="242" t="s">
        <v>170</v>
      </c>
      <c r="P22" s="162"/>
      <c r="Q22" s="162"/>
      <c r="R22" s="243" t="s">
        <v>170</v>
      </c>
      <c r="S22" s="235"/>
      <c r="T22" s="241" t="s">
        <v>170</v>
      </c>
      <c r="U22" s="241" t="s">
        <v>170</v>
      </c>
      <c r="V22" s="242" t="s">
        <v>170</v>
      </c>
      <c r="W22" s="243" t="s">
        <v>170</v>
      </c>
      <c r="X22" s="235"/>
      <c r="Y22" s="241" t="s">
        <v>170</v>
      </c>
      <c r="Z22" s="241" t="s">
        <v>170</v>
      </c>
      <c r="AA22" s="242" t="s">
        <v>170</v>
      </c>
      <c r="AB22" s="162"/>
      <c r="AC22" s="162"/>
      <c r="AD22" s="243" t="s">
        <v>170</v>
      </c>
      <c r="AE22" s="235"/>
      <c r="AF22" s="241" t="s">
        <v>170</v>
      </c>
      <c r="AG22" s="241" t="s">
        <v>170</v>
      </c>
      <c r="AH22" s="242" t="s">
        <v>170</v>
      </c>
      <c r="AI22" s="162"/>
      <c r="AJ22" s="162"/>
      <c r="AK22" s="243" t="s">
        <v>170</v>
      </c>
      <c r="AL22" s="241">
        <f>SUM(G22,L22,S22,X22,AE22)</f>
        <v>0</v>
      </c>
      <c r="AM22" s="241" t="s">
        <v>170</v>
      </c>
      <c r="AN22" s="241" t="s">
        <v>170</v>
      </c>
      <c r="AO22" s="242" t="s">
        <v>170</v>
      </c>
    </row>
    <row r="23" spans="1:41" s="88" customFormat="1" outlineLevel="1">
      <c r="A23" s="356"/>
      <c r="B23" s="244" t="s">
        <v>171</v>
      </c>
      <c r="D23" s="89" t="s">
        <v>110</v>
      </c>
      <c r="E23" s="162"/>
      <c r="F23" s="243" t="s">
        <v>170</v>
      </c>
      <c r="G23" s="235"/>
      <c r="H23" s="241" t="s">
        <v>170</v>
      </c>
      <c r="I23" s="241" t="s">
        <v>170</v>
      </c>
      <c r="J23" s="242" t="s">
        <v>170</v>
      </c>
      <c r="K23" s="243" t="s">
        <v>170</v>
      </c>
      <c r="L23" s="235"/>
      <c r="M23" s="241" t="s">
        <v>170</v>
      </c>
      <c r="N23" s="241" t="s">
        <v>170</v>
      </c>
      <c r="O23" s="242" t="s">
        <v>170</v>
      </c>
      <c r="P23" s="162"/>
      <c r="Q23" s="162"/>
      <c r="R23" s="243" t="s">
        <v>170</v>
      </c>
      <c r="S23" s="235"/>
      <c r="T23" s="241" t="s">
        <v>170</v>
      </c>
      <c r="U23" s="241" t="s">
        <v>170</v>
      </c>
      <c r="V23" s="242" t="s">
        <v>170</v>
      </c>
      <c r="W23" s="243" t="s">
        <v>170</v>
      </c>
      <c r="X23" s="235"/>
      <c r="Y23" s="241" t="s">
        <v>170</v>
      </c>
      <c r="Z23" s="241" t="s">
        <v>170</v>
      </c>
      <c r="AA23" s="242" t="s">
        <v>170</v>
      </c>
      <c r="AB23" s="162"/>
      <c r="AC23" s="162"/>
      <c r="AD23" s="243" t="s">
        <v>170</v>
      </c>
      <c r="AE23" s="235"/>
      <c r="AF23" s="241" t="s">
        <v>170</v>
      </c>
      <c r="AG23" s="241" t="s">
        <v>170</v>
      </c>
      <c r="AH23" s="242" t="s">
        <v>170</v>
      </c>
      <c r="AI23" s="162"/>
      <c r="AJ23" s="162"/>
      <c r="AK23" s="243" t="s">
        <v>170</v>
      </c>
      <c r="AL23" s="241">
        <f>SUM(G23,L23,S23,X23,AE23)</f>
        <v>0</v>
      </c>
      <c r="AM23" s="241" t="s">
        <v>170</v>
      </c>
      <c r="AN23" s="241" t="s">
        <v>170</v>
      </c>
      <c r="AO23" s="242" t="s">
        <v>170</v>
      </c>
    </row>
    <row r="24" spans="1:41" s="88" customFormat="1" outlineLevel="1">
      <c r="A24" s="356"/>
      <c r="B24" s="244" t="s">
        <v>172</v>
      </c>
      <c r="D24" s="89" t="s">
        <v>110</v>
      </c>
      <c r="E24" s="162"/>
      <c r="F24" s="243" t="s">
        <v>170</v>
      </c>
      <c r="G24" s="235"/>
      <c r="H24" s="241" t="s">
        <v>170</v>
      </c>
      <c r="I24" s="241" t="s">
        <v>170</v>
      </c>
      <c r="J24" s="242" t="s">
        <v>170</v>
      </c>
      <c r="K24" s="243" t="s">
        <v>170</v>
      </c>
      <c r="L24" s="235"/>
      <c r="M24" s="241" t="s">
        <v>170</v>
      </c>
      <c r="N24" s="241" t="s">
        <v>170</v>
      </c>
      <c r="O24" s="242" t="s">
        <v>170</v>
      </c>
      <c r="P24" s="162"/>
      <c r="Q24" s="162"/>
      <c r="R24" s="243" t="s">
        <v>170</v>
      </c>
      <c r="S24" s="235"/>
      <c r="T24" s="241" t="s">
        <v>170</v>
      </c>
      <c r="U24" s="241" t="s">
        <v>170</v>
      </c>
      <c r="V24" s="242" t="s">
        <v>170</v>
      </c>
      <c r="W24" s="243" t="s">
        <v>170</v>
      </c>
      <c r="X24" s="235"/>
      <c r="Y24" s="241" t="s">
        <v>170</v>
      </c>
      <c r="Z24" s="241" t="s">
        <v>170</v>
      </c>
      <c r="AA24" s="242" t="s">
        <v>170</v>
      </c>
      <c r="AB24" s="162"/>
      <c r="AC24" s="162"/>
      <c r="AD24" s="243" t="s">
        <v>170</v>
      </c>
      <c r="AE24" s="235"/>
      <c r="AF24" s="241" t="s">
        <v>170</v>
      </c>
      <c r="AG24" s="241" t="s">
        <v>170</v>
      </c>
      <c r="AH24" s="242" t="s">
        <v>170</v>
      </c>
      <c r="AI24" s="162"/>
      <c r="AJ24" s="162"/>
      <c r="AK24" s="243" t="s">
        <v>170</v>
      </c>
      <c r="AL24" s="241">
        <f>SUM(G24,L24,S24,X24,AE24)</f>
        <v>0</v>
      </c>
      <c r="AM24" s="241" t="s">
        <v>170</v>
      </c>
      <c r="AN24" s="241" t="s">
        <v>170</v>
      </c>
      <c r="AO24" s="242" t="s">
        <v>170</v>
      </c>
    </row>
    <row r="25" spans="1:41" s="88" customFormat="1" outlineLevel="1">
      <c r="A25" s="355" t="s">
        <v>174</v>
      </c>
      <c r="B25" s="166" t="s">
        <v>169</v>
      </c>
      <c r="D25" s="89" t="s">
        <v>110</v>
      </c>
      <c r="E25" s="162"/>
      <c r="F25" s="243" t="s">
        <v>170</v>
      </c>
      <c r="G25" s="241" t="s">
        <v>170</v>
      </c>
      <c r="H25" s="235"/>
      <c r="I25" s="241" t="s">
        <v>170</v>
      </c>
      <c r="J25" s="242" t="s">
        <v>170</v>
      </c>
      <c r="K25" s="243" t="s">
        <v>170</v>
      </c>
      <c r="L25" s="241" t="s">
        <v>170</v>
      </c>
      <c r="M25" s="235"/>
      <c r="N25" s="241" t="s">
        <v>170</v>
      </c>
      <c r="O25" s="242" t="s">
        <v>170</v>
      </c>
      <c r="P25" s="162"/>
      <c r="Q25" s="162"/>
      <c r="R25" s="243" t="s">
        <v>170</v>
      </c>
      <c r="S25" s="241" t="s">
        <v>170</v>
      </c>
      <c r="T25" s="235"/>
      <c r="U25" s="241" t="s">
        <v>170</v>
      </c>
      <c r="V25" s="242" t="s">
        <v>170</v>
      </c>
      <c r="W25" s="243" t="s">
        <v>170</v>
      </c>
      <c r="X25" s="241" t="s">
        <v>170</v>
      </c>
      <c r="Y25" s="235"/>
      <c r="Z25" s="241" t="s">
        <v>170</v>
      </c>
      <c r="AA25" s="242" t="s">
        <v>170</v>
      </c>
      <c r="AB25" s="162"/>
      <c r="AC25" s="162"/>
      <c r="AD25" s="243" t="s">
        <v>170</v>
      </c>
      <c r="AE25" s="241" t="s">
        <v>170</v>
      </c>
      <c r="AF25" s="235"/>
      <c r="AG25" s="241" t="s">
        <v>170</v>
      </c>
      <c r="AH25" s="242" t="s">
        <v>170</v>
      </c>
      <c r="AI25" s="162"/>
      <c r="AJ25" s="162"/>
      <c r="AK25" s="243" t="s">
        <v>170</v>
      </c>
      <c r="AL25" s="241" t="s">
        <v>170</v>
      </c>
      <c r="AM25" s="241">
        <f>SUM(H25,M25,T25,Y25,AF25)</f>
        <v>0</v>
      </c>
      <c r="AN25" s="241" t="s">
        <v>170</v>
      </c>
      <c r="AO25" s="242" t="s">
        <v>170</v>
      </c>
    </row>
    <row r="26" spans="1:41" s="88" customFormat="1" outlineLevel="1">
      <c r="A26" s="356"/>
      <c r="B26" s="244" t="s">
        <v>171</v>
      </c>
      <c r="D26" s="89" t="s">
        <v>110</v>
      </c>
      <c r="E26" s="162"/>
      <c r="F26" s="243" t="s">
        <v>170</v>
      </c>
      <c r="G26" s="241" t="s">
        <v>170</v>
      </c>
      <c r="H26" s="235"/>
      <c r="I26" s="241" t="s">
        <v>170</v>
      </c>
      <c r="J26" s="242" t="s">
        <v>170</v>
      </c>
      <c r="K26" s="243" t="s">
        <v>170</v>
      </c>
      <c r="L26" s="241" t="s">
        <v>170</v>
      </c>
      <c r="M26" s="235"/>
      <c r="N26" s="241" t="s">
        <v>170</v>
      </c>
      <c r="O26" s="242" t="s">
        <v>170</v>
      </c>
      <c r="P26" s="162"/>
      <c r="Q26" s="162"/>
      <c r="R26" s="243" t="s">
        <v>170</v>
      </c>
      <c r="S26" s="241" t="s">
        <v>170</v>
      </c>
      <c r="T26" s="235"/>
      <c r="U26" s="241" t="s">
        <v>170</v>
      </c>
      <c r="V26" s="242" t="s">
        <v>170</v>
      </c>
      <c r="W26" s="243" t="s">
        <v>170</v>
      </c>
      <c r="X26" s="241" t="s">
        <v>170</v>
      </c>
      <c r="Y26" s="235"/>
      <c r="Z26" s="241" t="s">
        <v>170</v>
      </c>
      <c r="AA26" s="242" t="s">
        <v>170</v>
      </c>
      <c r="AB26" s="162"/>
      <c r="AC26" s="162"/>
      <c r="AD26" s="243" t="s">
        <v>170</v>
      </c>
      <c r="AE26" s="241" t="s">
        <v>170</v>
      </c>
      <c r="AF26" s="235"/>
      <c r="AG26" s="241" t="s">
        <v>170</v>
      </c>
      <c r="AH26" s="242" t="s">
        <v>170</v>
      </c>
      <c r="AI26" s="162"/>
      <c r="AJ26" s="162"/>
      <c r="AK26" s="243" t="s">
        <v>170</v>
      </c>
      <c r="AL26" s="241" t="s">
        <v>170</v>
      </c>
      <c r="AM26" s="241">
        <f>SUM(H26,M26,T26,Y26,AF26)</f>
        <v>0</v>
      </c>
      <c r="AN26" s="241" t="s">
        <v>170</v>
      </c>
      <c r="AO26" s="242" t="s">
        <v>170</v>
      </c>
    </row>
    <row r="27" spans="1:41" s="88" customFormat="1" outlineLevel="1">
      <c r="A27" s="356"/>
      <c r="B27" s="244" t="s">
        <v>172</v>
      </c>
      <c r="D27" s="89" t="s">
        <v>110</v>
      </c>
      <c r="E27" s="162"/>
      <c r="F27" s="243" t="s">
        <v>170</v>
      </c>
      <c r="G27" s="241" t="s">
        <v>170</v>
      </c>
      <c r="H27" s="235"/>
      <c r="I27" s="241" t="s">
        <v>170</v>
      </c>
      <c r="J27" s="242" t="s">
        <v>170</v>
      </c>
      <c r="K27" s="243" t="s">
        <v>170</v>
      </c>
      <c r="L27" s="241" t="s">
        <v>170</v>
      </c>
      <c r="M27" s="235"/>
      <c r="N27" s="241" t="s">
        <v>170</v>
      </c>
      <c r="O27" s="242" t="s">
        <v>170</v>
      </c>
      <c r="P27" s="162"/>
      <c r="Q27" s="162"/>
      <c r="R27" s="243" t="s">
        <v>170</v>
      </c>
      <c r="S27" s="241" t="s">
        <v>170</v>
      </c>
      <c r="T27" s="235"/>
      <c r="U27" s="241" t="s">
        <v>170</v>
      </c>
      <c r="V27" s="242" t="s">
        <v>170</v>
      </c>
      <c r="W27" s="243" t="s">
        <v>170</v>
      </c>
      <c r="X27" s="241" t="s">
        <v>170</v>
      </c>
      <c r="Y27" s="235"/>
      <c r="Z27" s="241" t="s">
        <v>170</v>
      </c>
      <c r="AA27" s="242" t="s">
        <v>170</v>
      </c>
      <c r="AB27" s="162"/>
      <c r="AC27" s="162"/>
      <c r="AD27" s="243" t="s">
        <v>170</v>
      </c>
      <c r="AE27" s="241" t="s">
        <v>170</v>
      </c>
      <c r="AF27" s="235"/>
      <c r="AG27" s="241" t="s">
        <v>170</v>
      </c>
      <c r="AH27" s="242" t="s">
        <v>170</v>
      </c>
      <c r="AI27" s="162"/>
      <c r="AJ27" s="162"/>
      <c r="AK27" s="243" t="s">
        <v>170</v>
      </c>
      <c r="AL27" s="241" t="s">
        <v>170</v>
      </c>
      <c r="AM27" s="241">
        <f>SUM(H27,M27,T27,Y27,AF27)</f>
        <v>0</v>
      </c>
      <c r="AN27" s="241" t="s">
        <v>170</v>
      </c>
      <c r="AO27" s="242" t="s">
        <v>170</v>
      </c>
    </row>
    <row r="28" spans="1:41" s="88" customFormat="1" outlineLevel="1">
      <c r="A28" s="355" t="s">
        <v>175</v>
      </c>
      <c r="B28" s="166" t="s">
        <v>169</v>
      </c>
      <c r="D28" s="89" t="s">
        <v>110</v>
      </c>
      <c r="E28" s="162"/>
      <c r="F28" s="243" t="s">
        <v>170</v>
      </c>
      <c r="G28" s="241" t="s">
        <v>170</v>
      </c>
      <c r="H28" s="241" t="s">
        <v>170</v>
      </c>
      <c r="I28" s="235"/>
      <c r="J28" s="242" t="s">
        <v>170</v>
      </c>
      <c r="K28" s="243" t="s">
        <v>170</v>
      </c>
      <c r="L28" s="241" t="s">
        <v>170</v>
      </c>
      <c r="M28" s="241" t="s">
        <v>170</v>
      </c>
      <c r="N28" s="235"/>
      <c r="O28" s="242" t="s">
        <v>170</v>
      </c>
      <c r="P28" s="162"/>
      <c r="Q28" s="162"/>
      <c r="R28" s="243" t="s">
        <v>170</v>
      </c>
      <c r="S28" s="241" t="s">
        <v>170</v>
      </c>
      <c r="T28" s="241" t="s">
        <v>170</v>
      </c>
      <c r="U28" s="235"/>
      <c r="V28" s="242" t="s">
        <v>170</v>
      </c>
      <c r="W28" s="243" t="s">
        <v>170</v>
      </c>
      <c r="X28" s="241" t="s">
        <v>170</v>
      </c>
      <c r="Y28" s="241" t="s">
        <v>170</v>
      </c>
      <c r="Z28" s="235"/>
      <c r="AA28" s="242" t="s">
        <v>170</v>
      </c>
      <c r="AB28" s="162"/>
      <c r="AC28" s="162"/>
      <c r="AD28" s="243" t="s">
        <v>170</v>
      </c>
      <c r="AE28" s="241" t="s">
        <v>170</v>
      </c>
      <c r="AF28" s="241" t="s">
        <v>170</v>
      </c>
      <c r="AG28" s="235"/>
      <c r="AH28" s="242" t="s">
        <v>170</v>
      </c>
      <c r="AI28" s="162"/>
      <c r="AJ28" s="162"/>
      <c r="AK28" s="243" t="s">
        <v>170</v>
      </c>
      <c r="AL28" s="241" t="s">
        <v>170</v>
      </c>
      <c r="AM28" s="241" t="s">
        <v>170</v>
      </c>
      <c r="AN28" s="241">
        <f>SUM(I28,N28,U28,Z28,AG28)</f>
        <v>0</v>
      </c>
      <c r="AO28" s="242" t="s">
        <v>170</v>
      </c>
    </row>
    <row r="29" spans="1:41" s="88" customFormat="1" outlineLevel="1">
      <c r="A29" s="356"/>
      <c r="B29" s="244" t="s">
        <v>171</v>
      </c>
      <c r="D29" s="89" t="s">
        <v>110</v>
      </c>
      <c r="E29" s="162"/>
      <c r="F29" s="243" t="s">
        <v>170</v>
      </c>
      <c r="G29" s="241" t="s">
        <v>170</v>
      </c>
      <c r="H29" s="241" t="s">
        <v>170</v>
      </c>
      <c r="I29" s="235"/>
      <c r="J29" s="242" t="s">
        <v>170</v>
      </c>
      <c r="K29" s="243" t="s">
        <v>170</v>
      </c>
      <c r="L29" s="241" t="s">
        <v>170</v>
      </c>
      <c r="M29" s="241" t="s">
        <v>170</v>
      </c>
      <c r="N29" s="235"/>
      <c r="O29" s="242" t="s">
        <v>170</v>
      </c>
      <c r="P29" s="162"/>
      <c r="Q29" s="162"/>
      <c r="R29" s="243" t="s">
        <v>170</v>
      </c>
      <c r="S29" s="241" t="s">
        <v>170</v>
      </c>
      <c r="T29" s="241" t="s">
        <v>170</v>
      </c>
      <c r="U29" s="235"/>
      <c r="V29" s="242" t="s">
        <v>170</v>
      </c>
      <c r="W29" s="243" t="s">
        <v>170</v>
      </c>
      <c r="X29" s="241" t="s">
        <v>170</v>
      </c>
      <c r="Y29" s="241" t="s">
        <v>170</v>
      </c>
      <c r="Z29" s="235"/>
      <c r="AA29" s="242" t="s">
        <v>170</v>
      </c>
      <c r="AB29" s="162"/>
      <c r="AC29" s="162"/>
      <c r="AD29" s="243" t="s">
        <v>170</v>
      </c>
      <c r="AE29" s="241" t="s">
        <v>170</v>
      </c>
      <c r="AF29" s="241" t="s">
        <v>170</v>
      </c>
      <c r="AG29" s="235"/>
      <c r="AH29" s="242" t="s">
        <v>170</v>
      </c>
      <c r="AI29" s="162"/>
      <c r="AJ29" s="162"/>
      <c r="AK29" s="243" t="s">
        <v>170</v>
      </c>
      <c r="AL29" s="241" t="s">
        <v>170</v>
      </c>
      <c r="AM29" s="241" t="s">
        <v>170</v>
      </c>
      <c r="AN29" s="241">
        <f>SUM(I29,N29,U29,Z29,AG29)</f>
        <v>0</v>
      </c>
      <c r="AO29" s="242" t="s">
        <v>170</v>
      </c>
    </row>
    <row r="30" spans="1:41" s="88" customFormat="1" outlineLevel="1">
      <c r="A30" s="356"/>
      <c r="B30" s="244" t="s">
        <v>172</v>
      </c>
      <c r="D30" s="89" t="s">
        <v>110</v>
      </c>
      <c r="E30" s="162"/>
      <c r="F30" s="243" t="s">
        <v>170</v>
      </c>
      <c r="G30" s="241" t="s">
        <v>170</v>
      </c>
      <c r="H30" s="241" t="s">
        <v>170</v>
      </c>
      <c r="I30" s="235"/>
      <c r="J30" s="242" t="s">
        <v>170</v>
      </c>
      <c r="K30" s="243" t="s">
        <v>170</v>
      </c>
      <c r="L30" s="241" t="s">
        <v>170</v>
      </c>
      <c r="M30" s="241" t="s">
        <v>170</v>
      </c>
      <c r="N30" s="235"/>
      <c r="O30" s="242" t="s">
        <v>170</v>
      </c>
      <c r="P30" s="162"/>
      <c r="Q30" s="162"/>
      <c r="R30" s="243" t="s">
        <v>170</v>
      </c>
      <c r="S30" s="241" t="s">
        <v>170</v>
      </c>
      <c r="T30" s="241" t="s">
        <v>170</v>
      </c>
      <c r="U30" s="235"/>
      <c r="V30" s="242" t="s">
        <v>170</v>
      </c>
      <c r="W30" s="243" t="s">
        <v>170</v>
      </c>
      <c r="X30" s="241" t="s">
        <v>170</v>
      </c>
      <c r="Y30" s="241" t="s">
        <v>170</v>
      </c>
      <c r="Z30" s="235"/>
      <c r="AA30" s="242" t="s">
        <v>170</v>
      </c>
      <c r="AB30" s="162"/>
      <c r="AC30" s="162"/>
      <c r="AD30" s="243" t="s">
        <v>170</v>
      </c>
      <c r="AE30" s="241" t="s">
        <v>170</v>
      </c>
      <c r="AF30" s="241" t="s">
        <v>170</v>
      </c>
      <c r="AG30" s="235"/>
      <c r="AH30" s="242" t="s">
        <v>170</v>
      </c>
      <c r="AI30" s="162"/>
      <c r="AJ30" s="162"/>
      <c r="AK30" s="243" t="s">
        <v>170</v>
      </c>
      <c r="AL30" s="241" t="s">
        <v>170</v>
      </c>
      <c r="AM30" s="241" t="s">
        <v>170</v>
      </c>
      <c r="AN30" s="241">
        <f>SUM(I30,N30,U30,Z30,AG30)</f>
        <v>0</v>
      </c>
      <c r="AO30" s="242" t="s">
        <v>170</v>
      </c>
    </row>
    <row r="31" spans="1:41" s="88" customFormat="1" outlineLevel="1">
      <c r="A31" s="355" t="s">
        <v>176</v>
      </c>
      <c r="B31" s="166" t="s">
        <v>169</v>
      </c>
      <c r="D31" s="89" t="s">
        <v>110</v>
      </c>
      <c r="E31" s="162"/>
      <c r="F31" s="243" t="s">
        <v>170</v>
      </c>
      <c r="G31" s="241" t="s">
        <v>170</v>
      </c>
      <c r="H31" s="241" t="s">
        <v>170</v>
      </c>
      <c r="I31" s="241" t="s">
        <v>170</v>
      </c>
      <c r="J31" s="245"/>
      <c r="K31" s="243" t="s">
        <v>170</v>
      </c>
      <c r="L31" s="241" t="s">
        <v>170</v>
      </c>
      <c r="M31" s="241" t="s">
        <v>170</v>
      </c>
      <c r="N31" s="241" t="s">
        <v>170</v>
      </c>
      <c r="O31" s="245"/>
      <c r="P31" s="162"/>
      <c r="Q31" s="162"/>
      <c r="R31" s="243" t="s">
        <v>170</v>
      </c>
      <c r="S31" s="241" t="s">
        <v>170</v>
      </c>
      <c r="T31" s="241" t="s">
        <v>170</v>
      </c>
      <c r="U31" s="241" t="s">
        <v>170</v>
      </c>
      <c r="V31" s="245"/>
      <c r="W31" s="243" t="s">
        <v>170</v>
      </c>
      <c r="X31" s="241" t="s">
        <v>170</v>
      </c>
      <c r="Y31" s="241" t="s">
        <v>170</v>
      </c>
      <c r="Z31" s="241" t="s">
        <v>170</v>
      </c>
      <c r="AA31" s="245"/>
      <c r="AB31" s="162"/>
      <c r="AC31" s="162"/>
      <c r="AD31" s="243" t="s">
        <v>170</v>
      </c>
      <c r="AE31" s="241" t="s">
        <v>170</v>
      </c>
      <c r="AF31" s="241" t="s">
        <v>170</v>
      </c>
      <c r="AG31" s="241" t="s">
        <v>170</v>
      </c>
      <c r="AH31" s="245"/>
      <c r="AI31" s="162"/>
      <c r="AJ31" s="162"/>
      <c r="AK31" s="243" t="s">
        <v>170</v>
      </c>
      <c r="AL31" s="241" t="s">
        <v>170</v>
      </c>
      <c r="AM31" s="241" t="s">
        <v>170</v>
      </c>
      <c r="AN31" s="241" t="s">
        <v>170</v>
      </c>
      <c r="AO31" s="242">
        <f>SUM(J31,O31,V31,AA31,AH31)</f>
        <v>0</v>
      </c>
    </row>
    <row r="32" spans="1:41" s="88" customFormat="1" outlineLevel="1">
      <c r="A32" s="356"/>
      <c r="B32" s="244" t="s">
        <v>171</v>
      </c>
      <c r="D32" s="89" t="s">
        <v>110</v>
      </c>
      <c r="E32" s="162"/>
      <c r="F32" s="243" t="s">
        <v>170</v>
      </c>
      <c r="G32" s="241" t="s">
        <v>170</v>
      </c>
      <c r="H32" s="241" t="s">
        <v>170</v>
      </c>
      <c r="I32" s="241" t="s">
        <v>170</v>
      </c>
      <c r="J32" s="245"/>
      <c r="K32" s="243" t="s">
        <v>170</v>
      </c>
      <c r="L32" s="241" t="s">
        <v>170</v>
      </c>
      <c r="M32" s="241" t="s">
        <v>170</v>
      </c>
      <c r="N32" s="241" t="s">
        <v>170</v>
      </c>
      <c r="O32" s="245"/>
      <c r="P32" s="161"/>
      <c r="Q32" s="161"/>
      <c r="R32" s="243" t="s">
        <v>170</v>
      </c>
      <c r="S32" s="241" t="s">
        <v>170</v>
      </c>
      <c r="T32" s="241" t="s">
        <v>170</v>
      </c>
      <c r="U32" s="241" t="s">
        <v>170</v>
      </c>
      <c r="V32" s="245"/>
      <c r="W32" s="243" t="s">
        <v>170</v>
      </c>
      <c r="X32" s="241" t="s">
        <v>170</v>
      </c>
      <c r="Y32" s="241" t="s">
        <v>170</v>
      </c>
      <c r="Z32" s="241" t="s">
        <v>170</v>
      </c>
      <c r="AA32" s="245"/>
      <c r="AB32" s="162"/>
      <c r="AC32" s="162"/>
      <c r="AD32" s="243" t="s">
        <v>170</v>
      </c>
      <c r="AE32" s="241" t="s">
        <v>170</v>
      </c>
      <c r="AF32" s="241" t="s">
        <v>170</v>
      </c>
      <c r="AG32" s="241" t="s">
        <v>170</v>
      </c>
      <c r="AH32" s="245"/>
      <c r="AI32" s="162"/>
      <c r="AJ32" s="162"/>
      <c r="AK32" s="243" t="s">
        <v>170</v>
      </c>
      <c r="AL32" s="241" t="s">
        <v>170</v>
      </c>
      <c r="AM32" s="241" t="s">
        <v>170</v>
      </c>
      <c r="AN32" s="241" t="s">
        <v>170</v>
      </c>
      <c r="AO32" s="242">
        <f>SUM(J32,O32,V32,AA32,AH32)</f>
        <v>0</v>
      </c>
    </row>
    <row r="33" spans="1:41" s="88" customFormat="1" outlineLevel="1">
      <c r="A33" s="356"/>
      <c r="B33" s="244" t="s">
        <v>172</v>
      </c>
      <c r="D33" s="89" t="s">
        <v>110</v>
      </c>
      <c r="E33" s="162"/>
      <c r="F33" s="243" t="s">
        <v>170</v>
      </c>
      <c r="G33" s="241" t="s">
        <v>170</v>
      </c>
      <c r="H33" s="241" t="s">
        <v>170</v>
      </c>
      <c r="I33" s="241" t="s">
        <v>170</v>
      </c>
      <c r="J33" s="245"/>
      <c r="K33" s="243" t="s">
        <v>170</v>
      </c>
      <c r="L33" s="241" t="s">
        <v>170</v>
      </c>
      <c r="M33" s="241" t="s">
        <v>170</v>
      </c>
      <c r="N33" s="241" t="s">
        <v>170</v>
      </c>
      <c r="O33" s="245"/>
      <c r="P33" s="162"/>
      <c r="Q33" s="162"/>
      <c r="R33" s="243" t="s">
        <v>170</v>
      </c>
      <c r="S33" s="241" t="s">
        <v>170</v>
      </c>
      <c r="T33" s="241" t="s">
        <v>170</v>
      </c>
      <c r="U33" s="241" t="s">
        <v>170</v>
      </c>
      <c r="V33" s="245"/>
      <c r="W33" s="243" t="s">
        <v>170</v>
      </c>
      <c r="X33" s="241" t="s">
        <v>170</v>
      </c>
      <c r="Y33" s="241" t="s">
        <v>170</v>
      </c>
      <c r="Z33" s="241" t="s">
        <v>170</v>
      </c>
      <c r="AA33" s="245"/>
      <c r="AB33" s="162"/>
      <c r="AC33" s="162"/>
      <c r="AD33" s="243" t="s">
        <v>170</v>
      </c>
      <c r="AE33" s="241" t="s">
        <v>170</v>
      </c>
      <c r="AF33" s="241" t="s">
        <v>170</v>
      </c>
      <c r="AG33" s="241" t="s">
        <v>170</v>
      </c>
      <c r="AH33" s="245"/>
      <c r="AI33" s="162"/>
      <c r="AJ33" s="162"/>
      <c r="AK33" s="243" t="s">
        <v>170</v>
      </c>
      <c r="AL33" s="241" t="s">
        <v>170</v>
      </c>
      <c r="AM33" s="241" t="s">
        <v>170</v>
      </c>
      <c r="AN33" s="241" t="s">
        <v>170</v>
      </c>
      <c r="AO33" s="242">
        <f>SUM(J33,O33,V33,AA33,AH33)</f>
        <v>0</v>
      </c>
    </row>
    <row r="34" spans="1:41" s="88" customFormat="1" ht="15">
      <c r="A34" s="352" t="s">
        <v>136</v>
      </c>
      <c r="B34" s="353"/>
      <c r="C34" s="353"/>
      <c r="D34" s="353"/>
      <c r="E34" s="354"/>
      <c r="F34" s="125">
        <f t="shared" ref="F34:O34" si="2">SUM(F19:F33)</f>
        <v>1000</v>
      </c>
      <c r="G34" s="92">
        <f t="shared" si="2"/>
        <v>0</v>
      </c>
      <c r="H34" s="92">
        <f t="shared" si="2"/>
        <v>0</v>
      </c>
      <c r="I34" s="92">
        <f t="shared" si="2"/>
        <v>0</v>
      </c>
      <c r="J34" s="92">
        <f t="shared" si="2"/>
        <v>0</v>
      </c>
      <c r="K34" s="125">
        <f t="shared" si="2"/>
        <v>1000</v>
      </c>
      <c r="L34" s="92">
        <f t="shared" si="2"/>
        <v>0</v>
      </c>
      <c r="M34" s="92">
        <f t="shared" si="2"/>
        <v>0</v>
      </c>
      <c r="N34" s="92">
        <f t="shared" si="2"/>
        <v>0</v>
      </c>
      <c r="O34" s="246">
        <f t="shared" si="2"/>
        <v>0</v>
      </c>
      <c r="P34" s="163"/>
      <c r="Q34" s="163"/>
      <c r="R34" s="125">
        <f t="shared" ref="R34:AA34" si="3">SUM(R19:R33)</f>
        <v>1000</v>
      </c>
      <c r="S34" s="92">
        <f t="shared" si="3"/>
        <v>0</v>
      </c>
      <c r="T34" s="92">
        <f t="shared" si="3"/>
        <v>0</v>
      </c>
      <c r="U34" s="92">
        <f t="shared" si="3"/>
        <v>0</v>
      </c>
      <c r="V34" s="92">
        <f t="shared" si="3"/>
        <v>0</v>
      </c>
      <c r="W34" s="125">
        <f t="shared" si="3"/>
        <v>1000</v>
      </c>
      <c r="X34" s="92">
        <f t="shared" si="3"/>
        <v>0</v>
      </c>
      <c r="Y34" s="92">
        <f t="shared" si="3"/>
        <v>0</v>
      </c>
      <c r="Z34" s="92">
        <f t="shared" si="3"/>
        <v>0</v>
      </c>
      <c r="AA34" s="246">
        <f t="shared" si="3"/>
        <v>0</v>
      </c>
      <c r="AB34" s="162"/>
      <c r="AC34" s="162"/>
      <c r="AD34" s="125">
        <f>SUM(AD19:AD33)</f>
        <v>1000</v>
      </c>
      <c r="AE34" s="92">
        <f>SUM(AE19:AE33)</f>
        <v>0</v>
      </c>
      <c r="AF34" s="92">
        <f>SUM(AF19:AF33)</f>
        <v>0</v>
      </c>
      <c r="AG34" s="92">
        <f>SUM(AG19:AG33)</f>
        <v>0</v>
      </c>
      <c r="AH34" s="246">
        <f>SUM(AH19:AH33)</f>
        <v>0</v>
      </c>
      <c r="AI34" s="162"/>
      <c r="AJ34" s="162"/>
      <c r="AK34" s="125">
        <f>SUM(AK19:AK33)</f>
        <v>5000</v>
      </c>
      <c r="AL34" s="92">
        <f>SUM(AL19:AL33)</f>
        <v>0</v>
      </c>
      <c r="AM34" s="92">
        <f>SUM(AM19:AM33)</f>
        <v>0</v>
      </c>
      <c r="AN34" s="92">
        <f>SUM(AN19:AN33)</f>
        <v>0</v>
      </c>
      <c r="AO34" s="246">
        <f>SUM(AO19:AO33)</f>
        <v>0</v>
      </c>
    </row>
    <row r="35" spans="1:41">
      <c r="E35" s="162"/>
      <c r="F35" s="63"/>
      <c r="G35" s="65"/>
      <c r="H35" s="65"/>
      <c r="I35" s="65"/>
      <c r="J35" s="65"/>
      <c r="K35" s="63"/>
      <c r="L35" s="65"/>
      <c r="M35" s="65"/>
      <c r="N35" s="65"/>
      <c r="O35" s="64"/>
      <c r="P35" s="161"/>
      <c r="Q35" s="161"/>
      <c r="R35" s="63"/>
      <c r="S35" s="65"/>
      <c r="T35" s="65"/>
      <c r="U35" s="65"/>
      <c r="V35" s="64"/>
      <c r="W35" s="63"/>
      <c r="X35" s="65"/>
      <c r="AA35" s="62"/>
      <c r="AB35" s="162"/>
      <c r="AC35" s="162"/>
      <c r="AD35" s="61"/>
      <c r="AH35" s="62"/>
      <c r="AI35" s="162"/>
      <c r="AJ35" s="162"/>
      <c r="AK35" s="61"/>
      <c r="AO35" s="62"/>
    </row>
    <row r="36" spans="1:41" s="96" customFormat="1" outlineLevel="1">
      <c r="A36" s="328" t="s">
        <v>177</v>
      </c>
      <c r="B36" s="329" t="s">
        <v>178</v>
      </c>
      <c r="C36" s="247" t="s">
        <v>116</v>
      </c>
      <c r="D36" s="247" t="s">
        <v>0</v>
      </c>
      <c r="E36" s="187"/>
      <c r="F36" s="248">
        <v>0.02</v>
      </c>
      <c r="G36" s="249">
        <v>0.04</v>
      </c>
      <c r="H36" s="249"/>
      <c r="I36" s="249"/>
      <c r="J36" s="250"/>
      <c r="K36" s="248">
        <v>0.02</v>
      </c>
      <c r="L36" s="249">
        <v>0.04</v>
      </c>
      <c r="M36" s="249"/>
      <c r="N36" s="249"/>
      <c r="O36" s="250"/>
      <c r="P36" s="181"/>
      <c r="Q36" s="181"/>
      <c r="R36" s="248"/>
      <c r="S36" s="249"/>
      <c r="T36" s="249"/>
      <c r="U36" s="249"/>
      <c r="V36" s="250"/>
      <c r="W36" s="248"/>
      <c r="X36" s="249"/>
      <c r="Y36" s="249"/>
      <c r="Z36" s="249"/>
      <c r="AA36" s="250"/>
      <c r="AB36" s="187"/>
      <c r="AC36" s="187"/>
      <c r="AD36" s="248"/>
      <c r="AE36" s="249"/>
      <c r="AF36" s="249"/>
      <c r="AG36" s="249"/>
      <c r="AH36" s="250"/>
      <c r="AI36" s="187"/>
      <c r="AJ36" s="187"/>
      <c r="AK36" s="251">
        <f t="shared" ref="AK36:AO39" si="4">F36+K36+R36+W36+AD36</f>
        <v>0.04</v>
      </c>
      <c r="AL36" s="252">
        <f t="shared" si="4"/>
        <v>0.08</v>
      </c>
      <c r="AM36" s="252">
        <f t="shared" si="4"/>
        <v>0</v>
      </c>
      <c r="AN36" s="252">
        <f t="shared" si="4"/>
        <v>0</v>
      </c>
      <c r="AO36" s="253">
        <f t="shared" si="4"/>
        <v>0</v>
      </c>
    </row>
    <row r="37" spans="1:41" s="96" customFormat="1" outlineLevel="1">
      <c r="A37" s="328"/>
      <c r="B37" s="329"/>
      <c r="C37" s="96" t="s">
        <v>167</v>
      </c>
      <c r="D37" s="236">
        <v>350000</v>
      </c>
      <c r="E37" s="162"/>
      <c r="F37" s="234">
        <f>F36*$D37</f>
        <v>7000</v>
      </c>
      <c r="G37" s="235">
        <f>G36*$D37</f>
        <v>14000</v>
      </c>
      <c r="H37" s="221"/>
      <c r="I37" s="221"/>
      <c r="J37" s="222"/>
      <c r="K37" s="234">
        <f>K36*$D37</f>
        <v>7000</v>
      </c>
      <c r="L37" s="235">
        <f>L36*$D37</f>
        <v>14000</v>
      </c>
      <c r="M37" s="221"/>
      <c r="N37" s="221"/>
      <c r="O37" s="222"/>
      <c r="P37" s="161"/>
      <c r="Q37" s="161"/>
      <c r="R37" s="234"/>
      <c r="S37" s="235"/>
      <c r="T37" s="221"/>
      <c r="U37" s="221"/>
      <c r="V37" s="222"/>
      <c r="W37" s="234"/>
      <c r="X37" s="235"/>
      <c r="Y37" s="221"/>
      <c r="Z37" s="221"/>
      <c r="AA37" s="222"/>
      <c r="AB37" s="162"/>
      <c r="AC37" s="162"/>
      <c r="AD37" s="234"/>
      <c r="AE37" s="235"/>
      <c r="AF37" s="221"/>
      <c r="AG37" s="221"/>
      <c r="AH37" s="222"/>
      <c r="AI37" s="162"/>
      <c r="AJ37" s="162"/>
      <c r="AK37" s="254">
        <f t="shared" si="4"/>
        <v>14000</v>
      </c>
      <c r="AL37" s="104">
        <f t="shared" si="4"/>
        <v>28000</v>
      </c>
      <c r="AM37" s="255">
        <f t="shared" si="4"/>
        <v>0</v>
      </c>
      <c r="AN37" s="255">
        <f t="shared" si="4"/>
        <v>0</v>
      </c>
      <c r="AO37" s="256">
        <f t="shared" si="4"/>
        <v>0</v>
      </c>
    </row>
    <row r="38" spans="1:41" s="96" customFormat="1" outlineLevel="1">
      <c r="A38" s="328"/>
      <c r="B38" s="329" t="s">
        <v>107</v>
      </c>
      <c r="C38" s="96" t="s">
        <v>116</v>
      </c>
      <c r="D38" s="96" t="s">
        <v>0</v>
      </c>
      <c r="E38" s="171"/>
      <c r="F38" s="220">
        <v>0.02</v>
      </c>
      <c r="G38" s="221">
        <v>0.04</v>
      </c>
      <c r="H38" s="221"/>
      <c r="I38" s="221"/>
      <c r="J38" s="222"/>
      <c r="K38" s="220">
        <v>0.02</v>
      </c>
      <c r="L38" s="221">
        <v>0.04</v>
      </c>
      <c r="M38" s="221"/>
      <c r="N38" s="221"/>
      <c r="O38" s="222"/>
      <c r="P38" s="161"/>
      <c r="Q38" s="161"/>
      <c r="R38" s="220"/>
      <c r="S38" s="221"/>
      <c r="T38" s="221"/>
      <c r="U38" s="221"/>
      <c r="V38" s="222"/>
      <c r="W38" s="220"/>
      <c r="X38" s="221"/>
      <c r="Y38" s="221"/>
      <c r="Z38" s="221"/>
      <c r="AA38" s="222"/>
      <c r="AB38" s="162"/>
      <c r="AC38" s="162"/>
      <c r="AD38" s="220"/>
      <c r="AE38" s="221"/>
      <c r="AF38" s="221"/>
      <c r="AG38" s="221"/>
      <c r="AH38" s="222"/>
      <c r="AI38" s="162"/>
      <c r="AJ38" s="162"/>
      <c r="AK38" s="126">
        <f t="shared" si="4"/>
        <v>0.04</v>
      </c>
      <c r="AL38" s="105">
        <f t="shared" si="4"/>
        <v>0.08</v>
      </c>
      <c r="AM38" s="105">
        <f t="shared" si="4"/>
        <v>0</v>
      </c>
      <c r="AN38" s="105">
        <f t="shared" si="4"/>
        <v>0</v>
      </c>
      <c r="AO38" s="127">
        <f t="shared" si="4"/>
        <v>0</v>
      </c>
    </row>
    <row r="39" spans="1:41" s="96" customFormat="1" outlineLevel="1">
      <c r="A39" s="328"/>
      <c r="B39" s="329"/>
      <c r="C39" s="257" t="s">
        <v>167</v>
      </c>
      <c r="D39" s="239"/>
      <c r="E39" s="200"/>
      <c r="F39" s="258">
        <f>F38*$D39</f>
        <v>0</v>
      </c>
      <c r="G39" s="259">
        <f>G38*$D39</f>
        <v>0</v>
      </c>
      <c r="H39" s="229"/>
      <c r="I39" s="229"/>
      <c r="J39" s="230"/>
      <c r="K39" s="258">
        <f>K38*$D39</f>
        <v>0</v>
      </c>
      <c r="L39" s="259">
        <f>L38*$D39</f>
        <v>0</v>
      </c>
      <c r="M39" s="229"/>
      <c r="N39" s="229"/>
      <c r="O39" s="230"/>
      <c r="P39" s="185"/>
      <c r="Q39" s="185"/>
      <c r="R39" s="258"/>
      <c r="S39" s="259"/>
      <c r="T39" s="229"/>
      <c r="U39" s="229"/>
      <c r="V39" s="230"/>
      <c r="W39" s="258"/>
      <c r="X39" s="259"/>
      <c r="Y39" s="229"/>
      <c r="Z39" s="229"/>
      <c r="AA39" s="230"/>
      <c r="AB39" s="200"/>
      <c r="AC39" s="200"/>
      <c r="AD39" s="258"/>
      <c r="AE39" s="259"/>
      <c r="AF39" s="229"/>
      <c r="AG39" s="229"/>
      <c r="AH39" s="230"/>
      <c r="AI39" s="200"/>
      <c r="AJ39" s="200"/>
      <c r="AK39" s="260">
        <f t="shared" si="4"/>
        <v>0</v>
      </c>
      <c r="AL39" s="261">
        <f t="shared" si="4"/>
        <v>0</v>
      </c>
      <c r="AM39" s="262">
        <f t="shared" si="4"/>
        <v>0</v>
      </c>
      <c r="AN39" s="262">
        <f t="shared" si="4"/>
        <v>0</v>
      </c>
      <c r="AO39" s="263">
        <f t="shared" si="4"/>
        <v>0</v>
      </c>
    </row>
    <row r="40" spans="1:41" s="96" customFormat="1" ht="15">
      <c r="A40" s="330" t="s">
        <v>136</v>
      </c>
      <c r="B40" s="331"/>
      <c r="C40" s="331"/>
      <c r="D40" s="331"/>
      <c r="E40" s="332"/>
      <c r="F40" s="260">
        <f t="shared" ref="F40:O40" si="5">F37+F39</f>
        <v>7000</v>
      </c>
      <c r="G40" s="261">
        <f t="shared" si="5"/>
        <v>14000</v>
      </c>
      <c r="H40" s="261">
        <f t="shared" si="5"/>
        <v>0</v>
      </c>
      <c r="I40" s="261">
        <f t="shared" si="5"/>
        <v>0</v>
      </c>
      <c r="J40" s="261">
        <f t="shared" si="5"/>
        <v>0</v>
      </c>
      <c r="K40" s="260">
        <f t="shared" si="5"/>
        <v>7000</v>
      </c>
      <c r="L40" s="261">
        <f t="shared" si="5"/>
        <v>14000</v>
      </c>
      <c r="M40" s="261">
        <f t="shared" si="5"/>
        <v>0</v>
      </c>
      <c r="N40" s="261">
        <f t="shared" si="5"/>
        <v>0</v>
      </c>
      <c r="O40" s="261">
        <f t="shared" si="5"/>
        <v>0</v>
      </c>
      <c r="P40" s="185"/>
      <c r="Q40" s="185"/>
      <c r="R40" s="260">
        <f t="shared" ref="R40:AA40" si="6">R37+R39</f>
        <v>0</v>
      </c>
      <c r="S40" s="261">
        <f t="shared" si="6"/>
        <v>0</v>
      </c>
      <c r="T40" s="261">
        <f t="shared" si="6"/>
        <v>0</v>
      </c>
      <c r="U40" s="261">
        <f t="shared" si="6"/>
        <v>0</v>
      </c>
      <c r="V40" s="261">
        <f t="shared" si="6"/>
        <v>0</v>
      </c>
      <c r="W40" s="260">
        <f t="shared" si="6"/>
        <v>0</v>
      </c>
      <c r="X40" s="261">
        <f t="shared" si="6"/>
        <v>0</v>
      </c>
      <c r="Y40" s="261">
        <f t="shared" si="6"/>
        <v>0</v>
      </c>
      <c r="Z40" s="261">
        <f t="shared" si="6"/>
        <v>0</v>
      </c>
      <c r="AA40" s="261">
        <f t="shared" si="6"/>
        <v>0</v>
      </c>
      <c r="AB40" s="162"/>
      <c r="AC40" s="162"/>
      <c r="AD40" s="260">
        <f>AD37+AD39</f>
        <v>0</v>
      </c>
      <c r="AE40" s="261">
        <f>AE37+AE39</f>
        <v>0</v>
      </c>
      <c r="AF40" s="261">
        <f>AF37+AF39</f>
        <v>0</v>
      </c>
      <c r="AG40" s="261">
        <f>AG37+AG39</f>
        <v>0</v>
      </c>
      <c r="AH40" s="261">
        <f>AH37+AH39</f>
        <v>0</v>
      </c>
      <c r="AI40" s="162"/>
      <c r="AJ40" s="162"/>
      <c r="AK40" s="260">
        <f>AK37+AK39</f>
        <v>14000</v>
      </c>
      <c r="AL40" s="261">
        <f>AL37+AL39</f>
        <v>28000</v>
      </c>
      <c r="AM40" s="261">
        <f>AM37+AM39</f>
        <v>0</v>
      </c>
      <c r="AN40" s="261">
        <f>AN37+AN39</f>
        <v>0</v>
      </c>
      <c r="AO40" s="264">
        <f>AO37+AO39</f>
        <v>0</v>
      </c>
    </row>
    <row r="41" spans="1:41">
      <c r="E41" s="162"/>
      <c r="F41" s="63"/>
      <c r="G41" s="65"/>
      <c r="H41" s="65"/>
      <c r="I41" s="65"/>
      <c r="J41" s="65"/>
      <c r="K41" s="63"/>
      <c r="L41" s="65"/>
      <c r="M41" s="65"/>
      <c r="N41" s="65"/>
      <c r="O41" s="64"/>
      <c r="P41" s="161"/>
      <c r="Q41" s="161"/>
      <c r="R41" s="63"/>
      <c r="S41" s="65"/>
      <c r="T41" s="65"/>
      <c r="U41" s="65"/>
      <c r="V41" s="64"/>
      <c r="W41" s="63"/>
      <c r="X41" s="65"/>
      <c r="AA41" s="62"/>
      <c r="AB41" s="162"/>
      <c r="AC41" s="162"/>
      <c r="AD41" s="61"/>
      <c r="AH41" s="62"/>
      <c r="AI41" s="162"/>
      <c r="AJ41" s="162"/>
      <c r="AK41" s="61"/>
      <c r="AO41" s="62"/>
    </row>
    <row r="42" spans="1:41" s="107" customFormat="1" outlineLevel="1">
      <c r="A42" s="318" t="s">
        <v>179</v>
      </c>
      <c r="B42" s="319" t="s">
        <v>37</v>
      </c>
      <c r="C42" s="265" t="s">
        <v>116</v>
      </c>
      <c r="D42" s="265" t="s">
        <v>0</v>
      </c>
      <c r="E42" s="187"/>
      <c r="F42" s="248"/>
      <c r="G42" s="249"/>
      <c r="H42" s="249"/>
      <c r="I42" s="249"/>
      <c r="J42" s="249"/>
      <c r="K42" s="248"/>
      <c r="L42" s="249"/>
      <c r="M42" s="249"/>
      <c r="N42" s="249"/>
      <c r="O42" s="249"/>
      <c r="P42" s="181"/>
      <c r="Q42" s="181"/>
      <c r="R42" s="248">
        <v>1</v>
      </c>
      <c r="S42" s="249"/>
      <c r="T42" s="249"/>
      <c r="U42" s="249"/>
      <c r="V42" s="249"/>
      <c r="W42" s="248">
        <v>0.75</v>
      </c>
      <c r="X42" s="249"/>
      <c r="Y42" s="249"/>
      <c r="Z42" s="249"/>
      <c r="AA42" s="249"/>
      <c r="AB42" s="187"/>
      <c r="AC42" s="187"/>
      <c r="AD42" s="248"/>
      <c r="AE42" s="249"/>
      <c r="AF42" s="249"/>
      <c r="AG42" s="249"/>
      <c r="AH42" s="250"/>
      <c r="AI42" s="187"/>
      <c r="AJ42" s="187"/>
      <c r="AK42" s="266">
        <f t="shared" ref="AK42:AO43" si="7">F42+K42+R42+W42+AD42</f>
        <v>1.75</v>
      </c>
      <c r="AL42" s="267">
        <f t="shared" si="7"/>
        <v>0</v>
      </c>
      <c r="AM42" s="267">
        <f t="shared" si="7"/>
        <v>0</v>
      </c>
      <c r="AN42" s="267">
        <f t="shared" si="7"/>
        <v>0</v>
      </c>
      <c r="AO42" s="267">
        <f t="shared" si="7"/>
        <v>0</v>
      </c>
    </row>
    <row r="43" spans="1:41" s="107" customFormat="1" outlineLevel="1">
      <c r="A43" s="319"/>
      <c r="B43" s="319"/>
      <c r="C43" s="107" t="s">
        <v>167</v>
      </c>
      <c r="D43" s="233">
        <v>350000</v>
      </c>
      <c r="E43" s="162"/>
      <c r="F43" s="234">
        <f t="shared" ref="F43:O43" si="8">F42*$D43</f>
        <v>0</v>
      </c>
      <c r="G43" s="235">
        <f t="shared" si="8"/>
        <v>0</v>
      </c>
      <c r="H43" s="235">
        <f t="shared" si="8"/>
        <v>0</v>
      </c>
      <c r="I43" s="235">
        <f t="shared" si="8"/>
        <v>0</v>
      </c>
      <c r="J43" s="245">
        <f t="shared" si="8"/>
        <v>0</v>
      </c>
      <c r="K43" s="234">
        <f t="shared" si="8"/>
        <v>0</v>
      </c>
      <c r="L43" s="235">
        <f t="shared" si="8"/>
        <v>0</v>
      </c>
      <c r="M43" s="235">
        <f t="shared" si="8"/>
        <v>0</v>
      </c>
      <c r="N43" s="235">
        <f t="shared" si="8"/>
        <v>0</v>
      </c>
      <c r="O43" s="245">
        <f t="shared" si="8"/>
        <v>0</v>
      </c>
      <c r="P43" s="161"/>
      <c r="Q43" s="161"/>
      <c r="R43" s="234">
        <f t="shared" ref="R43:AA43" si="9">R42*$D43</f>
        <v>350000</v>
      </c>
      <c r="S43" s="235">
        <f t="shared" si="9"/>
        <v>0</v>
      </c>
      <c r="T43" s="235">
        <f t="shared" si="9"/>
        <v>0</v>
      </c>
      <c r="U43" s="235">
        <f t="shared" si="9"/>
        <v>0</v>
      </c>
      <c r="V43" s="245">
        <f t="shared" si="9"/>
        <v>0</v>
      </c>
      <c r="W43" s="234">
        <f t="shared" si="9"/>
        <v>262500</v>
      </c>
      <c r="X43" s="235">
        <f t="shared" si="9"/>
        <v>0</v>
      </c>
      <c r="Y43" s="235">
        <f t="shared" si="9"/>
        <v>0</v>
      </c>
      <c r="Z43" s="235">
        <f t="shared" si="9"/>
        <v>0</v>
      </c>
      <c r="AA43" s="245">
        <f t="shared" si="9"/>
        <v>0</v>
      </c>
      <c r="AB43" s="162"/>
      <c r="AC43" s="162"/>
      <c r="AD43" s="258">
        <f>AD42*$D43</f>
        <v>0</v>
      </c>
      <c r="AE43" s="259">
        <f>AE42*$D43</f>
        <v>0</v>
      </c>
      <c r="AF43" s="259">
        <f>AF42*$D43</f>
        <v>0</v>
      </c>
      <c r="AG43" s="259">
        <f>AG42*$D43</f>
        <v>0</v>
      </c>
      <c r="AH43" s="268">
        <f>AH42*$D43</f>
        <v>0</v>
      </c>
      <c r="AI43" s="162"/>
      <c r="AJ43" s="162"/>
      <c r="AK43" s="133">
        <f t="shared" si="7"/>
        <v>612500</v>
      </c>
      <c r="AL43" s="134">
        <f t="shared" si="7"/>
        <v>0</v>
      </c>
      <c r="AM43" s="134">
        <f t="shared" si="7"/>
        <v>0</v>
      </c>
      <c r="AN43" s="134">
        <f t="shared" si="7"/>
        <v>0</v>
      </c>
      <c r="AO43" s="269">
        <f t="shared" si="7"/>
        <v>0</v>
      </c>
    </row>
    <row r="44" spans="1:41" s="107" customFormat="1" ht="15">
      <c r="A44" s="320" t="s">
        <v>136</v>
      </c>
      <c r="B44" s="321"/>
      <c r="C44" s="321"/>
      <c r="D44" s="321"/>
      <c r="E44" s="322"/>
      <c r="F44" s="135">
        <f t="shared" ref="F44:O44" si="10">F43</f>
        <v>0</v>
      </c>
      <c r="G44" s="112">
        <f t="shared" si="10"/>
        <v>0</v>
      </c>
      <c r="H44" s="112">
        <f t="shared" si="10"/>
        <v>0</v>
      </c>
      <c r="I44" s="112">
        <f t="shared" si="10"/>
        <v>0</v>
      </c>
      <c r="J44" s="112">
        <f t="shared" si="10"/>
        <v>0</v>
      </c>
      <c r="K44" s="135">
        <f t="shared" si="10"/>
        <v>0</v>
      </c>
      <c r="L44" s="112">
        <f t="shared" si="10"/>
        <v>0</v>
      </c>
      <c r="M44" s="112">
        <f t="shared" si="10"/>
        <v>0</v>
      </c>
      <c r="N44" s="112">
        <f t="shared" si="10"/>
        <v>0</v>
      </c>
      <c r="O44" s="112">
        <f t="shared" si="10"/>
        <v>0</v>
      </c>
      <c r="P44" s="163"/>
      <c r="Q44" s="163"/>
      <c r="R44" s="135">
        <f t="shared" ref="R44:AA44" si="11">R43</f>
        <v>350000</v>
      </c>
      <c r="S44" s="112">
        <f t="shared" si="11"/>
        <v>0</v>
      </c>
      <c r="T44" s="112">
        <f t="shared" si="11"/>
        <v>0</v>
      </c>
      <c r="U44" s="112">
        <f t="shared" si="11"/>
        <v>0</v>
      </c>
      <c r="V44" s="112">
        <f t="shared" si="11"/>
        <v>0</v>
      </c>
      <c r="W44" s="135">
        <f t="shared" si="11"/>
        <v>262500</v>
      </c>
      <c r="X44" s="112">
        <f t="shared" si="11"/>
        <v>0</v>
      </c>
      <c r="Y44" s="112">
        <f t="shared" si="11"/>
        <v>0</v>
      </c>
      <c r="Z44" s="112">
        <f t="shared" si="11"/>
        <v>0</v>
      </c>
      <c r="AA44" s="112">
        <f t="shared" si="11"/>
        <v>0</v>
      </c>
      <c r="AB44" s="162"/>
      <c r="AC44" s="162"/>
      <c r="AD44" s="135">
        <f>AD43</f>
        <v>0</v>
      </c>
      <c r="AE44" s="112">
        <f>AE43</f>
        <v>0</v>
      </c>
      <c r="AF44" s="112">
        <f>AF43</f>
        <v>0</v>
      </c>
      <c r="AG44" s="112">
        <f>AG43</f>
        <v>0</v>
      </c>
      <c r="AH44" s="112">
        <f>AH43</f>
        <v>0</v>
      </c>
      <c r="AI44" s="162"/>
      <c r="AJ44" s="162"/>
      <c r="AK44" s="135">
        <f>AK43</f>
        <v>612500</v>
      </c>
      <c r="AL44" s="112">
        <f>AL43</f>
        <v>0</v>
      </c>
      <c r="AM44" s="112">
        <f>AM43</f>
        <v>0</v>
      </c>
      <c r="AN44" s="112">
        <f>AN43</f>
        <v>0</v>
      </c>
      <c r="AO44" s="112">
        <f>AO43</f>
        <v>0</v>
      </c>
    </row>
    <row r="45" spans="1:41">
      <c r="E45" s="162"/>
      <c r="F45" s="136"/>
      <c r="G45" s="106"/>
      <c r="H45" s="65"/>
      <c r="I45" s="65"/>
      <c r="J45" s="65"/>
      <c r="K45" s="63"/>
      <c r="L45" s="65"/>
      <c r="M45" s="65"/>
      <c r="N45" s="65"/>
      <c r="O45" s="64"/>
      <c r="P45" s="161"/>
      <c r="Q45" s="161"/>
      <c r="R45" s="63"/>
      <c r="S45" s="65"/>
      <c r="T45" s="65"/>
      <c r="U45" s="65"/>
      <c r="V45" s="64"/>
      <c r="W45" s="63"/>
      <c r="X45" s="65"/>
      <c r="AA45" s="62"/>
      <c r="AB45" s="162"/>
      <c r="AC45" s="162"/>
      <c r="AD45" s="61"/>
      <c r="AH45" s="62"/>
      <c r="AI45" s="162"/>
      <c r="AJ45" s="162"/>
      <c r="AK45" s="61"/>
      <c r="AO45" s="62"/>
    </row>
    <row r="46" spans="1:41" s="278" customFormat="1" outlineLevel="1">
      <c r="A46" s="323" t="s">
        <v>180</v>
      </c>
      <c r="B46" s="244" t="s">
        <v>119</v>
      </c>
      <c r="C46" s="270" t="s">
        <v>122</v>
      </c>
      <c r="D46" s="271">
        <v>3000</v>
      </c>
      <c r="E46" s="187"/>
      <c r="F46" s="272">
        <f t="shared" ref="F46:O47" si="12">$D46*F6</f>
        <v>9000</v>
      </c>
      <c r="G46" s="273">
        <f t="shared" si="12"/>
        <v>9000</v>
      </c>
      <c r="H46" s="273">
        <f t="shared" si="12"/>
        <v>9000</v>
      </c>
      <c r="I46" s="273">
        <f t="shared" si="12"/>
        <v>9000</v>
      </c>
      <c r="J46" s="273">
        <f t="shared" si="12"/>
        <v>9000</v>
      </c>
      <c r="K46" s="272">
        <f t="shared" si="12"/>
        <v>18000</v>
      </c>
      <c r="L46" s="273">
        <f t="shared" si="12"/>
        <v>18000</v>
      </c>
      <c r="M46" s="273">
        <f t="shared" si="12"/>
        <v>18000</v>
      </c>
      <c r="N46" s="273">
        <f t="shared" si="12"/>
        <v>18000</v>
      </c>
      <c r="O46" s="273">
        <f t="shared" si="12"/>
        <v>18000</v>
      </c>
      <c r="P46" s="187"/>
      <c r="Q46" s="187"/>
      <c r="R46" s="272">
        <f t="shared" ref="R46:AA47" si="13">$D46*R6</f>
        <v>0</v>
      </c>
      <c r="S46" s="273">
        <f t="shared" si="13"/>
        <v>0</v>
      </c>
      <c r="T46" s="273">
        <f t="shared" si="13"/>
        <v>0</v>
      </c>
      <c r="U46" s="273">
        <f t="shared" si="13"/>
        <v>0</v>
      </c>
      <c r="V46" s="273">
        <f t="shared" si="13"/>
        <v>0</v>
      </c>
      <c r="W46" s="272">
        <f t="shared" si="13"/>
        <v>0</v>
      </c>
      <c r="X46" s="273">
        <f t="shared" si="13"/>
        <v>0</v>
      </c>
      <c r="Y46" s="273">
        <f t="shared" si="13"/>
        <v>0</v>
      </c>
      <c r="Z46" s="273">
        <f t="shared" si="13"/>
        <v>0</v>
      </c>
      <c r="AA46" s="273">
        <f t="shared" si="13"/>
        <v>0</v>
      </c>
      <c r="AB46" s="187"/>
      <c r="AC46" s="187"/>
      <c r="AD46" s="272">
        <f t="shared" ref="AD46:AH47" si="14">$D46*AD6</f>
        <v>0</v>
      </c>
      <c r="AE46" s="273">
        <f t="shared" si="14"/>
        <v>0</v>
      </c>
      <c r="AF46" s="273">
        <f t="shared" si="14"/>
        <v>0</v>
      </c>
      <c r="AG46" s="273">
        <f t="shared" si="14"/>
        <v>0</v>
      </c>
      <c r="AH46" s="274">
        <f t="shared" si="14"/>
        <v>0</v>
      </c>
      <c r="AI46" s="187"/>
      <c r="AJ46" s="187"/>
      <c r="AK46" s="275">
        <f t="shared" ref="AK46:AO50" si="15">F46+K46+R46+W46+AD46</f>
        <v>27000</v>
      </c>
      <c r="AL46" s="276">
        <f t="shared" si="15"/>
        <v>27000</v>
      </c>
      <c r="AM46" s="276">
        <f t="shared" si="15"/>
        <v>27000</v>
      </c>
      <c r="AN46" s="276">
        <f t="shared" si="15"/>
        <v>27000</v>
      </c>
      <c r="AO46" s="277">
        <f t="shared" si="15"/>
        <v>27000</v>
      </c>
    </row>
    <row r="47" spans="1:41" s="116" customFormat="1" outlineLevel="1">
      <c r="A47" s="324"/>
      <c r="B47" s="244" t="s">
        <v>120</v>
      </c>
      <c r="C47" s="218" t="s">
        <v>121</v>
      </c>
      <c r="D47" s="279">
        <v>50</v>
      </c>
      <c r="E47" s="172"/>
      <c r="F47" s="238">
        <f t="shared" si="12"/>
        <v>5000</v>
      </c>
      <c r="G47" s="236">
        <f t="shared" si="12"/>
        <v>6000</v>
      </c>
      <c r="H47" s="236">
        <f t="shared" si="12"/>
        <v>7000</v>
      </c>
      <c r="I47" s="236">
        <f t="shared" si="12"/>
        <v>8000</v>
      </c>
      <c r="J47" s="236">
        <f t="shared" si="12"/>
        <v>10000</v>
      </c>
      <c r="K47" s="238">
        <f t="shared" si="12"/>
        <v>1000</v>
      </c>
      <c r="L47" s="236">
        <f t="shared" si="12"/>
        <v>1100</v>
      </c>
      <c r="M47" s="236">
        <f t="shared" si="12"/>
        <v>1200</v>
      </c>
      <c r="N47" s="236">
        <f t="shared" si="12"/>
        <v>1300</v>
      </c>
      <c r="O47" s="236">
        <f t="shared" si="12"/>
        <v>1500</v>
      </c>
      <c r="P47" s="162"/>
      <c r="Q47" s="162"/>
      <c r="R47" s="238">
        <f t="shared" si="13"/>
        <v>0</v>
      </c>
      <c r="S47" s="236">
        <f t="shared" si="13"/>
        <v>0</v>
      </c>
      <c r="T47" s="236">
        <f t="shared" si="13"/>
        <v>0</v>
      </c>
      <c r="U47" s="236">
        <f t="shared" si="13"/>
        <v>0</v>
      </c>
      <c r="V47" s="236">
        <f t="shared" si="13"/>
        <v>0</v>
      </c>
      <c r="W47" s="238">
        <f t="shared" si="13"/>
        <v>0</v>
      </c>
      <c r="X47" s="236">
        <f t="shared" si="13"/>
        <v>0</v>
      </c>
      <c r="Y47" s="236">
        <f t="shared" si="13"/>
        <v>0</v>
      </c>
      <c r="Z47" s="236">
        <f t="shared" si="13"/>
        <v>0</v>
      </c>
      <c r="AA47" s="236">
        <f t="shared" si="13"/>
        <v>0</v>
      </c>
      <c r="AB47" s="162"/>
      <c r="AC47" s="162"/>
      <c r="AD47" s="238">
        <f t="shared" si="14"/>
        <v>0</v>
      </c>
      <c r="AE47" s="236">
        <f t="shared" si="14"/>
        <v>0</v>
      </c>
      <c r="AF47" s="236">
        <f t="shared" si="14"/>
        <v>0</v>
      </c>
      <c r="AG47" s="236">
        <f t="shared" si="14"/>
        <v>0</v>
      </c>
      <c r="AH47" s="237">
        <f t="shared" si="14"/>
        <v>0</v>
      </c>
      <c r="AI47" s="162"/>
      <c r="AJ47" s="162"/>
      <c r="AK47" s="139">
        <f t="shared" si="15"/>
        <v>6000</v>
      </c>
      <c r="AL47" s="140">
        <f t="shared" si="15"/>
        <v>7100</v>
      </c>
      <c r="AM47" s="140">
        <f t="shared" si="15"/>
        <v>8200</v>
      </c>
      <c r="AN47" s="140">
        <f t="shared" si="15"/>
        <v>9300</v>
      </c>
      <c r="AO47" s="141">
        <f t="shared" si="15"/>
        <v>11500</v>
      </c>
    </row>
    <row r="48" spans="1:41" s="116" customFormat="1" outlineLevel="1">
      <c r="A48" s="324"/>
      <c r="B48" s="244" t="s">
        <v>181</v>
      </c>
      <c r="C48" s="218"/>
      <c r="D48" s="223"/>
      <c r="E48" s="172"/>
      <c r="F48" s="238"/>
      <c r="G48" s="236"/>
      <c r="H48" s="236"/>
      <c r="I48" s="236"/>
      <c r="J48" s="236"/>
      <c r="K48" s="238"/>
      <c r="L48" s="236"/>
      <c r="M48" s="236"/>
      <c r="N48" s="236"/>
      <c r="O48" s="236"/>
      <c r="P48" s="162"/>
      <c r="Q48" s="162"/>
      <c r="R48" s="238"/>
      <c r="S48" s="236"/>
      <c r="T48" s="236"/>
      <c r="U48" s="236"/>
      <c r="V48" s="236"/>
      <c r="W48" s="238"/>
      <c r="X48" s="236"/>
      <c r="Y48" s="236"/>
      <c r="Z48" s="236"/>
      <c r="AA48" s="236"/>
      <c r="AB48" s="162"/>
      <c r="AC48" s="162"/>
      <c r="AD48" s="238"/>
      <c r="AE48" s="236"/>
      <c r="AF48" s="236"/>
      <c r="AG48" s="236"/>
      <c r="AH48" s="237"/>
      <c r="AI48" s="162"/>
      <c r="AJ48" s="162"/>
      <c r="AK48" s="139">
        <f t="shared" si="15"/>
        <v>0</v>
      </c>
      <c r="AL48" s="140">
        <f t="shared" si="15"/>
        <v>0</v>
      </c>
      <c r="AM48" s="140">
        <f t="shared" si="15"/>
        <v>0</v>
      </c>
      <c r="AN48" s="140">
        <f t="shared" si="15"/>
        <v>0</v>
      </c>
      <c r="AO48" s="141">
        <f t="shared" si="15"/>
        <v>0</v>
      </c>
    </row>
    <row r="49" spans="1:41" s="116" customFormat="1" outlineLevel="1">
      <c r="A49" s="324"/>
      <c r="B49" s="244" t="s">
        <v>182</v>
      </c>
      <c r="C49" s="218"/>
      <c r="D49" s="223"/>
      <c r="E49" s="172"/>
      <c r="F49" s="238"/>
      <c r="G49" s="236"/>
      <c r="H49" s="236"/>
      <c r="I49" s="236"/>
      <c r="J49" s="236"/>
      <c r="K49" s="238"/>
      <c r="L49" s="236"/>
      <c r="M49" s="236"/>
      <c r="N49" s="236"/>
      <c r="O49" s="236"/>
      <c r="P49" s="162"/>
      <c r="Q49" s="162"/>
      <c r="R49" s="238"/>
      <c r="S49" s="236"/>
      <c r="T49" s="236"/>
      <c r="U49" s="236"/>
      <c r="V49" s="236"/>
      <c r="W49" s="238"/>
      <c r="X49" s="236"/>
      <c r="Y49" s="236"/>
      <c r="Z49" s="236"/>
      <c r="AA49" s="236"/>
      <c r="AB49" s="162"/>
      <c r="AC49" s="162"/>
      <c r="AD49" s="238"/>
      <c r="AE49" s="236"/>
      <c r="AF49" s="236"/>
      <c r="AG49" s="236"/>
      <c r="AH49" s="237"/>
      <c r="AI49" s="162"/>
      <c r="AJ49" s="162"/>
      <c r="AK49" s="139">
        <f t="shared" si="15"/>
        <v>0</v>
      </c>
      <c r="AL49" s="140">
        <f t="shared" si="15"/>
        <v>0</v>
      </c>
      <c r="AM49" s="140">
        <f t="shared" si="15"/>
        <v>0</v>
      </c>
      <c r="AN49" s="140">
        <f t="shared" si="15"/>
        <v>0</v>
      </c>
      <c r="AO49" s="141">
        <f t="shared" si="15"/>
        <v>0</v>
      </c>
    </row>
    <row r="50" spans="1:41" s="116" customFormat="1" outlineLevel="1">
      <c r="A50" s="324"/>
      <c r="B50" s="280" t="s">
        <v>183</v>
      </c>
      <c r="C50" s="226"/>
      <c r="D50" s="231"/>
      <c r="E50" s="172"/>
      <c r="F50" s="238"/>
      <c r="G50" s="236"/>
      <c r="H50" s="236"/>
      <c r="I50" s="236"/>
      <c r="J50" s="236"/>
      <c r="K50" s="238"/>
      <c r="L50" s="236"/>
      <c r="M50" s="236"/>
      <c r="N50" s="236"/>
      <c r="O50" s="236"/>
      <c r="P50" s="162"/>
      <c r="Q50" s="162"/>
      <c r="R50" s="238"/>
      <c r="S50" s="236"/>
      <c r="T50" s="236"/>
      <c r="U50" s="236"/>
      <c r="V50" s="236"/>
      <c r="W50" s="238"/>
      <c r="X50" s="236"/>
      <c r="Y50" s="236"/>
      <c r="Z50" s="236"/>
      <c r="AA50" s="236"/>
      <c r="AB50" s="162"/>
      <c r="AC50" s="162"/>
      <c r="AD50" s="281"/>
      <c r="AE50" s="239"/>
      <c r="AF50" s="239"/>
      <c r="AG50" s="239"/>
      <c r="AH50" s="282"/>
      <c r="AI50" s="162"/>
      <c r="AJ50" s="162"/>
      <c r="AK50" s="139">
        <f t="shared" si="15"/>
        <v>0</v>
      </c>
      <c r="AL50" s="140">
        <f t="shared" si="15"/>
        <v>0</v>
      </c>
      <c r="AM50" s="140">
        <f t="shared" si="15"/>
        <v>0</v>
      </c>
      <c r="AN50" s="140">
        <f t="shared" si="15"/>
        <v>0</v>
      </c>
      <c r="AO50" s="141">
        <f t="shared" si="15"/>
        <v>0</v>
      </c>
    </row>
    <row r="51" spans="1:41" s="285" customFormat="1" ht="15">
      <c r="A51" s="325" t="s">
        <v>136</v>
      </c>
      <c r="B51" s="326"/>
      <c r="C51" s="326"/>
      <c r="D51" s="326"/>
      <c r="E51" s="327"/>
      <c r="F51" s="283">
        <f t="shared" ref="F51:O51" si="16">SUM(F46:F50)</f>
        <v>14000</v>
      </c>
      <c r="G51" s="284">
        <f t="shared" si="16"/>
        <v>15000</v>
      </c>
      <c r="H51" s="284">
        <f t="shared" si="16"/>
        <v>16000</v>
      </c>
      <c r="I51" s="284">
        <f t="shared" si="16"/>
        <v>17000</v>
      </c>
      <c r="J51" s="284">
        <f t="shared" si="16"/>
        <v>19000</v>
      </c>
      <c r="K51" s="283">
        <f t="shared" si="16"/>
        <v>19000</v>
      </c>
      <c r="L51" s="284">
        <f t="shared" si="16"/>
        <v>19100</v>
      </c>
      <c r="M51" s="284">
        <f t="shared" si="16"/>
        <v>19200</v>
      </c>
      <c r="N51" s="284">
        <f t="shared" si="16"/>
        <v>19300</v>
      </c>
      <c r="O51" s="284">
        <f t="shared" si="16"/>
        <v>19500</v>
      </c>
      <c r="P51" s="164"/>
      <c r="Q51" s="164"/>
      <c r="R51" s="283">
        <f t="shared" ref="R51:AA51" si="17">SUM(R46:R50)</f>
        <v>0</v>
      </c>
      <c r="S51" s="284">
        <f t="shared" si="17"/>
        <v>0</v>
      </c>
      <c r="T51" s="284">
        <f t="shared" si="17"/>
        <v>0</v>
      </c>
      <c r="U51" s="284">
        <f t="shared" si="17"/>
        <v>0</v>
      </c>
      <c r="V51" s="284">
        <f t="shared" si="17"/>
        <v>0</v>
      </c>
      <c r="W51" s="283">
        <f t="shared" si="17"/>
        <v>0</v>
      </c>
      <c r="X51" s="284">
        <f t="shared" si="17"/>
        <v>0</v>
      </c>
      <c r="Y51" s="284">
        <f t="shared" si="17"/>
        <v>0</v>
      </c>
      <c r="Z51" s="284">
        <f t="shared" si="17"/>
        <v>0</v>
      </c>
      <c r="AA51" s="284">
        <f t="shared" si="17"/>
        <v>0</v>
      </c>
      <c r="AB51" s="164"/>
      <c r="AC51" s="164"/>
      <c r="AD51" s="283">
        <f>SUM(AD46:AD50)</f>
        <v>0</v>
      </c>
      <c r="AE51" s="284">
        <f>SUM(AE46:AE50)</f>
        <v>0</v>
      </c>
      <c r="AF51" s="284">
        <f>SUM(AF46:AF50)</f>
        <v>0</v>
      </c>
      <c r="AG51" s="284">
        <f>SUM(AG46:AG50)</f>
        <v>0</v>
      </c>
      <c r="AH51" s="284">
        <f>SUM(AH46:AH50)</f>
        <v>0</v>
      </c>
      <c r="AI51" s="164"/>
      <c r="AJ51" s="164"/>
      <c r="AK51" s="283">
        <f>SUM(AK46:AK50)</f>
        <v>33000</v>
      </c>
      <c r="AL51" s="284">
        <f>SUM(AL46:AL50)</f>
        <v>34100</v>
      </c>
      <c r="AM51" s="284">
        <f>SUM(AM46:AM50)</f>
        <v>35200</v>
      </c>
      <c r="AN51" s="284">
        <f>SUM(AN46:AN50)</f>
        <v>36300</v>
      </c>
      <c r="AO51" s="284">
        <f>SUM(AO46:AO50)</f>
        <v>38500</v>
      </c>
    </row>
    <row r="52" spans="1:41">
      <c r="E52" s="162"/>
      <c r="F52" s="66"/>
      <c r="G52" s="46"/>
      <c r="H52" s="46"/>
      <c r="I52" s="46"/>
      <c r="J52" s="46"/>
      <c r="K52" s="66"/>
      <c r="L52" s="46"/>
      <c r="M52" s="46"/>
      <c r="N52" s="46"/>
      <c r="O52" s="142"/>
      <c r="P52" s="162"/>
      <c r="Q52" s="162"/>
      <c r="R52" s="61"/>
      <c r="V52" s="62"/>
      <c r="W52" s="61"/>
      <c r="AA52" s="62"/>
      <c r="AB52" s="162"/>
      <c r="AC52" s="162"/>
      <c r="AD52" s="61"/>
      <c r="AH52" s="62"/>
      <c r="AI52" s="162"/>
      <c r="AJ52" s="162"/>
      <c r="AK52" s="61"/>
      <c r="AO52" s="62"/>
    </row>
    <row r="53" spans="1:41" s="292" customFormat="1" ht="14.25" customHeight="1" outlineLevel="1">
      <c r="A53" s="314" t="s">
        <v>184</v>
      </c>
      <c r="B53" s="286" t="s">
        <v>153</v>
      </c>
      <c r="C53" s="287" t="s">
        <v>132</v>
      </c>
      <c r="D53" s="288">
        <v>100</v>
      </c>
      <c r="E53" s="187"/>
      <c r="F53" s="272">
        <f t="shared" ref="F53:O53" si="18">$D$53*F5*F9</f>
        <v>600</v>
      </c>
      <c r="G53" s="273">
        <f t="shared" si="18"/>
        <v>525</v>
      </c>
      <c r="H53" s="273">
        <f t="shared" si="18"/>
        <v>530</v>
      </c>
      <c r="I53" s="273">
        <f t="shared" si="18"/>
        <v>321</v>
      </c>
      <c r="J53" s="274">
        <f t="shared" si="18"/>
        <v>327</v>
      </c>
      <c r="K53" s="272">
        <f t="shared" si="18"/>
        <v>500</v>
      </c>
      <c r="L53" s="273">
        <f t="shared" si="18"/>
        <v>525</v>
      </c>
      <c r="M53" s="273">
        <f t="shared" si="18"/>
        <v>530</v>
      </c>
      <c r="N53" s="273">
        <f t="shared" si="18"/>
        <v>535</v>
      </c>
      <c r="O53" s="274">
        <f t="shared" si="18"/>
        <v>545</v>
      </c>
      <c r="P53" s="187"/>
      <c r="Q53" s="187"/>
      <c r="R53" s="272">
        <f t="shared" ref="R53:AA53" si="19">$D$53*R5*R9</f>
        <v>0</v>
      </c>
      <c r="S53" s="273">
        <f t="shared" si="19"/>
        <v>0</v>
      </c>
      <c r="T53" s="273">
        <f t="shared" si="19"/>
        <v>0</v>
      </c>
      <c r="U53" s="273">
        <f t="shared" si="19"/>
        <v>0</v>
      </c>
      <c r="V53" s="274">
        <f t="shared" si="19"/>
        <v>0</v>
      </c>
      <c r="W53" s="272">
        <f t="shared" si="19"/>
        <v>0</v>
      </c>
      <c r="X53" s="273">
        <f t="shared" si="19"/>
        <v>0</v>
      </c>
      <c r="Y53" s="273">
        <f t="shared" si="19"/>
        <v>0</v>
      </c>
      <c r="Z53" s="273">
        <f t="shared" si="19"/>
        <v>0</v>
      </c>
      <c r="AA53" s="274">
        <f t="shared" si="19"/>
        <v>0</v>
      </c>
      <c r="AB53" s="187"/>
      <c r="AC53" s="187"/>
      <c r="AD53" s="272">
        <f>$D$53*AD5*AD9</f>
        <v>0</v>
      </c>
      <c r="AE53" s="273">
        <f>$D$53*AE5*AE9</f>
        <v>0</v>
      </c>
      <c r="AF53" s="273">
        <f>$D$53*AF5*AF9</f>
        <v>0</v>
      </c>
      <c r="AG53" s="273">
        <f>$D$53*AG5*AG9</f>
        <v>0</v>
      </c>
      <c r="AH53" s="274">
        <f>$D$53*AH5*AH9</f>
        <v>0</v>
      </c>
      <c r="AI53" s="187"/>
      <c r="AJ53" s="187"/>
      <c r="AK53" s="289">
        <f t="shared" ref="AK53:AO58" si="20">F53+K53+R53+W53+AD53</f>
        <v>1100</v>
      </c>
      <c r="AL53" s="290">
        <f t="shared" si="20"/>
        <v>1050</v>
      </c>
      <c r="AM53" s="290">
        <f t="shared" si="20"/>
        <v>1060</v>
      </c>
      <c r="AN53" s="290">
        <f t="shared" si="20"/>
        <v>856</v>
      </c>
      <c r="AO53" s="291">
        <f t="shared" si="20"/>
        <v>872</v>
      </c>
    </row>
    <row r="54" spans="1:41" outlineLevel="1">
      <c r="A54" s="315"/>
      <c r="B54" s="286" t="s">
        <v>154</v>
      </c>
      <c r="C54" s="219" t="s">
        <v>132</v>
      </c>
      <c r="D54" s="233">
        <v>2000</v>
      </c>
      <c r="E54" s="162"/>
      <c r="F54" s="238">
        <f t="shared" ref="F54:O54" si="21">$D$54*F5*F9</f>
        <v>12000</v>
      </c>
      <c r="G54" s="236">
        <f t="shared" si="21"/>
        <v>10500</v>
      </c>
      <c r="H54" s="236">
        <f t="shared" si="21"/>
        <v>10600</v>
      </c>
      <c r="I54" s="236">
        <f t="shared" si="21"/>
        <v>6420</v>
      </c>
      <c r="J54" s="237">
        <f t="shared" si="21"/>
        <v>6540.0000000000009</v>
      </c>
      <c r="K54" s="238">
        <f t="shared" si="21"/>
        <v>10000</v>
      </c>
      <c r="L54" s="236">
        <f t="shared" si="21"/>
        <v>10500</v>
      </c>
      <c r="M54" s="236">
        <f t="shared" si="21"/>
        <v>10600</v>
      </c>
      <c r="N54" s="236">
        <f t="shared" si="21"/>
        <v>10700</v>
      </c>
      <c r="O54" s="237">
        <f t="shared" si="21"/>
        <v>10900</v>
      </c>
      <c r="P54" s="162"/>
      <c r="Q54" s="162"/>
      <c r="R54" s="238">
        <f t="shared" ref="R54:AA54" si="22">$D$54*R5*R9</f>
        <v>0</v>
      </c>
      <c r="S54" s="236">
        <f t="shared" si="22"/>
        <v>0</v>
      </c>
      <c r="T54" s="236">
        <f t="shared" si="22"/>
        <v>0</v>
      </c>
      <c r="U54" s="236">
        <f t="shared" si="22"/>
        <v>0</v>
      </c>
      <c r="V54" s="237">
        <f t="shared" si="22"/>
        <v>0</v>
      </c>
      <c r="W54" s="238">
        <f t="shared" si="22"/>
        <v>0</v>
      </c>
      <c r="X54" s="236">
        <f t="shared" si="22"/>
        <v>0</v>
      </c>
      <c r="Y54" s="236">
        <f t="shared" si="22"/>
        <v>0</v>
      </c>
      <c r="Z54" s="236">
        <f t="shared" si="22"/>
        <v>0</v>
      </c>
      <c r="AA54" s="237">
        <f t="shared" si="22"/>
        <v>0</v>
      </c>
      <c r="AB54" s="162"/>
      <c r="AC54" s="162"/>
      <c r="AD54" s="238">
        <f>$D$54*AD5*AD9</f>
        <v>0</v>
      </c>
      <c r="AE54" s="236">
        <f>$D$54*AE5*AE9</f>
        <v>0</v>
      </c>
      <c r="AF54" s="236">
        <f>$D$54*AF5*AF9</f>
        <v>0</v>
      </c>
      <c r="AG54" s="236">
        <f>$D$54*AG5*AG9</f>
        <v>0</v>
      </c>
      <c r="AH54" s="237">
        <f>$D$54*AH5*AH9</f>
        <v>0</v>
      </c>
      <c r="AI54" s="162"/>
      <c r="AJ54" s="162"/>
      <c r="AK54" s="66">
        <f t="shared" si="20"/>
        <v>22000</v>
      </c>
      <c r="AL54" s="46">
        <f t="shared" si="20"/>
        <v>21000</v>
      </c>
      <c r="AM54" s="46">
        <f t="shared" si="20"/>
        <v>21200</v>
      </c>
      <c r="AN54" s="46">
        <f t="shared" si="20"/>
        <v>17120</v>
      </c>
      <c r="AO54" s="142">
        <f t="shared" si="20"/>
        <v>17440</v>
      </c>
    </row>
    <row r="55" spans="1:41" outlineLevel="1">
      <c r="A55" s="315"/>
      <c r="B55" s="286" t="s">
        <v>155</v>
      </c>
      <c r="C55" s="219" t="s">
        <v>132</v>
      </c>
      <c r="D55" s="233">
        <v>5000</v>
      </c>
      <c r="E55" s="162"/>
      <c r="F55" s="238">
        <f t="shared" ref="F55:O55" si="23">$D$55*F5*F9</f>
        <v>30000</v>
      </c>
      <c r="G55" s="236">
        <f t="shared" si="23"/>
        <v>26250</v>
      </c>
      <c r="H55" s="236">
        <f t="shared" si="23"/>
        <v>26500</v>
      </c>
      <c r="I55" s="236">
        <f t="shared" si="23"/>
        <v>16050.000000000002</v>
      </c>
      <c r="J55" s="237">
        <f t="shared" si="23"/>
        <v>16350.000000000002</v>
      </c>
      <c r="K55" s="238">
        <f t="shared" si="23"/>
        <v>25000</v>
      </c>
      <c r="L55" s="236">
        <f t="shared" si="23"/>
        <v>26250</v>
      </c>
      <c r="M55" s="236">
        <f t="shared" si="23"/>
        <v>26500</v>
      </c>
      <c r="N55" s="236">
        <f t="shared" si="23"/>
        <v>26750</v>
      </c>
      <c r="O55" s="237">
        <f t="shared" si="23"/>
        <v>27250.000000000004</v>
      </c>
      <c r="P55" s="162"/>
      <c r="Q55" s="162"/>
      <c r="R55" s="238">
        <f t="shared" ref="R55:AA55" si="24">$D$55*R5*R9</f>
        <v>0</v>
      </c>
      <c r="S55" s="236">
        <f t="shared" si="24"/>
        <v>0</v>
      </c>
      <c r="T55" s="236">
        <f t="shared" si="24"/>
        <v>0</v>
      </c>
      <c r="U55" s="236">
        <f t="shared" si="24"/>
        <v>0</v>
      </c>
      <c r="V55" s="237">
        <f t="shared" si="24"/>
        <v>0</v>
      </c>
      <c r="W55" s="238">
        <f t="shared" si="24"/>
        <v>0</v>
      </c>
      <c r="X55" s="236">
        <f t="shared" si="24"/>
        <v>0</v>
      </c>
      <c r="Y55" s="236">
        <f t="shared" si="24"/>
        <v>0</v>
      </c>
      <c r="Z55" s="236">
        <f t="shared" si="24"/>
        <v>0</v>
      </c>
      <c r="AA55" s="237">
        <f t="shared" si="24"/>
        <v>0</v>
      </c>
      <c r="AB55" s="162"/>
      <c r="AC55" s="162"/>
      <c r="AD55" s="238">
        <f>$D$55*AD5*AD9</f>
        <v>0</v>
      </c>
      <c r="AE55" s="236">
        <f>$D$55*AE5*AE9</f>
        <v>0</v>
      </c>
      <c r="AF55" s="236">
        <f>$D$55*AF5*AF9</f>
        <v>0</v>
      </c>
      <c r="AG55" s="236">
        <f>$D$55*AG5*AG9</f>
        <v>0</v>
      </c>
      <c r="AH55" s="237">
        <f>$D$55*AH5*AH9</f>
        <v>0</v>
      </c>
      <c r="AI55" s="162"/>
      <c r="AJ55" s="162"/>
      <c r="AK55" s="66">
        <f t="shared" si="20"/>
        <v>55000</v>
      </c>
      <c r="AL55" s="46">
        <f t="shared" si="20"/>
        <v>52500</v>
      </c>
      <c r="AM55" s="46">
        <f t="shared" si="20"/>
        <v>53000</v>
      </c>
      <c r="AN55" s="46">
        <f t="shared" si="20"/>
        <v>42800</v>
      </c>
      <c r="AO55" s="142">
        <f t="shared" si="20"/>
        <v>43600.000000000007</v>
      </c>
    </row>
    <row r="56" spans="1:41" outlineLevel="1">
      <c r="A56" s="315"/>
      <c r="B56" s="286" t="s">
        <v>143</v>
      </c>
      <c r="C56" s="219" t="s">
        <v>145</v>
      </c>
      <c r="D56" s="233">
        <v>15000</v>
      </c>
      <c r="E56" s="162"/>
      <c r="F56" s="238">
        <f>D56*F9</f>
        <v>15000</v>
      </c>
      <c r="G56" s="236">
        <f>F56*G9</f>
        <v>15750</v>
      </c>
      <c r="H56" s="236">
        <f>G56*H9</f>
        <v>16695</v>
      </c>
      <c r="I56" s="236">
        <f>H56*I9</f>
        <v>17863.650000000001</v>
      </c>
      <c r="J56" s="237">
        <f>I56*J9</f>
        <v>19471.378500000003</v>
      </c>
      <c r="K56" s="238">
        <f>I56*K9</f>
        <v>17863.650000000001</v>
      </c>
      <c r="L56" s="236">
        <f>K56*L9</f>
        <v>18756.832500000004</v>
      </c>
      <c r="M56" s="236">
        <f>L56*M9</f>
        <v>19882.242450000005</v>
      </c>
      <c r="N56" s="236">
        <f>M56*N9</f>
        <v>21273.999421500008</v>
      </c>
      <c r="O56" s="237">
        <f>N56*O9</f>
        <v>23188.659369435009</v>
      </c>
      <c r="P56" s="162"/>
      <c r="Q56" s="162"/>
      <c r="R56" s="238">
        <f>P56*R9</f>
        <v>0</v>
      </c>
      <c r="S56" s="236">
        <f>R56*S9</f>
        <v>0</v>
      </c>
      <c r="T56" s="236">
        <f>S56*T9</f>
        <v>0</v>
      </c>
      <c r="U56" s="236">
        <f>T56*U9</f>
        <v>0</v>
      </c>
      <c r="V56" s="237">
        <f>U56*V9</f>
        <v>0</v>
      </c>
      <c r="W56" s="238">
        <f>U56*W9</f>
        <v>0</v>
      </c>
      <c r="X56" s="236">
        <f>W56*X9</f>
        <v>0</v>
      </c>
      <c r="Y56" s="236">
        <f>X56*Y9</f>
        <v>0</v>
      </c>
      <c r="Z56" s="236">
        <f>Y56*Z9</f>
        <v>0</v>
      </c>
      <c r="AA56" s="237">
        <f>Z56*AA9</f>
        <v>0</v>
      </c>
      <c r="AB56" s="162"/>
      <c r="AC56" s="162"/>
      <c r="AD56" s="238">
        <f>AB56*AD9</f>
        <v>0</v>
      </c>
      <c r="AE56" s="236">
        <f>AD56*AE9</f>
        <v>0</v>
      </c>
      <c r="AF56" s="236">
        <f>AE56*AF9</f>
        <v>0</v>
      </c>
      <c r="AG56" s="236">
        <f>AF56*AG9</f>
        <v>0</v>
      </c>
      <c r="AH56" s="237">
        <f>AG56*AH9</f>
        <v>0</v>
      </c>
      <c r="AI56" s="162"/>
      <c r="AJ56" s="162"/>
      <c r="AK56" s="66">
        <f t="shared" si="20"/>
        <v>32863.65</v>
      </c>
      <c r="AL56" s="46">
        <f t="shared" si="20"/>
        <v>34506.832500000004</v>
      </c>
      <c r="AM56" s="46">
        <f t="shared" si="20"/>
        <v>36577.242450000005</v>
      </c>
      <c r="AN56" s="46">
        <f t="shared" si="20"/>
        <v>39137.649421500013</v>
      </c>
      <c r="AO56" s="142">
        <f t="shared" si="20"/>
        <v>42660.037869435007</v>
      </c>
    </row>
    <row r="57" spans="1:41" outlineLevel="1">
      <c r="A57" s="315"/>
      <c r="B57" s="286" t="s">
        <v>156</v>
      </c>
      <c r="C57" s="219" t="s">
        <v>157</v>
      </c>
      <c r="D57" s="233">
        <f>120*5500</f>
        <v>660000</v>
      </c>
      <c r="E57" s="171"/>
      <c r="F57" s="238">
        <f>D57</f>
        <v>660000</v>
      </c>
      <c r="G57" s="236"/>
      <c r="H57" s="236"/>
      <c r="I57" s="236"/>
      <c r="J57" s="237"/>
      <c r="K57" s="238"/>
      <c r="L57" s="236"/>
      <c r="M57" s="236"/>
      <c r="N57" s="236"/>
      <c r="O57" s="237"/>
      <c r="P57" s="162"/>
      <c r="Q57" s="162"/>
      <c r="R57" s="238"/>
      <c r="S57" s="236"/>
      <c r="T57" s="236"/>
      <c r="U57" s="236"/>
      <c r="V57" s="237"/>
      <c r="W57" s="238"/>
      <c r="X57" s="236"/>
      <c r="Y57" s="236"/>
      <c r="Z57" s="236"/>
      <c r="AA57" s="237"/>
      <c r="AB57" s="162"/>
      <c r="AC57" s="162"/>
      <c r="AD57" s="238"/>
      <c r="AE57" s="236"/>
      <c r="AF57" s="236"/>
      <c r="AG57" s="236"/>
      <c r="AH57" s="237"/>
      <c r="AI57" s="162"/>
      <c r="AJ57" s="162"/>
      <c r="AK57" s="66">
        <f t="shared" si="20"/>
        <v>660000</v>
      </c>
      <c r="AL57" s="46">
        <f t="shared" si="20"/>
        <v>0</v>
      </c>
      <c r="AM57" s="46">
        <f t="shared" si="20"/>
        <v>0</v>
      </c>
      <c r="AN57" s="46">
        <f t="shared" si="20"/>
        <v>0</v>
      </c>
      <c r="AO57" s="142">
        <f t="shared" si="20"/>
        <v>0</v>
      </c>
    </row>
    <row r="58" spans="1:41" s="296" customFormat="1" outlineLevel="1">
      <c r="A58" s="315"/>
      <c r="B58" s="286"/>
      <c r="C58" s="227"/>
      <c r="D58" s="227"/>
      <c r="E58" s="200"/>
      <c r="F58" s="226"/>
      <c r="G58" s="227"/>
      <c r="H58" s="227"/>
      <c r="I58" s="227"/>
      <c r="J58" s="231"/>
      <c r="K58" s="226"/>
      <c r="L58" s="227"/>
      <c r="M58" s="227"/>
      <c r="N58" s="227"/>
      <c r="O58" s="231"/>
      <c r="P58" s="200"/>
      <c r="Q58" s="200"/>
      <c r="R58" s="226"/>
      <c r="S58" s="227"/>
      <c r="T58" s="227"/>
      <c r="U58" s="227"/>
      <c r="V58" s="231"/>
      <c r="W58" s="226"/>
      <c r="X58" s="227"/>
      <c r="Y58" s="227"/>
      <c r="Z58" s="227"/>
      <c r="AA58" s="231"/>
      <c r="AB58" s="200"/>
      <c r="AC58" s="200"/>
      <c r="AD58" s="226"/>
      <c r="AE58" s="227"/>
      <c r="AF58" s="227"/>
      <c r="AG58" s="227"/>
      <c r="AH58" s="231"/>
      <c r="AI58" s="200"/>
      <c r="AJ58" s="200"/>
      <c r="AK58" s="293">
        <f t="shared" si="20"/>
        <v>0</v>
      </c>
      <c r="AL58" s="294">
        <f t="shared" si="20"/>
        <v>0</v>
      </c>
      <c r="AM58" s="294">
        <f t="shared" si="20"/>
        <v>0</v>
      </c>
      <c r="AN58" s="294">
        <f t="shared" si="20"/>
        <v>0</v>
      </c>
      <c r="AO58" s="295">
        <f t="shared" si="20"/>
        <v>0</v>
      </c>
    </row>
    <row r="59" spans="1:41" s="60" customFormat="1" ht="15">
      <c r="A59" s="349" t="s">
        <v>136</v>
      </c>
      <c r="B59" s="350"/>
      <c r="C59" s="350"/>
      <c r="D59" s="350"/>
      <c r="E59" s="351"/>
      <c r="F59" s="293">
        <f t="shared" ref="F59:O59" si="25">SUM(F53:F57)</f>
        <v>717600</v>
      </c>
      <c r="G59" s="294">
        <f t="shared" si="25"/>
        <v>53025</v>
      </c>
      <c r="H59" s="294">
        <f t="shared" si="25"/>
        <v>54325</v>
      </c>
      <c r="I59" s="294">
        <f t="shared" si="25"/>
        <v>40654.65</v>
      </c>
      <c r="J59" s="294">
        <f t="shared" si="25"/>
        <v>42688.378500000006</v>
      </c>
      <c r="K59" s="143">
        <f t="shared" si="25"/>
        <v>53363.65</v>
      </c>
      <c r="L59" s="117">
        <f t="shared" si="25"/>
        <v>56031.832500000004</v>
      </c>
      <c r="M59" s="117">
        <f t="shared" si="25"/>
        <v>57512.242450000005</v>
      </c>
      <c r="N59" s="117">
        <f t="shared" si="25"/>
        <v>59258.999421500004</v>
      </c>
      <c r="O59" s="297">
        <f t="shared" si="25"/>
        <v>61883.659369435009</v>
      </c>
      <c r="P59" s="164"/>
      <c r="Q59" s="164"/>
      <c r="R59" s="143">
        <f t="shared" ref="R59:AA59" si="26">SUM(R53:R57)</f>
        <v>0</v>
      </c>
      <c r="S59" s="117">
        <f t="shared" si="26"/>
        <v>0</v>
      </c>
      <c r="T59" s="117">
        <f t="shared" si="26"/>
        <v>0</v>
      </c>
      <c r="U59" s="117">
        <f t="shared" si="26"/>
        <v>0</v>
      </c>
      <c r="V59" s="297">
        <f t="shared" si="26"/>
        <v>0</v>
      </c>
      <c r="W59" s="143">
        <f t="shared" si="26"/>
        <v>0</v>
      </c>
      <c r="X59" s="117">
        <f t="shared" si="26"/>
        <v>0</v>
      </c>
      <c r="Y59" s="117">
        <f t="shared" si="26"/>
        <v>0</v>
      </c>
      <c r="Z59" s="117">
        <f t="shared" si="26"/>
        <v>0</v>
      </c>
      <c r="AA59" s="297">
        <f t="shared" si="26"/>
        <v>0</v>
      </c>
      <c r="AB59" s="164"/>
      <c r="AC59" s="164"/>
      <c r="AD59" s="143">
        <f>SUM(AD53:AD57)</f>
        <v>0</v>
      </c>
      <c r="AE59" s="117">
        <f>SUM(AE53:AE57)</f>
        <v>0</v>
      </c>
      <c r="AF59" s="117">
        <f>SUM(AF53:AF57)</f>
        <v>0</v>
      </c>
      <c r="AG59" s="117">
        <f>SUM(AG53:AG57)</f>
        <v>0</v>
      </c>
      <c r="AH59" s="297">
        <f>SUM(AH53:AH57)</f>
        <v>0</v>
      </c>
      <c r="AI59" s="164"/>
      <c r="AJ59" s="164"/>
      <c r="AK59" s="143">
        <f>SUM(AK53:AK57)</f>
        <v>770963.65</v>
      </c>
      <c r="AL59" s="117">
        <f>SUM(AL53:AL57)</f>
        <v>109056.8325</v>
      </c>
      <c r="AM59" s="117">
        <f>SUM(AM53:AM57)</f>
        <v>111837.24245000001</v>
      </c>
      <c r="AN59" s="117">
        <f>SUM(AN53:AN57)</f>
        <v>99913.649421500013</v>
      </c>
      <c r="AO59" s="297">
        <f>SUM(AO53:AO57)</f>
        <v>104572.03786943501</v>
      </c>
    </row>
    <row r="60" spans="1:41">
      <c r="E60" s="162"/>
      <c r="F60" s="61"/>
      <c r="K60" s="61"/>
      <c r="O60" s="62"/>
      <c r="P60" s="162"/>
      <c r="Q60" s="162"/>
      <c r="R60" s="61"/>
      <c r="V60" s="62"/>
      <c r="W60" s="61"/>
      <c r="AA60" s="62"/>
      <c r="AB60" s="162"/>
      <c r="AC60" s="162"/>
      <c r="AD60" s="61"/>
      <c r="AH60" s="62"/>
      <c r="AI60" s="162"/>
      <c r="AJ60" s="162"/>
      <c r="AK60" s="61"/>
      <c r="AO60" s="62"/>
    </row>
    <row r="61" spans="1:41">
      <c r="E61" s="162"/>
      <c r="F61" s="61"/>
      <c r="K61" s="61"/>
      <c r="O61" s="62"/>
      <c r="P61" s="162"/>
      <c r="Q61" s="162"/>
      <c r="R61" s="61"/>
      <c r="V61" s="62"/>
      <c r="W61" s="61"/>
      <c r="AA61" s="62"/>
      <c r="AB61" s="162"/>
      <c r="AC61" s="162"/>
      <c r="AD61" s="61"/>
      <c r="AH61" s="62"/>
      <c r="AI61" s="162"/>
      <c r="AJ61" s="162"/>
      <c r="AK61" s="61"/>
      <c r="AO61" s="62"/>
    </row>
    <row r="62" spans="1:41">
      <c r="A62" t="s">
        <v>129</v>
      </c>
      <c r="E62" s="162"/>
      <c r="F62" s="61"/>
      <c r="K62" s="61"/>
      <c r="O62" s="62"/>
      <c r="P62" s="162"/>
      <c r="Q62" s="162"/>
      <c r="R62" s="61"/>
      <c r="V62" s="62"/>
      <c r="W62" s="61"/>
      <c r="AA62" s="62"/>
      <c r="AB62" s="162"/>
      <c r="AC62" s="162"/>
      <c r="AD62" s="61"/>
      <c r="AH62" s="62"/>
      <c r="AI62" s="162"/>
      <c r="AJ62" s="162"/>
      <c r="AK62" s="61"/>
      <c r="AO62" s="62"/>
    </row>
    <row r="63" spans="1:41" ht="15" thickBot="1">
      <c r="C63" t="s">
        <v>146</v>
      </c>
      <c r="D63">
        <v>1E-3</v>
      </c>
      <c r="E63" s="162"/>
      <c r="F63" s="61"/>
      <c r="K63" s="61"/>
      <c r="O63" s="62"/>
      <c r="P63" s="162"/>
      <c r="Q63" s="162"/>
      <c r="R63" s="61"/>
      <c r="V63" s="62"/>
      <c r="W63" s="61"/>
      <c r="AA63" s="62"/>
      <c r="AB63" s="162"/>
      <c r="AC63" s="162"/>
      <c r="AD63" s="61"/>
      <c r="AH63" s="62"/>
      <c r="AI63" s="162"/>
      <c r="AJ63" s="162"/>
      <c r="AK63" s="61"/>
      <c r="AO63" s="62"/>
    </row>
    <row r="64" spans="1:41" ht="15" thickBot="1">
      <c r="C64" t="s">
        <v>147</v>
      </c>
      <c r="D64" t="s">
        <v>110</v>
      </c>
      <c r="E64" s="162"/>
      <c r="F64" s="149">
        <f t="shared" ref="F64:O64" si="27">F59+F44+F40+F34+F17</f>
        <v>780600</v>
      </c>
      <c r="G64" s="150">
        <f t="shared" si="27"/>
        <v>350275</v>
      </c>
      <c r="H64" s="150">
        <f t="shared" si="27"/>
        <v>54325</v>
      </c>
      <c r="I64" s="150">
        <f t="shared" si="27"/>
        <v>40654.65</v>
      </c>
      <c r="J64" s="150">
        <f t="shared" si="27"/>
        <v>42688.378500000006</v>
      </c>
      <c r="K64" s="149">
        <f t="shared" si="27"/>
        <v>61363.65</v>
      </c>
      <c r="L64" s="150">
        <f t="shared" si="27"/>
        <v>70031.832500000004</v>
      </c>
      <c r="M64" s="150">
        <f t="shared" si="27"/>
        <v>57512.242450000005</v>
      </c>
      <c r="N64" s="150">
        <f t="shared" si="27"/>
        <v>59258.999421500004</v>
      </c>
      <c r="O64" s="150">
        <f t="shared" si="27"/>
        <v>61883.659369435009</v>
      </c>
      <c r="P64" s="162"/>
      <c r="Q64" s="162"/>
      <c r="R64" s="149">
        <f t="shared" ref="R64:AA64" si="28">R59+R44+R40+R34+R17</f>
        <v>681000.6</v>
      </c>
      <c r="S64" s="150">
        <f t="shared" si="28"/>
        <v>0</v>
      </c>
      <c r="T64" s="150">
        <f t="shared" si="28"/>
        <v>0</v>
      </c>
      <c r="U64" s="150">
        <f t="shared" si="28"/>
        <v>0</v>
      </c>
      <c r="V64" s="150">
        <f t="shared" si="28"/>
        <v>0</v>
      </c>
      <c r="W64" s="149">
        <f t="shared" si="28"/>
        <v>373500.2</v>
      </c>
      <c r="X64" s="150">
        <f t="shared" si="28"/>
        <v>0</v>
      </c>
      <c r="Y64" s="150">
        <f t="shared" si="28"/>
        <v>0</v>
      </c>
      <c r="Z64" s="150">
        <f t="shared" si="28"/>
        <v>0</v>
      </c>
      <c r="AA64" s="150">
        <f t="shared" si="28"/>
        <v>0</v>
      </c>
      <c r="AB64" s="162"/>
      <c r="AC64" s="162"/>
      <c r="AD64" s="149">
        <f>AD59+AD44+AD40+AD34+AD17</f>
        <v>111000.2</v>
      </c>
      <c r="AE64" s="150">
        <f>AE59+AE44+AE40+AE34+AE17</f>
        <v>0</v>
      </c>
      <c r="AF64" s="150">
        <f>AF59+AF44+AF40+AF34+AF17</f>
        <v>0</v>
      </c>
      <c r="AG64" s="150">
        <f>AG59+AG44+AG40+AG34+AG17</f>
        <v>0</v>
      </c>
      <c r="AH64" s="150">
        <f>AH59+AH44+AH40+AH34+AH17</f>
        <v>0</v>
      </c>
      <c r="AI64" s="162"/>
      <c r="AJ64" s="162"/>
      <c r="AK64" s="149">
        <f t="shared" ref="AK64:AO66" si="29">F64+K64+R64+W64+AD64</f>
        <v>2007464.65</v>
      </c>
      <c r="AL64" s="150">
        <f t="shared" si="29"/>
        <v>420306.83250000002</v>
      </c>
      <c r="AM64" s="150">
        <f t="shared" si="29"/>
        <v>111837.24245000001</v>
      </c>
      <c r="AN64" s="150">
        <f t="shared" si="29"/>
        <v>99913.649421500013</v>
      </c>
      <c r="AO64" s="150">
        <f t="shared" si="29"/>
        <v>104572.03786943501</v>
      </c>
    </row>
    <row r="65" spans="3:41" ht="15" thickBot="1">
      <c r="E65" s="162"/>
      <c r="F65" s="66">
        <f t="shared" ref="F65:O65" si="30">F64*$D$63</f>
        <v>780.6</v>
      </c>
      <c r="G65" s="46">
        <f t="shared" si="30"/>
        <v>350.27500000000003</v>
      </c>
      <c r="H65" s="46">
        <f t="shared" si="30"/>
        <v>54.325000000000003</v>
      </c>
      <c r="I65" s="46">
        <f t="shared" si="30"/>
        <v>40.654650000000004</v>
      </c>
      <c r="J65" s="46">
        <f t="shared" si="30"/>
        <v>42.688378500000006</v>
      </c>
      <c r="K65" s="66">
        <f t="shared" si="30"/>
        <v>61.36365</v>
      </c>
      <c r="L65" s="46">
        <f t="shared" si="30"/>
        <v>70.031832500000007</v>
      </c>
      <c r="M65" s="46">
        <f t="shared" si="30"/>
        <v>57.512242450000009</v>
      </c>
      <c r="N65" s="46">
        <f t="shared" si="30"/>
        <v>59.258999421500008</v>
      </c>
      <c r="O65" s="46">
        <f t="shared" si="30"/>
        <v>61.883659369435009</v>
      </c>
      <c r="P65" s="162"/>
      <c r="Q65" s="162"/>
      <c r="R65" s="66">
        <f t="shared" ref="R65:AA65" si="31">R64*$D$63</f>
        <v>681.00059999999996</v>
      </c>
      <c r="S65" s="46">
        <f t="shared" si="31"/>
        <v>0</v>
      </c>
      <c r="T65" s="46">
        <f t="shared" si="31"/>
        <v>0</v>
      </c>
      <c r="U65" s="46">
        <f t="shared" si="31"/>
        <v>0</v>
      </c>
      <c r="V65" s="46">
        <f t="shared" si="31"/>
        <v>0</v>
      </c>
      <c r="W65" s="66">
        <f t="shared" si="31"/>
        <v>373.50020000000001</v>
      </c>
      <c r="X65" s="46">
        <f t="shared" si="31"/>
        <v>0</v>
      </c>
      <c r="Y65" s="46">
        <f t="shared" si="31"/>
        <v>0</v>
      </c>
      <c r="Z65" s="46">
        <f t="shared" si="31"/>
        <v>0</v>
      </c>
      <c r="AA65" s="46">
        <f t="shared" si="31"/>
        <v>0</v>
      </c>
      <c r="AB65" s="162"/>
      <c r="AC65" s="162"/>
      <c r="AD65" s="66">
        <f>AD64*$D$63</f>
        <v>111.00019999999999</v>
      </c>
      <c r="AE65" s="46">
        <f>AE64*$D$63</f>
        <v>0</v>
      </c>
      <c r="AF65" s="46">
        <f>AF64*$D$63</f>
        <v>0</v>
      </c>
      <c r="AG65" s="46">
        <f>AG64*$D$63</f>
        <v>0</v>
      </c>
      <c r="AH65" s="46">
        <f>AH64*$D$63</f>
        <v>0</v>
      </c>
      <c r="AI65" s="162"/>
      <c r="AJ65" s="162"/>
      <c r="AK65" s="66">
        <f t="shared" si="29"/>
        <v>2007.4646499999999</v>
      </c>
      <c r="AL65" s="46">
        <f t="shared" si="29"/>
        <v>420.30683250000004</v>
      </c>
      <c r="AM65" s="46">
        <f t="shared" si="29"/>
        <v>111.83724245000002</v>
      </c>
      <c r="AN65" s="46">
        <f t="shared" si="29"/>
        <v>99.913649421500011</v>
      </c>
      <c r="AO65" s="46">
        <f t="shared" si="29"/>
        <v>104.57203786943501</v>
      </c>
    </row>
    <row r="66" spans="3:41" ht="15.75" thickBot="1">
      <c r="C66" t="s">
        <v>133</v>
      </c>
      <c r="E66" s="162"/>
      <c r="F66" s="152">
        <f t="shared" ref="F66:O66" si="32">F64+F65</f>
        <v>781380.6</v>
      </c>
      <c r="G66" s="153">
        <f t="shared" si="32"/>
        <v>350625.27500000002</v>
      </c>
      <c r="H66" s="153">
        <f t="shared" si="32"/>
        <v>54379.324999999997</v>
      </c>
      <c r="I66" s="153">
        <f t="shared" si="32"/>
        <v>40695.304649999998</v>
      </c>
      <c r="J66" s="153">
        <f t="shared" si="32"/>
        <v>42731.066878500009</v>
      </c>
      <c r="K66" s="152">
        <f t="shared" si="32"/>
        <v>61425.013650000001</v>
      </c>
      <c r="L66" s="153">
        <f t="shared" si="32"/>
        <v>70101.864332500001</v>
      </c>
      <c r="M66" s="153">
        <f t="shared" si="32"/>
        <v>57569.754692450006</v>
      </c>
      <c r="N66" s="153">
        <f t="shared" si="32"/>
        <v>59318.258420921506</v>
      </c>
      <c r="O66" s="153">
        <f t="shared" si="32"/>
        <v>61945.543028804444</v>
      </c>
      <c r="P66" s="162"/>
      <c r="Q66" s="162"/>
      <c r="R66" s="152">
        <f t="shared" ref="R66:AA66" si="33">R64+R65</f>
        <v>681681.60060000001</v>
      </c>
      <c r="S66" s="153">
        <f t="shared" si="33"/>
        <v>0</v>
      </c>
      <c r="T66" s="153">
        <f t="shared" si="33"/>
        <v>0</v>
      </c>
      <c r="U66" s="153">
        <f t="shared" si="33"/>
        <v>0</v>
      </c>
      <c r="V66" s="153">
        <f t="shared" si="33"/>
        <v>0</v>
      </c>
      <c r="W66" s="152">
        <f t="shared" si="33"/>
        <v>373873.70020000002</v>
      </c>
      <c r="X66" s="153">
        <f t="shared" si="33"/>
        <v>0</v>
      </c>
      <c r="Y66" s="153">
        <f t="shared" si="33"/>
        <v>0</v>
      </c>
      <c r="Z66" s="153">
        <f t="shared" si="33"/>
        <v>0</v>
      </c>
      <c r="AA66" s="153">
        <f t="shared" si="33"/>
        <v>0</v>
      </c>
      <c r="AB66" s="162"/>
      <c r="AC66" s="162"/>
      <c r="AD66" s="152">
        <f>AD64+AD65</f>
        <v>111111.20019999999</v>
      </c>
      <c r="AE66" s="153">
        <f>AE64+AE65</f>
        <v>0</v>
      </c>
      <c r="AF66" s="153">
        <f>AF64+AF65</f>
        <v>0</v>
      </c>
      <c r="AG66" s="153">
        <f>AG64+AG65</f>
        <v>0</v>
      </c>
      <c r="AH66" s="153">
        <f>AH64+AH65</f>
        <v>0</v>
      </c>
      <c r="AI66" s="162"/>
      <c r="AJ66" s="162"/>
      <c r="AK66" s="152">
        <f t="shared" si="29"/>
        <v>2009472.1146500001</v>
      </c>
      <c r="AL66" s="153">
        <f t="shared" si="29"/>
        <v>420727.13933250005</v>
      </c>
      <c r="AM66" s="153">
        <f t="shared" si="29"/>
        <v>111949.07969245</v>
      </c>
      <c r="AN66" s="153">
        <f t="shared" si="29"/>
        <v>100013.5630709215</v>
      </c>
      <c r="AO66" s="153">
        <f t="shared" si="29"/>
        <v>104676.60990730446</v>
      </c>
    </row>
  </sheetData>
  <mergeCells count="36">
    <mergeCell ref="C4:D4"/>
    <mergeCell ref="AK2:AO2"/>
    <mergeCell ref="F3:J3"/>
    <mergeCell ref="K3:O3"/>
    <mergeCell ref="R3:V3"/>
    <mergeCell ref="W3:AA3"/>
    <mergeCell ref="AD3:AH3"/>
    <mergeCell ref="AK3:AO3"/>
    <mergeCell ref="AD2:AH2"/>
    <mergeCell ref="A1:N1"/>
    <mergeCell ref="F2:J2"/>
    <mergeCell ref="K2:O2"/>
    <mergeCell ref="R2:V2"/>
    <mergeCell ref="W2:AA2"/>
    <mergeCell ref="A11:A16"/>
    <mergeCell ref="B11:B12"/>
    <mergeCell ref="B13:B14"/>
    <mergeCell ref="B15:B16"/>
    <mergeCell ref="A17:E17"/>
    <mergeCell ref="A19:A21"/>
    <mergeCell ref="A22:A24"/>
    <mergeCell ref="A25:A27"/>
    <mergeCell ref="A28:A30"/>
    <mergeCell ref="A31:A33"/>
    <mergeCell ref="A34:E34"/>
    <mergeCell ref="A36:A39"/>
    <mergeCell ref="B36:B37"/>
    <mergeCell ref="B38:B39"/>
    <mergeCell ref="A40:E40"/>
    <mergeCell ref="A53:A58"/>
    <mergeCell ref="A59:E59"/>
    <mergeCell ref="A42:A43"/>
    <mergeCell ref="B42:B43"/>
    <mergeCell ref="A44:E44"/>
    <mergeCell ref="A46:A50"/>
    <mergeCell ref="A51:E5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026CA-613A-4DCF-AA1E-1406059D37E5}">
  <sheetPr>
    <tabColor theme="5"/>
  </sheetPr>
  <dimension ref="A1:AO66"/>
  <sheetViews>
    <sheetView workbookViewId="0">
      <selection sqref="A1:N1"/>
    </sheetView>
  </sheetViews>
  <sheetFormatPr defaultRowHeight="14.25" outlineLevelRow="1" outlineLevelCol="1"/>
  <cols>
    <col min="1" max="1" width="13.875" bestFit="1" customWidth="1"/>
    <col min="2" max="2" width="17.875" bestFit="1" customWidth="1"/>
    <col min="3" max="3" width="19" bestFit="1" customWidth="1"/>
    <col min="4" max="4" width="12.125" bestFit="1" customWidth="1"/>
    <col min="5" max="5" width="14.625" customWidth="1" outlineLevel="1"/>
    <col min="6" max="15" width="14.75" customWidth="1" outlineLevel="1"/>
    <col min="17" max="17" width="19.875" customWidth="1" outlineLevel="1"/>
    <col min="18" max="27" width="14.75" customWidth="1" outlineLevel="1"/>
    <col min="29" max="29" width="11.75" customWidth="1" outlineLevel="1"/>
    <col min="30" max="34" width="14.75" customWidth="1" outlineLevel="1"/>
    <col min="35" max="35" width="9" outlineLevel="1"/>
    <col min="36" max="36" width="7.25" bestFit="1" customWidth="1"/>
    <col min="37" max="41" width="14.75" customWidth="1"/>
  </cols>
  <sheetData>
    <row r="1" spans="1:41" ht="78.75" customHeight="1">
      <c r="A1" s="316" t="s">
        <v>189</v>
      </c>
      <c r="B1" s="317"/>
      <c r="C1" s="317"/>
      <c r="D1" s="317"/>
      <c r="E1" s="317"/>
      <c r="F1" s="317"/>
      <c r="G1" s="317"/>
      <c r="H1" s="317"/>
      <c r="I1" s="317"/>
      <c r="J1" s="317"/>
      <c r="K1" s="317"/>
      <c r="L1" s="317"/>
      <c r="M1" s="317"/>
      <c r="N1" s="317"/>
    </row>
    <row r="2" spans="1:41" s="210" customFormat="1" ht="14.25" customHeight="1">
      <c r="A2" s="205"/>
      <c r="B2" s="205"/>
      <c r="C2" s="205"/>
      <c r="D2" s="206"/>
      <c r="E2" s="207" t="s">
        <v>162</v>
      </c>
      <c r="F2" s="345" t="s">
        <v>96</v>
      </c>
      <c r="G2" s="346"/>
      <c r="H2" s="346"/>
      <c r="I2" s="346"/>
      <c r="J2" s="346"/>
      <c r="K2" s="345" t="s">
        <v>97</v>
      </c>
      <c r="L2" s="346"/>
      <c r="M2" s="346"/>
      <c r="N2" s="346"/>
      <c r="O2" s="357"/>
      <c r="P2" s="208"/>
      <c r="Q2" s="209" t="s">
        <v>163</v>
      </c>
      <c r="R2" s="345" t="s">
        <v>93</v>
      </c>
      <c r="S2" s="346"/>
      <c r="T2" s="346"/>
      <c r="U2" s="346"/>
      <c r="V2" s="357"/>
      <c r="W2" s="345" t="s">
        <v>95</v>
      </c>
      <c r="X2" s="346"/>
      <c r="Y2" s="346"/>
      <c r="Z2" s="346"/>
      <c r="AA2" s="357"/>
      <c r="AB2" s="205"/>
      <c r="AC2" s="205" t="s">
        <v>127</v>
      </c>
      <c r="AD2" s="358"/>
      <c r="AE2" s="359"/>
      <c r="AF2" s="359"/>
      <c r="AG2" s="359"/>
      <c r="AH2" s="360"/>
      <c r="AI2" s="205"/>
      <c r="AJ2" s="205" t="s">
        <v>29</v>
      </c>
      <c r="AK2" s="358"/>
      <c r="AL2" s="359"/>
      <c r="AM2" s="359"/>
      <c r="AN2" s="359"/>
      <c r="AO2" s="360"/>
    </row>
    <row r="3" spans="1:41" s="210" customFormat="1" ht="14.25" customHeight="1">
      <c r="A3" s="205"/>
      <c r="B3" s="205"/>
      <c r="C3" s="205"/>
      <c r="D3" s="211"/>
      <c r="E3" s="212" t="s">
        <v>90</v>
      </c>
      <c r="F3" s="347" t="s">
        <v>91</v>
      </c>
      <c r="G3" s="348"/>
      <c r="H3" s="348"/>
      <c r="I3" s="348"/>
      <c r="J3" s="348"/>
      <c r="K3" s="347" t="s">
        <v>100</v>
      </c>
      <c r="L3" s="348"/>
      <c r="M3" s="348"/>
      <c r="N3" s="348"/>
      <c r="O3" s="361"/>
      <c r="P3" s="208"/>
      <c r="Q3" s="209" t="s">
        <v>164</v>
      </c>
      <c r="R3" s="347" t="s">
        <v>92</v>
      </c>
      <c r="S3" s="348"/>
      <c r="T3" s="348"/>
      <c r="U3" s="348"/>
      <c r="V3" s="361"/>
      <c r="W3" s="347" t="s">
        <v>94</v>
      </c>
      <c r="X3" s="348"/>
      <c r="Y3" s="348"/>
      <c r="Z3" s="348"/>
      <c r="AA3" s="361"/>
      <c r="AB3" s="205"/>
      <c r="AC3" s="205" t="s">
        <v>126</v>
      </c>
      <c r="AD3" s="362"/>
      <c r="AE3" s="363"/>
      <c r="AF3" s="363"/>
      <c r="AG3" s="363"/>
      <c r="AH3" s="364"/>
      <c r="AI3" s="205"/>
      <c r="AJ3" s="205" t="s">
        <v>128</v>
      </c>
      <c r="AK3" s="362"/>
      <c r="AL3" s="363"/>
      <c r="AM3" s="363"/>
      <c r="AN3" s="363"/>
      <c r="AO3" s="364"/>
    </row>
    <row r="4" spans="1:41" s="210" customFormat="1" ht="15">
      <c r="A4" s="213" t="s">
        <v>50</v>
      </c>
      <c r="B4" s="213" t="s">
        <v>165</v>
      </c>
      <c r="C4" s="343" t="s">
        <v>98</v>
      </c>
      <c r="D4" s="343"/>
      <c r="E4" s="196"/>
      <c r="F4" s="214" t="s">
        <v>83</v>
      </c>
      <c r="G4" s="215" t="s">
        <v>84</v>
      </c>
      <c r="H4" s="215" t="s">
        <v>85</v>
      </c>
      <c r="I4" s="215" t="s">
        <v>86</v>
      </c>
      <c r="J4" s="215" t="s">
        <v>87</v>
      </c>
      <c r="K4" s="214" t="s">
        <v>83</v>
      </c>
      <c r="L4" s="215" t="s">
        <v>84</v>
      </c>
      <c r="M4" s="215" t="s">
        <v>85</v>
      </c>
      <c r="N4" s="215" t="s">
        <v>86</v>
      </c>
      <c r="O4" s="216" t="s">
        <v>87</v>
      </c>
      <c r="P4" s="217"/>
      <c r="Q4" s="217"/>
      <c r="R4" s="214" t="s">
        <v>83</v>
      </c>
      <c r="S4" s="215" t="s">
        <v>84</v>
      </c>
      <c r="T4" s="215" t="s">
        <v>85</v>
      </c>
      <c r="U4" s="215" t="s">
        <v>86</v>
      </c>
      <c r="V4" s="216" t="s">
        <v>87</v>
      </c>
      <c r="W4" s="214" t="s">
        <v>83</v>
      </c>
      <c r="X4" s="215" t="s">
        <v>84</v>
      </c>
      <c r="Y4" s="215" t="s">
        <v>85</v>
      </c>
      <c r="Z4" s="215" t="s">
        <v>86</v>
      </c>
      <c r="AA4" s="216" t="s">
        <v>87</v>
      </c>
      <c r="AB4" s="205"/>
      <c r="AC4" s="217"/>
      <c r="AD4" s="214" t="s">
        <v>83</v>
      </c>
      <c r="AE4" s="215" t="s">
        <v>84</v>
      </c>
      <c r="AF4" s="215" t="s">
        <v>85</v>
      </c>
      <c r="AG4" s="215" t="s">
        <v>86</v>
      </c>
      <c r="AH4" s="216" t="s">
        <v>87</v>
      </c>
      <c r="AI4" s="205"/>
      <c r="AJ4" s="217"/>
      <c r="AK4" s="214" t="s">
        <v>83</v>
      </c>
      <c r="AL4" s="215" t="s">
        <v>84</v>
      </c>
      <c r="AM4" s="215" t="s">
        <v>85</v>
      </c>
      <c r="AN4" s="215" t="s">
        <v>86</v>
      </c>
      <c r="AO4" s="216" t="s">
        <v>87</v>
      </c>
    </row>
    <row r="5" spans="1:41" s="58" customFormat="1">
      <c r="A5" s="144"/>
      <c r="B5" s="145"/>
      <c r="C5" s="218" t="s">
        <v>117</v>
      </c>
      <c r="D5" s="219" t="s">
        <v>0</v>
      </c>
      <c r="E5" s="162"/>
      <c r="F5" s="220">
        <v>6</v>
      </c>
      <c r="G5" s="221">
        <v>5</v>
      </c>
      <c r="H5" s="221">
        <v>5</v>
      </c>
      <c r="I5" s="221">
        <v>3</v>
      </c>
      <c r="J5" s="221">
        <v>3</v>
      </c>
      <c r="K5" s="220">
        <v>5</v>
      </c>
      <c r="L5" s="221">
        <v>5</v>
      </c>
      <c r="M5" s="221">
        <v>5</v>
      </c>
      <c r="N5" s="221">
        <v>5</v>
      </c>
      <c r="O5" s="222">
        <v>5</v>
      </c>
      <c r="P5" s="161"/>
      <c r="Q5" s="161"/>
      <c r="R5" s="220"/>
      <c r="S5" s="221"/>
      <c r="T5" s="221"/>
      <c r="U5" s="221"/>
      <c r="V5" s="222"/>
      <c r="W5" s="220"/>
      <c r="X5" s="221"/>
      <c r="Y5" s="221"/>
      <c r="Z5" s="221"/>
      <c r="AA5" s="222"/>
      <c r="AB5" s="162"/>
      <c r="AC5" s="162"/>
      <c r="AD5" s="218"/>
      <c r="AE5" s="219"/>
      <c r="AF5" s="219"/>
      <c r="AG5" s="219"/>
      <c r="AH5" s="223"/>
      <c r="AI5" s="162"/>
      <c r="AJ5" s="162"/>
      <c r="AK5" s="144"/>
      <c r="AO5" s="145"/>
    </row>
    <row r="6" spans="1:41" s="58" customFormat="1">
      <c r="A6" s="144"/>
      <c r="B6" s="145"/>
      <c r="C6" s="218" t="s">
        <v>118</v>
      </c>
      <c r="D6" s="219" t="s">
        <v>125</v>
      </c>
      <c r="E6" s="162"/>
      <c r="F6" s="220">
        <v>3</v>
      </c>
      <c r="G6" s="221">
        <v>3</v>
      </c>
      <c r="H6" s="221">
        <v>3</v>
      </c>
      <c r="I6" s="221">
        <v>3</v>
      </c>
      <c r="J6" s="221">
        <v>3</v>
      </c>
      <c r="K6" s="220">
        <v>6</v>
      </c>
      <c r="L6" s="221">
        <v>6</v>
      </c>
      <c r="M6" s="221">
        <v>6</v>
      </c>
      <c r="N6" s="221">
        <v>6</v>
      </c>
      <c r="O6" s="222">
        <v>6</v>
      </c>
      <c r="P6" s="161"/>
      <c r="Q6" s="161"/>
      <c r="R6" s="220"/>
      <c r="S6" s="221"/>
      <c r="T6" s="221"/>
      <c r="U6" s="221"/>
      <c r="V6" s="222"/>
      <c r="W6" s="220"/>
      <c r="X6" s="221"/>
      <c r="Y6" s="221"/>
      <c r="Z6" s="221"/>
      <c r="AA6" s="222"/>
      <c r="AB6" s="162"/>
      <c r="AC6" s="162"/>
      <c r="AD6" s="218"/>
      <c r="AE6" s="219"/>
      <c r="AF6" s="219"/>
      <c r="AG6" s="219"/>
      <c r="AH6" s="223"/>
      <c r="AI6" s="162"/>
      <c r="AJ6" s="162"/>
      <c r="AK6" s="144"/>
      <c r="AO6" s="145"/>
    </row>
    <row r="7" spans="1:41" s="58" customFormat="1">
      <c r="A7" s="144"/>
      <c r="B7" s="145"/>
      <c r="C7" s="218" t="s">
        <v>123</v>
      </c>
      <c r="D7" s="219" t="s">
        <v>124</v>
      </c>
      <c r="E7" s="162"/>
      <c r="F7" s="220">
        <v>100</v>
      </c>
      <c r="G7" s="221">
        <v>120</v>
      </c>
      <c r="H7" s="221">
        <v>140</v>
      </c>
      <c r="I7" s="221">
        <v>160</v>
      </c>
      <c r="J7" s="221">
        <v>200</v>
      </c>
      <c r="K7" s="220">
        <v>20</v>
      </c>
      <c r="L7" s="221">
        <v>22</v>
      </c>
      <c r="M7" s="221">
        <v>24</v>
      </c>
      <c r="N7" s="221">
        <v>26</v>
      </c>
      <c r="O7" s="222">
        <v>30</v>
      </c>
      <c r="P7" s="161"/>
      <c r="Q7" s="161"/>
      <c r="R7" s="220"/>
      <c r="S7" s="221"/>
      <c r="T7" s="221"/>
      <c r="U7" s="221"/>
      <c r="V7" s="222"/>
      <c r="W7" s="220"/>
      <c r="X7" s="221"/>
      <c r="Y7" s="221"/>
      <c r="Z7" s="221"/>
      <c r="AA7" s="222"/>
      <c r="AB7" s="162"/>
      <c r="AC7" s="162"/>
      <c r="AD7" s="218"/>
      <c r="AE7" s="219"/>
      <c r="AF7" s="219"/>
      <c r="AG7" s="219"/>
      <c r="AH7" s="223"/>
      <c r="AI7" s="162"/>
      <c r="AJ7" s="162"/>
      <c r="AK7" s="144"/>
      <c r="AO7" s="145"/>
    </row>
    <row r="8" spans="1:41" s="58" customFormat="1">
      <c r="A8" s="144"/>
      <c r="B8" s="145"/>
      <c r="C8" s="218" t="s">
        <v>135</v>
      </c>
      <c r="D8" s="219"/>
      <c r="E8" s="162"/>
      <c r="F8" s="220">
        <v>1</v>
      </c>
      <c r="G8" s="221">
        <v>1.03</v>
      </c>
      <c r="H8" s="221">
        <v>1.04</v>
      </c>
      <c r="I8" s="221">
        <v>1.04</v>
      </c>
      <c r="J8" s="221">
        <v>1.04</v>
      </c>
      <c r="K8" s="220">
        <v>1</v>
      </c>
      <c r="L8" s="221">
        <v>1.03</v>
      </c>
      <c r="M8" s="221">
        <v>1.04</v>
      </c>
      <c r="N8" s="221">
        <v>1.04</v>
      </c>
      <c r="O8" s="222">
        <v>1.04</v>
      </c>
      <c r="P8" s="161"/>
      <c r="Q8" s="161"/>
      <c r="R8" s="220"/>
      <c r="S8" s="221"/>
      <c r="T8" s="221"/>
      <c r="U8" s="221"/>
      <c r="V8" s="222"/>
      <c r="W8" s="220"/>
      <c r="X8" s="221"/>
      <c r="Y8" s="221"/>
      <c r="Z8" s="221"/>
      <c r="AA8" s="222"/>
      <c r="AB8" s="162"/>
      <c r="AC8" s="162"/>
      <c r="AD8" s="218"/>
      <c r="AE8" s="219"/>
      <c r="AF8" s="219"/>
      <c r="AG8" s="219"/>
      <c r="AH8" s="223"/>
      <c r="AI8" s="162"/>
      <c r="AJ8" s="162"/>
      <c r="AK8" s="144"/>
      <c r="AO8" s="145"/>
    </row>
    <row r="9" spans="1:41" s="232" customFormat="1">
      <c r="A9" s="224"/>
      <c r="B9" s="225"/>
      <c r="C9" s="226" t="s">
        <v>188</v>
      </c>
      <c r="D9" s="227"/>
      <c r="E9" s="200"/>
      <c r="F9" s="228">
        <v>1</v>
      </c>
      <c r="G9" s="229">
        <v>1.05</v>
      </c>
      <c r="H9" s="229">
        <v>1.06</v>
      </c>
      <c r="I9" s="229">
        <v>1.07</v>
      </c>
      <c r="J9" s="229">
        <v>1.0900000000000001</v>
      </c>
      <c r="K9" s="228">
        <v>1</v>
      </c>
      <c r="L9" s="229">
        <v>1.05</v>
      </c>
      <c r="M9" s="229">
        <v>1.06</v>
      </c>
      <c r="N9" s="229">
        <v>1.07</v>
      </c>
      <c r="O9" s="230">
        <v>1.0900000000000001</v>
      </c>
      <c r="P9" s="185"/>
      <c r="Q9" s="185"/>
      <c r="R9" s="228"/>
      <c r="S9" s="229"/>
      <c r="T9" s="229"/>
      <c r="U9" s="229"/>
      <c r="V9" s="230"/>
      <c r="W9" s="228"/>
      <c r="X9" s="229"/>
      <c r="Y9" s="229"/>
      <c r="Z9" s="229"/>
      <c r="AA9" s="230"/>
      <c r="AB9" s="200"/>
      <c r="AC9" s="200"/>
      <c r="AD9" s="226"/>
      <c r="AE9" s="227"/>
      <c r="AF9" s="227"/>
      <c r="AG9" s="227"/>
      <c r="AH9" s="231"/>
      <c r="AI9" s="200"/>
      <c r="AJ9" s="200"/>
      <c r="AK9" s="224"/>
      <c r="AO9" s="225"/>
    </row>
    <row r="10" spans="1:41">
      <c r="A10" s="61"/>
      <c r="B10" s="62"/>
      <c r="C10" s="61"/>
      <c r="E10" s="162"/>
      <c r="F10" s="63"/>
      <c r="G10" s="65"/>
      <c r="H10" s="65"/>
      <c r="I10" s="65"/>
      <c r="J10" s="65"/>
      <c r="K10" s="63"/>
      <c r="L10" s="65"/>
      <c r="M10" s="65"/>
      <c r="N10" s="65"/>
      <c r="O10" s="64"/>
      <c r="P10" s="161"/>
      <c r="Q10" s="161"/>
      <c r="R10" s="63"/>
      <c r="S10" s="65"/>
      <c r="T10" s="65"/>
      <c r="U10" s="65"/>
      <c r="V10" s="64"/>
      <c r="W10" s="63"/>
      <c r="X10" s="65"/>
      <c r="AA10" s="62"/>
      <c r="AB10" s="162"/>
      <c r="AC10" s="162"/>
      <c r="AD10" s="61"/>
      <c r="AH10" s="62"/>
      <c r="AI10" s="162"/>
      <c r="AJ10" s="162"/>
      <c r="AK10" s="61"/>
      <c r="AO10" s="62"/>
    </row>
    <row r="11" spans="1:41" s="72" customFormat="1" outlineLevel="1">
      <c r="A11" s="335" t="s">
        <v>166</v>
      </c>
      <c r="B11" s="337" t="s">
        <v>93</v>
      </c>
      <c r="C11" s="67" t="s">
        <v>116</v>
      </c>
      <c r="D11" s="72" t="s">
        <v>0</v>
      </c>
      <c r="E11" s="162"/>
      <c r="F11" s="220"/>
      <c r="G11" s="221"/>
      <c r="H11" s="221"/>
      <c r="I11" s="221"/>
      <c r="J11" s="221"/>
      <c r="K11" s="220"/>
      <c r="L11" s="221"/>
      <c r="M11" s="221"/>
      <c r="N11" s="221"/>
      <c r="O11" s="222"/>
      <c r="P11" s="161"/>
      <c r="Q11" s="161"/>
      <c r="R11" s="220"/>
      <c r="S11" s="221"/>
      <c r="T11" s="221"/>
      <c r="U11" s="221"/>
      <c r="V11" s="222"/>
      <c r="W11" s="220"/>
      <c r="X11" s="221"/>
      <c r="Y11" s="219"/>
      <c r="Z11" s="219"/>
      <c r="AA11" s="223"/>
      <c r="AB11" s="162"/>
      <c r="AC11" s="162"/>
      <c r="AD11" s="220"/>
      <c r="AE11" s="221"/>
      <c r="AF11" s="219"/>
      <c r="AG11" s="219"/>
      <c r="AH11" s="223"/>
      <c r="AI11" s="162"/>
      <c r="AJ11" s="162"/>
      <c r="AK11" s="220">
        <f t="shared" ref="AK11:AO16" si="0">F11+K11+R11+W11+AD11</f>
        <v>0</v>
      </c>
      <c r="AL11" s="221">
        <f t="shared" si="0"/>
        <v>0</v>
      </c>
      <c r="AM11" s="221">
        <f t="shared" si="0"/>
        <v>0</v>
      </c>
      <c r="AN11" s="221">
        <f t="shared" si="0"/>
        <v>0</v>
      </c>
      <c r="AO11" s="222">
        <f t="shared" si="0"/>
        <v>0</v>
      </c>
    </row>
    <row r="12" spans="1:41" s="72" customFormat="1" outlineLevel="1">
      <c r="A12" s="336"/>
      <c r="B12" s="337"/>
      <c r="C12" s="67" t="s">
        <v>167</v>
      </c>
      <c r="D12" s="233"/>
      <c r="E12" s="162"/>
      <c r="F12" s="234"/>
      <c r="G12" s="235"/>
      <c r="H12" s="221"/>
      <c r="I12" s="221"/>
      <c r="J12" s="221"/>
      <c r="K12" s="220"/>
      <c r="L12" s="221"/>
      <c r="M12" s="221"/>
      <c r="N12" s="221"/>
      <c r="O12" s="222"/>
      <c r="P12" s="161"/>
      <c r="Q12" s="161"/>
      <c r="R12" s="220"/>
      <c r="S12" s="221"/>
      <c r="T12" s="221"/>
      <c r="U12" s="221"/>
      <c r="V12" s="222"/>
      <c r="W12" s="220"/>
      <c r="X12" s="221"/>
      <c r="Y12" s="219"/>
      <c r="Z12" s="219"/>
      <c r="AA12" s="223"/>
      <c r="AB12" s="162"/>
      <c r="AC12" s="162"/>
      <c r="AD12" s="220"/>
      <c r="AE12" s="221"/>
      <c r="AF12" s="219"/>
      <c r="AG12" s="219"/>
      <c r="AH12" s="223"/>
      <c r="AI12" s="162"/>
      <c r="AJ12" s="162"/>
      <c r="AK12" s="234">
        <f t="shared" si="0"/>
        <v>0</v>
      </c>
      <c r="AL12" s="235">
        <f t="shared" si="0"/>
        <v>0</v>
      </c>
      <c r="AM12" s="236">
        <f t="shared" si="0"/>
        <v>0</v>
      </c>
      <c r="AN12" s="236">
        <f t="shared" si="0"/>
        <v>0</v>
      </c>
      <c r="AO12" s="237">
        <f t="shared" si="0"/>
        <v>0</v>
      </c>
    </row>
    <row r="13" spans="1:41" s="72" customFormat="1" outlineLevel="1">
      <c r="A13" s="336"/>
      <c r="B13" s="338" t="s">
        <v>38</v>
      </c>
      <c r="C13" s="67" t="s">
        <v>116</v>
      </c>
      <c r="D13" s="72" t="s">
        <v>0</v>
      </c>
      <c r="E13" s="162"/>
      <c r="F13" s="220">
        <v>0.1</v>
      </c>
      <c r="G13" s="221">
        <v>0.5</v>
      </c>
      <c r="H13" s="221"/>
      <c r="I13" s="221"/>
      <c r="J13" s="221"/>
      <c r="K13" s="220"/>
      <c r="L13" s="221"/>
      <c r="M13" s="221"/>
      <c r="N13" s="221"/>
      <c r="O13" s="222"/>
      <c r="P13" s="161"/>
      <c r="Q13" s="161"/>
      <c r="R13" s="220">
        <v>0.6</v>
      </c>
      <c r="S13" s="221"/>
      <c r="T13" s="221"/>
      <c r="U13" s="221"/>
      <c r="V13" s="222"/>
      <c r="W13" s="220">
        <v>0.2</v>
      </c>
      <c r="X13" s="221"/>
      <c r="Y13" s="219"/>
      <c r="Z13" s="219"/>
      <c r="AA13" s="223"/>
      <c r="AB13" s="162"/>
      <c r="AC13" s="162"/>
      <c r="AD13" s="220">
        <v>0.2</v>
      </c>
      <c r="AE13" s="221"/>
      <c r="AF13" s="219"/>
      <c r="AG13" s="219"/>
      <c r="AH13" s="223"/>
      <c r="AI13" s="162"/>
      <c r="AJ13" s="162"/>
      <c r="AK13" s="220">
        <f t="shared" si="0"/>
        <v>1.0999999999999999</v>
      </c>
      <c r="AL13" s="221">
        <f t="shared" si="0"/>
        <v>0.5</v>
      </c>
      <c r="AM13" s="221">
        <f t="shared" si="0"/>
        <v>0</v>
      </c>
      <c r="AN13" s="221">
        <f t="shared" si="0"/>
        <v>0</v>
      </c>
      <c r="AO13" s="222">
        <f t="shared" si="0"/>
        <v>0</v>
      </c>
    </row>
    <row r="14" spans="1:41" s="72" customFormat="1" outlineLevel="1">
      <c r="A14" s="336"/>
      <c r="B14" s="339"/>
      <c r="C14" s="67" t="s">
        <v>167</v>
      </c>
      <c r="D14" s="233">
        <v>550000</v>
      </c>
      <c r="E14" s="162"/>
      <c r="F14" s="238">
        <f>F13*D14</f>
        <v>55000</v>
      </c>
      <c r="G14" s="236">
        <f>G13*G8*D14</f>
        <v>283250</v>
      </c>
      <c r="H14" s="219"/>
      <c r="I14" s="219"/>
      <c r="J14" s="219"/>
      <c r="K14" s="218"/>
      <c r="L14" s="219"/>
      <c r="M14" s="219"/>
      <c r="N14" s="219"/>
      <c r="O14" s="223"/>
      <c r="P14" s="162"/>
      <c r="Q14" s="162"/>
      <c r="R14" s="238">
        <f>R13*$D14</f>
        <v>330000</v>
      </c>
      <c r="S14" s="219"/>
      <c r="T14" s="219"/>
      <c r="U14" s="219"/>
      <c r="V14" s="223"/>
      <c r="W14" s="238">
        <f>W13*$D14</f>
        <v>110000</v>
      </c>
      <c r="X14" s="221"/>
      <c r="Y14" s="219"/>
      <c r="Z14" s="219"/>
      <c r="AA14" s="223"/>
      <c r="AB14" s="162"/>
      <c r="AC14" s="162"/>
      <c r="AD14" s="238">
        <f>AD13*$D14</f>
        <v>110000</v>
      </c>
      <c r="AE14" s="221"/>
      <c r="AF14" s="219"/>
      <c r="AG14" s="219"/>
      <c r="AH14" s="223"/>
      <c r="AI14" s="162"/>
      <c r="AJ14" s="162"/>
      <c r="AK14" s="238">
        <f t="shared" si="0"/>
        <v>605000</v>
      </c>
      <c r="AL14" s="235">
        <f t="shared" si="0"/>
        <v>283250</v>
      </c>
      <c r="AM14" s="236">
        <f t="shared" si="0"/>
        <v>0</v>
      </c>
      <c r="AN14" s="236">
        <f t="shared" si="0"/>
        <v>0</v>
      </c>
      <c r="AO14" s="237">
        <f t="shared" si="0"/>
        <v>0</v>
      </c>
    </row>
    <row r="15" spans="1:41" s="72" customFormat="1" outlineLevel="1">
      <c r="A15" s="336"/>
      <c r="B15" s="338"/>
      <c r="C15" s="67" t="s">
        <v>116</v>
      </c>
      <c r="D15" s="72" t="s">
        <v>0</v>
      </c>
      <c r="E15" s="162"/>
      <c r="F15" s="238"/>
      <c r="G15" s="236"/>
      <c r="H15" s="219"/>
      <c r="I15" s="219"/>
      <c r="J15" s="219"/>
      <c r="K15" s="218"/>
      <c r="L15" s="219"/>
      <c r="M15" s="219"/>
      <c r="N15" s="219"/>
      <c r="O15" s="223"/>
      <c r="P15" s="162"/>
      <c r="Q15" s="162"/>
      <c r="R15" s="218"/>
      <c r="S15" s="219"/>
      <c r="T15" s="219"/>
      <c r="U15" s="219"/>
      <c r="V15" s="223"/>
      <c r="W15" s="218"/>
      <c r="X15" s="221"/>
      <c r="Y15" s="219"/>
      <c r="Z15" s="219"/>
      <c r="AA15" s="223"/>
      <c r="AB15" s="162"/>
      <c r="AC15" s="162"/>
      <c r="AD15" s="218"/>
      <c r="AE15" s="221"/>
      <c r="AF15" s="219"/>
      <c r="AG15" s="219"/>
      <c r="AH15" s="223"/>
      <c r="AI15" s="162"/>
      <c r="AJ15" s="162"/>
      <c r="AK15" s="220">
        <f t="shared" si="0"/>
        <v>0</v>
      </c>
      <c r="AL15" s="221">
        <f t="shared" si="0"/>
        <v>0</v>
      </c>
      <c r="AM15" s="221">
        <f t="shared" si="0"/>
        <v>0</v>
      </c>
      <c r="AN15" s="221">
        <f t="shared" si="0"/>
        <v>0</v>
      </c>
      <c r="AO15" s="222">
        <f t="shared" si="0"/>
        <v>0</v>
      </c>
    </row>
    <row r="16" spans="1:41" s="72" customFormat="1" outlineLevel="1">
      <c r="A16" s="336"/>
      <c r="B16" s="339"/>
      <c r="C16" s="67" t="s">
        <v>167</v>
      </c>
      <c r="D16" s="239"/>
      <c r="E16" s="162"/>
      <c r="F16" s="228"/>
      <c r="G16" s="229"/>
      <c r="H16" s="229"/>
      <c r="I16" s="229"/>
      <c r="J16" s="229"/>
      <c r="K16" s="228"/>
      <c r="L16" s="229"/>
      <c r="M16" s="229"/>
      <c r="N16" s="229"/>
      <c r="O16" s="230"/>
      <c r="P16" s="161"/>
      <c r="Q16" s="161"/>
      <c r="R16" s="220"/>
      <c r="S16" s="221"/>
      <c r="T16" s="221"/>
      <c r="U16" s="221"/>
      <c r="V16" s="222"/>
      <c r="W16" s="220"/>
      <c r="X16" s="221"/>
      <c r="Y16" s="219"/>
      <c r="Z16" s="219"/>
      <c r="AA16" s="223"/>
      <c r="AB16" s="162"/>
      <c r="AC16" s="162"/>
      <c r="AD16" s="220"/>
      <c r="AE16" s="221"/>
      <c r="AF16" s="219"/>
      <c r="AG16" s="219"/>
      <c r="AH16" s="223"/>
      <c r="AI16" s="162"/>
      <c r="AJ16" s="162"/>
      <c r="AK16" s="234">
        <f t="shared" si="0"/>
        <v>0</v>
      </c>
      <c r="AL16" s="235">
        <f t="shared" si="0"/>
        <v>0</v>
      </c>
      <c r="AM16" s="236">
        <f t="shared" si="0"/>
        <v>0</v>
      </c>
      <c r="AN16" s="236">
        <f t="shared" si="0"/>
        <v>0</v>
      </c>
      <c r="AO16" s="237">
        <f t="shared" si="0"/>
        <v>0</v>
      </c>
    </row>
    <row r="17" spans="1:41" s="72" customFormat="1" ht="15">
      <c r="A17" s="340" t="s">
        <v>136</v>
      </c>
      <c r="B17" s="341"/>
      <c r="C17" s="341"/>
      <c r="D17" s="341"/>
      <c r="E17" s="342"/>
      <c r="F17" s="120">
        <f>SUM(F12,F14,F16)</f>
        <v>55000</v>
      </c>
      <c r="G17" s="84">
        <f>SUM(G12,G14,G16)</f>
        <v>283250</v>
      </c>
      <c r="H17" s="84">
        <f>SUM(H12,H14,H16)</f>
        <v>0</v>
      </c>
      <c r="I17" s="84">
        <f>SUM(I12,I14,I16)</f>
        <v>0</v>
      </c>
      <c r="J17" s="84">
        <f>SUM(J12,J14,J16)</f>
        <v>0</v>
      </c>
      <c r="K17" s="84"/>
      <c r="L17" s="84"/>
      <c r="M17" s="84"/>
      <c r="N17" s="84"/>
      <c r="O17" s="84"/>
      <c r="P17" s="163"/>
      <c r="Q17" s="163"/>
      <c r="R17" s="84">
        <f t="shared" ref="R17:AA17" si="1">SUM(R11:R16)</f>
        <v>330000.59999999998</v>
      </c>
      <c r="S17" s="84">
        <f t="shared" si="1"/>
        <v>0</v>
      </c>
      <c r="T17" s="84">
        <f t="shared" si="1"/>
        <v>0</v>
      </c>
      <c r="U17" s="84">
        <f t="shared" si="1"/>
        <v>0</v>
      </c>
      <c r="V17" s="84">
        <f t="shared" si="1"/>
        <v>0</v>
      </c>
      <c r="W17" s="84">
        <f t="shared" si="1"/>
        <v>110000.2</v>
      </c>
      <c r="X17" s="84">
        <f t="shared" si="1"/>
        <v>0</v>
      </c>
      <c r="Y17" s="84">
        <f t="shared" si="1"/>
        <v>0</v>
      </c>
      <c r="Z17" s="84">
        <f t="shared" si="1"/>
        <v>0</v>
      </c>
      <c r="AA17" s="84">
        <f t="shared" si="1"/>
        <v>0</v>
      </c>
      <c r="AB17" s="162"/>
      <c r="AC17" s="162"/>
      <c r="AD17" s="84">
        <f>SUM(AD11:AD16)</f>
        <v>110000.2</v>
      </c>
      <c r="AE17" s="84">
        <f>SUM(AE11:AE16)</f>
        <v>0</v>
      </c>
      <c r="AF17" s="84">
        <f>SUM(AF11:AF16)</f>
        <v>0</v>
      </c>
      <c r="AG17" s="84">
        <f>SUM(AG11:AG16)</f>
        <v>0</v>
      </c>
      <c r="AH17" s="84">
        <f>SUM(AH11:AH16)</f>
        <v>0</v>
      </c>
      <c r="AI17" s="162"/>
      <c r="AJ17" s="162"/>
      <c r="AK17" s="84">
        <f>SUM(AK11:AK16)</f>
        <v>605001.1</v>
      </c>
      <c r="AL17" s="84">
        <f>SUM(AL11:AL16)</f>
        <v>283250.5</v>
      </c>
      <c r="AM17" s="84">
        <f>SUM(AM11:AM16)</f>
        <v>0</v>
      </c>
      <c r="AN17" s="84">
        <f>SUM(AN11:AN16)</f>
        <v>0</v>
      </c>
      <c r="AO17" s="240">
        <f>SUM(AO11:AO16)</f>
        <v>0</v>
      </c>
    </row>
    <row r="18" spans="1:41">
      <c r="E18" s="162"/>
      <c r="F18" s="61"/>
      <c r="K18" s="61"/>
      <c r="O18" s="62"/>
      <c r="P18" s="162"/>
      <c r="Q18" s="162"/>
      <c r="R18" s="61"/>
      <c r="V18" s="62"/>
      <c r="W18" s="61"/>
      <c r="AA18" s="62"/>
      <c r="AB18" s="162"/>
      <c r="AC18" s="162"/>
      <c r="AD18" s="61"/>
      <c r="AH18" s="62"/>
      <c r="AI18" s="162"/>
      <c r="AJ18" s="162"/>
      <c r="AK18" s="61"/>
      <c r="AO18" s="62"/>
    </row>
    <row r="19" spans="1:41" s="88" customFormat="1" outlineLevel="1">
      <c r="A19" s="355" t="s">
        <v>168</v>
      </c>
      <c r="B19" s="166" t="s">
        <v>169</v>
      </c>
      <c r="D19" s="89" t="s">
        <v>110</v>
      </c>
      <c r="E19" s="162"/>
      <c r="F19" s="234">
        <v>1000</v>
      </c>
      <c r="G19" s="241" t="s">
        <v>170</v>
      </c>
      <c r="H19" s="241" t="s">
        <v>170</v>
      </c>
      <c r="I19" s="241" t="s">
        <v>170</v>
      </c>
      <c r="J19" s="242" t="s">
        <v>170</v>
      </c>
      <c r="K19" s="234">
        <v>1000</v>
      </c>
      <c r="L19" s="241" t="s">
        <v>170</v>
      </c>
      <c r="M19" s="241" t="s">
        <v>170</v>
      </c>
      <c r="N19" s="241" t="s">
        <v>170</v>
      </c>
      <c r="O19" s="242" t="s">
        <v>170</v>
      </c>
      <c r="P19" s="162"/>
      <c r="Q19" s="162"/>
      <c r="R19" s="234">
        <v>1000</v>
      </c>
      <c r="S19" s="241" t="s">
        <v>170</v>
      </c>
      <c r="T19" s="241" t="s">
        <v>170</v>
      </c>
      <c r="U19" s="241" t="s">
        <v>170</v>
      </c>
      <c r="V19" s="242" t="s">
        <v>170</v>
      </c>
      <c r="W19" s="234">
        <v>1000</v>
      </c>
      <c r="X19" s="241" t="s">
        <v>170</v>
      </c>
      <c r="Y19" s="241" t="s">
        <v>170</v>
      </c>
      <c r="Z19" s="241" t="s">
        <v>170</v>
      </c>
      <c r="AA19" s="242" t="s">
        <v>170</v>
      </c>
      <c r="AB19" s="162"/>
      <c r="AC19" s="162"/>
      <c r="AD19" s="234">
        <v>1000</v>
      </c>
      <c r="AE19" s="241" t="s">
        <v>170</v>
      </c>
      <c r="AF19" s="241" t="s">
        <v>170</v>
      </c>
      <c r="AG19" s="241" t="s">
        <v>170</v>
      </c>
      <c r="AH19" s="242" t="s">
        <v>170</v>
      </c>
      <c r="AI19" s="162"/>
      <c r="AJ19" s="162"/>
      <c r="AK19" s="243">
        <f>SUM(F19,K19,R19,W19,AD19)</f>
        <v>5000</v>
      </c>
      <c r="AL19" s="241" t="s">
        <v>170</v>
      </c>
      <c r="AM19" s="241" t="s">
        <v>170</v>
      </c>
      <c r="AN19" s="241" t="s">
        <v>170</v>
      </c>
      <c r="AO19" s="242" t="s">
        <v>170</v>
      </c>
    </row>
    <row r="20" spans="1:41" s="88" customFormat="1" outlineLevel="1">
      <c r="A20" s="356"/>
      <c r="B20" s="244" t="s">
        <v>171</v>
      </c>
      <c r="D20" s="89" t="s">
        <v>110</v>
      </c>
      <c r="E20" s="162"/>
      <c r="F20" s="234"/>
      <c r="G20" s="241" t="s">
        <v>170</v>
      </c>
      <c r="H20" s="241" t="s">
        <v>170</v>
      </c>
      <c r="I20" s="241" t="s">
        <v>170</v>
      </c>
      <c r="J20" s="242" t="s">
        <v>170</v>
      </c>
      <c r="K20" s="234"/>
      <c r="L20" s="241" t="s">
        <v>170</v>
      </c>
      <c r="M20" s="241" t="s">
        <v>170</v>
      </c>
      <c r="N20" s="241" t="s">
        <v>170</v>
      </c>
      <c r="O20" s="242" t="s">
        <v>170</v>
      </c>
      <c r="P20" s="162"/>
      <c r="Q20" s="162"/>
      <c r="R20" s="234"/>
      <c r="S20" s="241" t="s">
        <v>170</v>
      </c>
      <c r="T20" s="241" t="s">
        <v>170</v>
      </c>
      <c r="U20" s="241" t="s">
        <v>170</v>
      </c>
      <c r="V20" s="242" t="s">
        <v>170</v>
      </c>
      <c r="W20" s="234"/>
      <c r="X20" s="241" t="s">
        <v>170</v>
      </c>
      <c r="Y20" s="241" t="s">
        <v>170</v>
      </c>
      <c r="Z20" s="241" t="s">
        <v>170</v>
      </c>
      <c r="AA20" s="242" t="s">
        <v>170</v>
      </c>
      <c r="AB20" s="162"/>
      <c r="AC20" s="162"/>
      <c r="AD20" s="234"/>
      <c r="AE20" s="241" t="s">
        <v>170</v>
      </c>
      <c r="AF20" s="241" t="s">
        <v>170</v>
      </c>
      <c r="AG20" s="241" t="s">
        <v>170</v>
      </c>
      <c r="AH20" s="242" t="s">
        <v>170</v>
      </c>
      <c r="AI20" s="162"/>
      <c r="AJ20" s="162"/>
      <c r="AK20" s="243">
        <f>SUM(F20,K20,R20,W20,AD20)</f>
        <v>0</v>
      </c>
      <c r="AL20" s="241" t="s">
        <v>170</v>
      </c>
      <c r="AM20" s="241" t="s">
        <v>170</v>
      </c>
      <c r="AN20" s="241" t="s">
        <v>170</v>
      </c>
      <c r="AO20" s="242" t="s">
        <v>170</v>
      </c>
    </row>
    <row r="21" spans="1:41" s="88" customFormat="1" outlineLevel="1">
      <c r="A21" s="356"/>
      <c r="B21" s="244" t="s">
        <v>172</v>
      </c>
      <c r="D21" s="89" t="s">
        <v>110</v>
      </c>
      <c r="E21" s="162"/>
      <c r="F21" s="234"/>
      <c r="G21" s="241" t="s">
        <v>170</v>
      </c>
      <c r="H21" s="241" t="s">
        <v>170</v>
      </c>
      <c r="I21" s="241" t="s">
        <v>170</v>
      </c>
      <c r="J21" s="242" t="s">
        <v>170</v>
      </c>
      <c r="K21" s="234"/>
      <c r="L21" s="241" t="s">
        <v>170</v>
      </c>
      <c r="M21" s="241" t="s">
        <v>170</v>
      </c>
      <c r="N21" s="241" t="s">
        <v>170</v>
      </c>
      <c r="O21" s="242" t="s">
        <v>170</v>
      </c>
      <c r="P21" s="162"/>
      <c r="Q21" s="162"/>
      <c r="R21" s="234"/>
      <c r="S21" s="241" t="s">
        <v>170</v>
      </c>
      <c r="T21" s="241" t="s">
        <v>170</v>
      </c>
      <c r="U21" s="241" t="s">
        <v>170</v>
      </c>
      <c r="V21" s="242" t="s">
        <v>170</v>
      </c>
      <c r="W21" s="234"/>
      <c r="X21" s="241" t="s">
        <v>170</v>
      </c>
      <c r="Y21" s="241" t="s">
        <v>170</v>
      </c>
      <c r="Z21" s="241" t="s">
        <v>170</v>
      </c>
      <c r="AA21" s="242" t="s">
        <v>170</v>
      </c>
      <c r="AB21" s="162"/>
      <c r="AC21" s="162"/>
      <c r="AD21" s="234"/>
      <c r="AE21" s="241" t="s">
        <v>170</v>
      </c>
      <c r="AF21" s="241" t="s">
        <v>170</v>
      </c>
      <c r="AG21" s="241" t="s">
        <v>170</v>
      </c>
      <c r="AH21" s="242" t="s">
        <v>170</v>
      </c>
      <c r="AI21" s="162"/>
      <c r="AJ21" s="162"/>
      <c r="AK21" s="243">
        <f>SUM(F21,K21,R21,W21,AD21)</f>
        <v>0</v>
      </c>
      <c r="AL21" s="241" t="s">
        <v>170</v>
      </c>
      <c r="AM21" s="241" t="s">
        <v>170</v>
      </c>
      <c r="AN21" s="241" t="s">
        <v>170</v>
      </c>
      <c r="AO21" s="242" t="s">
        <v>170</v>
      </c>
    </row>
    <row r="22" spans="1:41" s="88" customFormat="1" outlineLevel="1">
      <c r="A22" s="355" t="s">
        <v>173</v>
      </c>
      <c r="B22" s="166" t="s">
        <v>169</v>
      </c>
      <c r="D22" s="89" t="s">
        <v>110</v>
      </c>
      <c r="E22" s="162"/>
      <c r="F22" s="243" t="s">
        <v>170</v>
      </c>
      <c r="G22" s="235"/>
      <c r="H22" s="241" t="s">
        <v>170</v>
      </c>
      <c r="I22" s="241" t="s">
        <v>170</v>
      </c>
      <c r="J22" s="242" t="s">
        <v>170</v>
      </c>
      <c r="K22" s="243" t="s">
        <v>170</v>
      </c>
      <c r="L22" s="235"/>
      <c r="M22" s="241" t="s">
        <v>170</v>
      </c>
      <c r="N22" s="241" t="s">
        <v>170</v>
      </c>
      <c r="O22" s="242" t="s">
        <v>170</v>
      </c>
      <c r="P22" s="162"/>
      <c r="Q22" s="162"/>
      <c r="R22" s="243" t="s">
        <v>170</v>
      </c>
      <c r="S22" s="235"/>
      <c r="T22" s="241" t="s">
        <v>170</v>
      </c>
      <c r="U22" s="241" t="s">
        <v>170</v>
      </c>
      <c r="V22" s="242" t="s">
        <v>170</v>
      </c>
      <c r="W22" s="243" t="s">
        <v>170</v>
      </c>
      <c r="X22" s="235"/>
      <c r="Y22" s="241" t="s">
        <v>170</v>
      </c>
      <c r="Z22" s="241" t="s">
        <v>170</v>
      </c>
      <c r="AA22" s="242" t="s">
        <v>170</v>
      </c>
      <c r="AB22" s="162"/>
      <c r="AC22" s="162"/>
      <c r="AD22" s="243" t="s">
        <v>170</v>
      </c>
      <c r="AE22" s="235"/>
      <c r="AF22" s="241" t="s">
        <v>170</v>
      </c>
      <c r="AG22" s="241" t="s">
        <v>170</v>
      </c>
      <c r="AH22" s="242" t="s">
        <v>170</v>
      </c>
      <c r="AI22" s="162"/>
      <c r="AJ22" s="162"/>
      <c r="AK22" s="243" t="s">
        <v>170</v>
      </c>
      <c r="AL22" s="241">
        <f>SUM(G22,L22,S22,X22,AE22)</f>
        <v>0</v>
      </c>
      <c r="AM22" s="241" t="s">
        <v>170</v>
      </c>
      <c r="AN22" s="241" t="s">
        <v>170</v>
      </c>
      <c r="AO22" s="242" t="s">
        <v>170</v>
      </c>
    </row>
    <row r="23" spans="1:41" s="88" customFormat="1" outlineLevel="1">
      <c r="A23" s="356"/>
      <c r="B23" s="244" t="s">
        <v>171</v>
      </c>
      <c r="D23" s="89" t="s">
        <v>110</v>
      </c>
      <c r="E23" s="162"/>
      <c r="F23" s="243" t="s">
        <v>170</v>
      </c>
      <c r="G23" s="235"/>
      <c r="H23" s="241" t="s">
        <v>170</v>
      </c>
      <c r="I23" s="241" t="s">
        <v>170</v>
      </c>
      <c r="J23" s="242" t="s">
        <v>170</v>
      </c>
      <c r="K23" s="243" t="s">
        <v>170</v>
      </c>
      <c r="L23" s="235"/>
      <c r="M23" s="241" t="s">
        <v>170</v>
      </c>
      <c r="N23" s="241" t="s">
        <v>170</v>
      </c>
      <c r="O23" s="242" t="s">
        <v>170</v>
      </c>
      <c r="P23" s="162"/>
      <c r="Q23" s="162"/>
      <c r="R23" s="243" t="s">
        <v>170</v>
      </c>
      <c r="S23" s="235"/>
      <c r="T23" s="241" t="s">
        <v>170</v>
      </c>
      <c r="U23" s="241" t="s">
        <v>170</v>
      </c>
      <c r="V23" s="242" t="s">
        <v>170</v>
      </c>
      <c r="W23" s="243" t="s">
        <v>170</v>
      </c>
      <c r="X23" s="235"/>
      <c r="Y23" s="241" t="s">
        <v>170</v>
      </c>
      <c r="Z23" s="241" t="s">
        <v>170</v>
      </c>
      <c r="AA23" s="242" t="s">
        <v>170</v>
      </c>
      <c r="AB23" s="162"/>
      <c r="AC23" s="162"/>
      <c r="AD23" s="243" t="s">
        <v>170</v>
      </c>
      <c r="AE23" s="235"/>
      <c r="AF23" s="241" t="s">
        <v>170</v>
      </c>
      <c r="AG23" s="241" t="s">
        <v>170</v>
      </c>
      <c r="AH23" s="242" t="s">
        <v>170</v>
      </c>
      <c r="AI23" s="162"/>
      <c r="AJ23" s="162"/>
      <c r="AK23" s="243" t="s">
        <v>170</v>
      </c>
      <c r="AL23" s="241">
        <f>SUM(G23,L23,S23,X23,AE23)</f>
        <v>0</v>
      </c>
      <c r="AM23" s="241" t="s">
        <v>170</v>
      </c>
      <c r="AN23" s="241" t="s">
        <v>170</v>
      </c>
      <c r="AO23" s="242" t="s">
        <v>170</v>
      </c>
    </row>
    <row r="24" spans="1:41" s="88" customFormat="1" outlineLevel="1">
      <c r="A24" s="356"/>
      <c r="B24" s="244" t="s">
        <v>172</v>
      </c>
      <c r="D24" s="89" t="s">
        <v>110</v>
      </c>
      <c r="E24" s="162"/>
      <c r="F24" s="243" t="s">
        <v>170</v>
      </c>
      <c r="G24" s="235"/>
      <c r="H24" s="241" t="s">
        <v>170</v>
      </c>
      <c r="I24" s="241" t="s">
        <v>170</v>
      </c>
      <c r="J24" s="242" t="s">
        <v>170</v>
      </c>
      <c r="K24" s="243" t="s">
        <v>170</v>
      </c>
      <c r="L24" s="235"/>
      <c r="M24" s="241" t="s">
        <v>170</v>
      </c>
      <c r="N24" s="241" t="s">
        <v>170</v>
      </c>
      <c r="O24" s="242" t="s">
        <v>170</v>
      </c>
      <c r="P24" s="162"/>
      <c r="Q24" s="162"/>
      <c r="R24" s="243" t="s">
        <v>170</v>
      </c>
      <c r="S24" s="235"/>
      <c r="T24" s="241" t="s">
        <v>170</v>
      </c>
      <c r="U24" s="241" t="s">
        <v>170</v>
      </c>
      <c r="V24" s="242" t="s">
        <v>170</v>
      </c>
      <c r="W24" s="243" t="s">
        <v>170</v>
      </c>
      <c r="X24" s="235"/>
      <c r="Y24" s="241" t="s">
        <v>170</v>
      </c>
      <c r="Z24" s="241" t="s">
        <v>170</v>
      </c>
      <c r="AA24" s="242" t="s">
        <v>170</v>
      </c>
      <c r="AB24" s="162"/>
      <c r="AC24" s="162"/>
      <c r="AD24" s="243" t="s">
        <v>170</v>
      </c>
      <c r="AE24" s="235"/>
      <c r="AF24" s="241" t="s">
        <v>170</v>
      </c>
      <c r="AG24" s="241" t="s">
        <v>170</v>
      </c>
      <c r="AH24" s="242" t="s">
        <v>170</v>
      </c>
      <c r="AI24" s="162"/>
      <c r="AJ24" s="162"/>
      <c r="AK24" s="243" t="s">
        <v>170</v>
      </c>
      <c r="AL24" s="241">
        <f>SUM(G24,L24,S24,X24,AE24)</f>
        <v>0</v>
      </c>
      <c r="AM24" s="241" t="s">
        <v>170</v>
      </c>
      <c r="AN24" s="241" t="s">
        <v>170</v>
      </c>
      <c r="AO24" s="242" t="s">
        <v>170</v>
      </c>
    </row>
    <row r="25" spans="1:41" s="88" customFormat="1" outlineLevel="1">
      <c r="A25" s="355" t="s">
        <v>174</v>
      </c>
      <c r="B25" s="166" t="s">
        <v>169</v>
      </c>
      <c r="D25" s="89" t="s">
        <v>110</v>
      </c>
      <c r="E25" s="162"/>
      <c r="F25" s="243" t="s">
        <v>170</v>
      </c>
      <c r="G25" s="241" t="s">
        <v>170</v>
      </c>
      <c r="H25" s="235"/>
      <c r="I25" s="241" t="s">
        <v>170</v>
      </c>
      <c r="J25" s="242" t="s">
        <v>170</v>
      </c>
      <c r="K25" s="243" t="s">
        <v>170</v>
      </c>
      <c r="L25" s="241" t="s">
        <v>170</v>
      </c>
      <c r="M25" s="235"/>
      <c r="N25" s="241" t="s">
        <v>170</v>
      </c>
      <c r="O25" s="242" t="s">
        <v>170</v>
      </c>
      <c r="P25" s="162"/>
      <c r="Q25" s="162"/>
      <c r="R25" s="243" t="s">
        <v>170</v>
      </c>
      <c r="S25" s="241" t="s">
        <v>170</v>
      </c>
      <c r="T25" s="235"/>
      <c r="U25" s="241" t="s">
        <v>170</v>
      </c>
      <c r="V25" s="242" t="s">
        <v>170</v>
      </c>
      <c r="W25" s="243" t="s">
        <v>170</v>
      </c>
      <c r="X25" s="241" t="s">
        <v>170</v>
      </c>
      <c r="Y25" s="235"/>
      <c r="Z25" s="241" t="s">
        <v>170</v>
      </c>
      <c r="AA25" s="242" t="s">
        <v>170</v>
      </c>
      <c r="AB25" s="162"/>
      <c r="AC25" s="162"/>
      <c r="AD25" s="243" t="s">
        <v>170</v>
      </c>
      <c r="AE25" s="241" t="s">
        <v>170</v>
      </c>
      <c r="AF25" s="235"/>
      <c r="AG25" s="241" t="s">
        <v>170</v>
      </c>
      <c r="AH25" s="242" t="s">
        <v>170</v>
      </c>
      <c r="AI25" s="162"/>
      <c r="AJ25" s="162"/>
      <c r="AK25" s="243" t="s">
        <v>170</v>
      </c>
      <c r="AL25" s="241" t="s">
        <v>170</v>
      </c>
      <c r="AM25" s="241">
        <f>SUM(H25,M25,T25,Y25,AF25)</f>
        <v>0</v>
      </c>
      <c r="AN25" s="241" t="s">
        <v>170</v>
      </c>
      <c r="AO25" s="242" t="s">
        <v>170</v>
      </c>
    </row>
    <row r="26" spans="1:41" s="88" customFormat="1" outlineLevel="1">
      <c r="A26" s="356"/>
      <c r="B26" s="244" t="s">
        <v>171</v>
      </c>
      <c r="D26" s="89" t="s">
        <v>110</v>
      </c>
      <c r="E26" s="162"/>
      <c r="F26" s="243" t="s">
        <v>170</v>
      </c>
      <c r="G26" s="241" t="s">
        <v>170</v>
      </c>
      <c r="H26" s="235"/>
      <c r="I26" s="241" t="s">
        <v>170</v>
      </c>
      <c r="J26" s="242" t="s">
        <v>170</v>
      </c>
      <c r="K26" s="243" t="s">
        <v>170</v>
      </c>
      <c r="L26" s="241" t="s">
        <v>170</v>
      </c>
      <c r="M26" s="235"/>
      <c r="N26" s="241" t="s">
        <v>170</v>
      </c>
      <c r="O26" s="242" t="s">
        <v>170</v>
      </c>
      <c r="P26" s="162"/>
      <c r="Q26" s="162"/>
      <c r="R26" s="243" t="s">
        <v>170</v>
      </c>
      <c r="S26" s="241" t="s">
        <v>170</v>
      </c>
      <c r="T26" s="235"/>
      <c r="U26" s="241" t="s">
        <v>170</v>
      </c>
      <c r="V26" s="242" t="s">
        <v>170</v>
      </c>
      <c r="W26" s="243" t="s">
        <v>170</v>
      </c>
      <c r="X26" s="241" t="s">
        <v>170</v>
      </c>
      <c r="Y26" s="235"/>
      <c r="Z26" s="241" t="s">
        <v>170</v>
      </c>
      <c r="AA26" s="242" t="s">
        <v>170</v>
      </c>
      <c r="AB26" s="162"/>
      <c r="AC26" s="162"/>
      <c r="AD26" s="243" t="s">
        <v>170</v>
      </c>
      <c r="AE26" s="241" t="s">
        <v>170</v>
      </c>
      <c r="AF26" s="235"/>
      <c r="AG26" s="241" t="s">
        <v>170</v>
      </c>
      <c r="AH26" s="242" t="s">
        <v>170</v>
      </c>
      <c r="AI26" s="162"/>
      <c r="AJ26" s="162"/>
      <c r="AK26" s="243" t="s">
        <v>170</v>
      </c>
      <c r="AL26" s="241" t="s">
        <v>170</v>
      </c>
      <c r="AM26" s="241">
        <f>SUM(H26,M26,T26,Y26,AF26)</f>
        <v>0</v>
      </c>
      <c r="AN26" s="241" t="s">
        <v>170</v>
      </c>
      <c r="AO26" s="242" t="s">
        <v>170</v>
      </c>
    </row>
    <row r="27" spans="1:41" s="88" customFormat="1" outlineLevel="1">
      <c r="A27" s="356"/>
      <c r="B27" s="244" t="s">
        <v>172</v>
      </c>
      <c r="D27" s="89" t="s">
        <v>110</v>
      </c>
      <c r="E27" s="162"/>
      <c r="F27" s="243" t="s">
        <v>170</v>
      </c>
      <c r="G27" s="241" t="s">
        <v>170</v>
      </c>
      <c r="H27" s="235"/>
      <c r="I27" s="241" t="s">
        <v>170</v>
      </c>
      <c r="J27" s="242" t="s">
        <v>170</v>
      </c>
      <c r="K27" s="243" t="s">
        <v>170</v>
      </c>
      <c r="L27" s="241" t="s">
        <v>170</v>
      </c>
      <c r="M27" s="235"/>
      <c r="N27" s="241" t="s">
        <v>170</v>
      </c>
      <c r="O27" s="242" t="s">
        <v>170</v>
      </c>
      <c r="P27" s="162"/>
      <c r="Q27" s="162"/>
      <c r="R27" s="243" t="s">
        <v>170</v>
      </c>
      <c r="S27" s="241" t="s">
        <v>170</v>
      </c>
      <c r="T27" s="235"/>
      <c r="U27" s="241" t="s">
        <v>170</v>
      </c>
      <c r="V27" s="242" t="s">
        <v>170</v>
      </c>
      <c r="W27" s="243" t="s">
        <v>170</v>
      </c>
      <c r="X27" s="241" t="s">
        <v>170</v>
      </c>
      <c r="Y27" s="235"/>
      <c r="Z27" s="241" t="s">
        <v>170</v>
      </c>
      <c r="AA27" s="242" t="s">
        <v>170</v>
      </c>
      <c r="AB27" s="162"/>
      <c r="AC27" s="162"/>
      <c r="AD27" s="243" t="s">
        <v>170</v>
      </c>
      <c r="AE27" s="241" t="s">
        <v>170</v>
      </c>
      <c r="AF27" s="235"/>
      <c r="AG27" s="241" t="s">
        <v>170</v>
      </c>
      <c r="AH27" s="242" t="s">
        <v>170</v>
      </c>
      <c r="AI27" s="162"/>
      <c r="AJ27" s="162"/>
      <c r="AK27" s="243" t="s">
        <v>170</v>
      </c>
      <c r="AL27" s="241" t="s">
        <v>170</v>
      </c>
      <c r="AM27" s="241">
        <f>SUM(H27,M27,T27,Y27,AF27)</f>
        <v>0</v>
      </c>
      <c r="AN27" s="241" t="s">
        <v>170</v>
      </c>
      <c r="AO27" s="242" t="s">
        <v>170</v>
      </c>
    </row>
    <row r="28" spans="1:41" s="88" customFormat="1" outlineLevel="1">
      <c r="A28" s="355" t="s">
        <v>175</v>
      </c>
      <c r="B28" s="166" t="s">
        <v>169</v>
      </c>
      <c r="D28" s="89" t="s">
        <v>110</v>
      </c>
      <c r="E28" s="162"/>
      <c r="F28" s="243" t="s">
        <v>170</v>
      </c>
      <c r="G28" s="241" t="s">
        <v>170</v>
      </c>
      <c r="H28" s="241" t="s">
        <v>170</v>
      </c>
      <c r="I28" s="235"/>
      <c r="J28" s="242" t="s">
        <v>170</v>
      </c>
      <c r="K28" s="243" t="s">
        <v>170</v>
      </c>
      <c r="L28" s="241" t="s">
        <v>170</v>
      </c>
      <c r="M28" s="241" t="s">
        <v>170</v>
      </c>
      <c r="N28" s="235"/>
      <c r="O28" s="242" t="s">
        <v>170</v>
      </c>
      <c r="P28" s="162"/>
      <c r="Q28" s="162"/>
      <c r="R28" s="243" t="s">
        <v>170</v>
      </c>
      <c r="S28" s="241" t="s">
        <v>170</v>
      </c>
      <c r="T28" s="241" t="s">
        <v>170</v>
      </c>
      <c r="U28" s="235"/>
      <c r="V28" s="242" t="s">
        <v>170</v>
      </c>
      <c r="W28" s="243" t="s">
        <v>170</v>
      </c>
      <c r="X28" s="241" t="s">
        <v>170</v>
      </c>
      <c r="Y28" s="241" t="s">
        <v>170</v>
      </c>
      <c r="Z28" s="235"/>
      <c r="AA28" s="242" t="s">
        <v>170</v>
      </c>
      <c r="AB28" s="162"/>
      <c r="AC28" s="162"/>
      <c r="AD28" s="243" t="s">
        <v>170</v>
      </c>
      <c r="AE28" s="241" t="s">
        <v>170</v>
      </c>
      <c r="AF28" s="241" t="s">
        <v>170</v>
      </c>
      <c r="AG28" s="235"/>
      <c r="AH28" s="242" t="s">
        <v>170</v>
      </c>
      <c r="AI28" s="162"/>
      <c r="AJ28" s="162"/>
      <c r="AK28" s="243" t="s">
        <v>170</v>
      </c>
      <c r="AL28" s="241" t="s">
        <v>170</v>
      </c>
      <c r="AM28" s="241" t="s">
        <v>170</v>
      </c>
      <c r="AN28" s="241">
        <f>SUM(I28,N28,U28,Z28,AG28)</f>
        <v>0</v>
      </c>
      <c r="AO28" s="242" t="s">
        <v>170</v>
      </c>
    </row>
    <row r="29" spans="1:41" s="88" customFormat="1" outlineLevel="1">
      <c r="A29" s="356"/>
      <c r="B29" s="244" t="s">
        <v>171</v>
      </c>
      <c r="D29" s="89" t="s">
        <v>110</v>
      </c>
      <c r="E29" s="162"/>
      <c r="F29" s="243" t="s">
        <v>170</v>
      </c>
      <c r="G29" s="241" t="s">
        <v>170</v>
      </c>
      <c r="H29" s="241" t="s">
        <v>170</v>
      </c>
      <c r="I29" s="235"/>
      <c r="J29" s="242" t="s">
        <v>170</v>
      </c>
      <c r="K29" s="243" t="s">
        <v>170</v>
      </c>
      <c r="L29" s="241" t="s">
        <v>170</v>
      </c>
      <c r="M29" s="241" t="s">
        <v>170</v>
      </c>
      <c r="N29" s="235"/>
      <c r="O29" s="242" t="s">
        <v>170</v>
      </c>
      <c r="P29" s="162"/>
      <c r="Q29" s="162"/>
      <c r="R29" s="243" t="s">
        <v>170</v>
      </c>
      <c r="S29" s="241" t="s">
        <v>170</v>
      </c>
      <c r="T29" s="241" t="s">
        <v>170</v>
      </c>
      <c r="U29" s="235"/>
      <c r="V29" s="242" t="s">
        <v>170</v>
      </c>
      <c r="W29" s="243" t="s">
        <v>170</v>
      </c>
      <c r="X29" s="241" t="s">
        <v>170</v>
      </c>
      <c r="Y29" s="241" t="s">
        <v>170</v>
      </c>
      <c r="Z29" s="235"/>
      <c r="AA29" s="242" t="s">
        <v>170</v>
      </c>
      <c r="AB29" s="162"/>
      <c r="AC29" s="162"/>
      <c r="AD29" s="243" t="s">
        <v>170</v>
      </c>
      <c r="AE29" s="241" t="s">
        <v>170</v>
      </c>
      <c r="AF29" s="241" t="s">
        <v>170</v>
      </c>
      <c r="AG29" s="235"/>
      <c r="AH29" s="242" t="s">
        <v>170</v>
      </c>
      <c r="AI29" s="162"/>
      <c r="AJ29" s="162"/>
      <c r="AK29" s="243" t="s">
        <v>170</v>
      </c>
      <c r="AL29" s="241" t="s">
        <v>170</v>
      </c>
      <c r="AM29" s="241" t="s">
        <v>170</v>
      </c>
      <c r="AN29" s="241">
        <f>SUM(I29,N29,U29,Z29,AG29)</f>
        <v>0</v>
      </c>
      <c r="AO29" s="242" t="s">
        <v>170</v>
      </c>
    </row>
    <row r="30" spans="1:41" s="88" customFormat="1" outlineLevel="1">
      <c r="A30" s="356"/>
      <c r="B30" s="244" t="s">
        <v>172</v>
      </c>
      <c r="D30" s="89" t="s">
        <v>110</v>
      </c>
      <c r="E30" s="162"/>
      <c r="F30" s="243" t="s">
        <v>170</v>
      </c>
      <c r="G30" s="241" t="s">
        <v>170</v>
      </c>
      <c r="H30" s="241" t="s">
        <v>170</v>
      </c>
      <c r="I30" s="235"/>
      <c r="J30" s="242" t="s">
        <v>170</v>
      </c>
      <c r="K30" s="243" t="s">
        <v>170</v>
      </c>
      <c r="L30" s="241" t="s">
        <v>170</v>
      </c>
      <c r="M30" s="241" t="s">
        <v>170</v>
      </c>
      <c r="N30" s="235"/>
      <c r="O30" s="242" t="s">
        <v>170</v>
      </c>
      <c r="P30" s="162"/>
      <c r="Q30" s="162"/>
      <c r="R30" s="243" t="s">
        <v>170</v>
      </c>
      <c r="S30" s="241" t="s">
        <v>170</v>
      </c>
      <c r="T30" s="241" t="s">
        <v>170</v>
      </c>
      <c r="U30" s="235"/>
      <c r="V30" s="242" t="s">
        <v>170</v>
      </c>
      <c r="W30" s="243" t="s">
        <v>170</v>
      </c>
      <c r="X30" s="241" t="s">
        <v>170</v>
      </c>
      <c r="Y30" s="241" t="s">
        <v>170</v>
      </c>
      <c r="Z30" s="235"/>
      <c r="AA30" s="242" t="s">
        <v>170</v>
      </c>
      <c r="AB30" s="162"/>
      <c r="AC30" s="162"/>
      <c r="AD30" s="243" t="s">
        <v>170</v>
      </c>
      <c r="AE30" s="241" t="s">
        <v>170</v>
      </c>
      <c r="AF30" s="241" t="s">
        <v>170</v>
      </c>
      <c r="AG30" s="235"/>
      <c r="AH30" s="242" t="s">
        <v>170</v>
      </c>
      <c r="AI30" s="162"/>
      <c r="AJ30" s="162"/>
      <c r="AK30" s="243" t="s">
        <v>170</v>
      </c>
      <c r="AL30" s="241" t="s">
        <v>170</v>
      </c>
      <c r="AM30" s="241" t="s">
        <v>170</v>
      </c>
      <c r="AN30" s="241">
        <f>SUM(I30,N30,U30,Z30,AG30)</f>
        <v>0</v>
      </c>
      <c r="AO30" s="242" t="s">
        <v>170</v>
      </c>
    </row>
    <row r="31" spans="1:41" s="88" customFormat="1" outlineLevel="1">
      <c r="A31" s="355" t="s">
        <v>176</v>
      </c>
      <c r="B31" s="166" t="s">
        <v>169</v>
      </c>
      <c r="D31" s="89" t="s">
        <v>110</v>
      </c>
      <c r="E31" s="162"/>
      <c r="F31" s="243" t="s">
        <v>170</v>
      </c>
      <c r="G31" s="241" t="s">
        <v>170</v>
      </c>
      <c r="H31" s="241" t="s">
        <v>170</v>
      </c>
      <c r="I31" s="241" t="s">
        <v>170</v>
      </c>
      <c r="J31" s="245"/>
      <c r="K31" s="243" t="s">
        <v>170</v>
      </c>
      <c r="L31" s="241" t="s">
        <v>170</v>
      </c>
      <c r="M31" s="241" t="s">
        <v>170</v>
      </c>
      <c r="N31" s="241" t="s">
        <v>170</v>
      </c>
      <c r="O31" s="245"/>
      <c r="P31" s="162"/>
      <c r="Q31" s="162"/>
      <c r="R31" s="243" t="s">
        <v>170</v>
      </c>
      <c r="S31" s="241" t="s">
        <v>170</v>
      </c>
      <c r="T31" s="241" t="s">
        <v>170</v>
      </c>
      <c r="U31" s="241" t="s">
        <v>170</v>
      </c>
      <c r="V31" s="245"/>
      <c r="W31" s="243" t="s">
        <v>170</v>
      </c>
      <c r="X31" s="241" t="s">
        <v>170</v>
      </c>
      <c r="Y31" s="241" t="s">
        <v>170</v>
      </c>
      <c r="Z31" s="241" t="s">
        <v>170</v>
      </c>
      <c r="AA31" s="245"/>
      <c r="AB31" s="162"/>
      <c r="AC31" s="162"/>
      <c r="AD31" s="243" t="s">
        <v>170</v>
      </c>
      <c r="AE31" s="241" t="s">
        <v>170</v>
      </c>
      <c r="AF31" s="241" t="s">
        <v>170</v>
      </c>
      <c r="AG31" s="241" t="s">
        <v>170</v>
      </c>
      <c r="AH31" s="245"/>
      <c r="AI31" s="162"/>
      <c r="AJ31" s="162"/>
      <c r="AK31" s="243" t="s">
        <v>170</v>
      </c>
      <c r="AL31" s="241" t="s">
        <v>170</v>
      </c>
      <c r="AM31" s="241" t="s">
        <v>170</v>
      </c>
      <c r="AN31" s="241" t="s">
        <v>170</v>
      </c>
      <c r="AO31" s="242">
        <f>SUM(J31,O31,V31,AA31,AH31)</f>
        <v>0</v>
      </c>
    </row>
    <row r="32" spans="1:41" s="88" customFormat="1" outlineLevel="1">
      <c r="A32" s="356"/>
      <c r="B32" s="244" t="s">
        <v>171</v>
      </c>
      <c r="D32" s="89" t="s">
        <v>110</v>
      </c>
      <c r="E32" s="162"/>
      <c r="F32" s="243" t="s">
        <v>170</v>
      </c>
      <c r="G32" s="241" t="s">
        <v>170</v>
      </c>
      <c r="H32" s="241" t="s">
        <v>170</v>
      </c>
      <c r="I32" s="241" t="s">
        <v>170</v>
      </c>
      <c r="J32" s="245"/>
      <c r="K32" s="243" t="s">
        <v>170</v>
      </c>
      <c r="L32" s="241" t="s">
        <v>170</v>
      </c>
      <c r="M32" s="241" t="s">
        <v>170</v>
      </c>
      <c r="N32" s="241" t="s">
        <v>170</v>
      </c>
      <c r="O32" s="245"/>
      <c r="P32" s="161"/>
      <c r="Q32" s="161"/>
      <c r="R32" s="243" t="s">
        <v>170</v>
      </c>
      <c r="S32" s="241" t="s">
        <v>170</v>
      </c>
      <c r="T32" s="241" t="s">
        <v>170</v>
      </c>
      <c r="U32" s="241" t="s">
        <v>170</v>
      </c>
      <c r="V32" s="245"/>
      <c r="W32" s="243" t="s">
        <v>170</v>
      </c>
      <c r="X32" s="241" t="s">
        <v>170</v>
      </c>
      <c r="Y32" s="241" t="s">
        <v>170</v>
      </c>
      <c r="Z32" s="241" t="s">
        <v>170</v>
      </c>
      <c r="AA32" s="245"/>
      <c r="AB32" s="162"/>
      <c r="AC32" s="162"/>
      <c r="AD32" s="243" t="s">
        <v>170</v>
      </c>
      <c r="AE32" s="241" t="s">
        <v>170</v>
      </c>
      <c r="AF32" s="241" t="s">
        <v>170</v>
      </c>
      <c r="AG32" s="241" t="s">
        <v>170</v>
      </c>
      <c r="AH32" s="245"/>
      <c r="AI32" s="162"/>
      <c r="AJ32" s="162"/>
      <c r="AK32" s="243" t="s">
        <v>170</v>
      </c>
      <c r="AL32" s="241" t="s">
        <v>170</v>
      </c>
      <c r="AM32" s="241" t="s">
        <v>170</v>
      </c>
      <c r="AN32" s="241" t="s">
        <v>170</v>
      </c>
      <c r="AO32" s="242">
        <f>SUM(J32,O32,V32,AA32,AH32)</f>
        <v>0</v>
      </c>
    </row>
    <row r="33" spans="1:41" s="88" customFormat="1" outlineLevel="1">
      <c r="A33" s="356"/>
      <c r="B33" s="244" t="s">
        <v>172</v>
      </c>
      <c r="D33" s="89" t="s">
        <v>110</v>
      </c>
      <c r="E33" s="162"/>
      <c r="F33" s="243" t="s">
        <v>170</v>
      </c>
      <c r="G33" s="241" t="s">
        <v>170</v>
      </c>
      <c r="H33" s="241" t="s">
        <v>170</v>
      </c>
      <c r="I33" s="241" t="s">
        <v>170</v>
      </c>
      <c r="J33" s="245"/>
      <c r="K33" s="243" t="s">
        <v>170</v>
      </c>
      <c r="L33" s="241" t="s">
        <v>170</v>
      </c>
      <c r="M33" s="241" t="s">
        <v>170</v>
      </c>
      <c r="N33" s="241" t="s">
        <v>170</v>
      </c>
      <c r="O33" s="245"/>
      <c r="P33" s="162"/>
      <c r="Q33" s="162"/>
      <c r="R33" s="243" t="s">
        <v>170</v>
      </c>
      <c r="S33" s="241" t="s">
        <v>170</v>
      </c>
      <c r="T33" s="241" t="s">
        <v>170</v>
      </c>
      <c r="U33" s="241" t="s">
        <v>170</v>
      </c>
      <c r="V33" s="245"/>
      <c r="W33" s="243" t="s">
        <v>170</v>
      </c>
      <c r="X33" s="241" t="s">
        <v>170</v>
      </c>
      <c r="Y33" s="241" t="s">
        <v>170</v>
      </c>
      <c r="Z33" s="241" t="s">
        <v>170</v>
      </c>
      <c r="AA33" s="245"/>
      <c r="AB33" s="162"/>
      <c r="AC33" s="162"/>
      <c r="AD33" s="243" t="s">
        <v>170</v>
      </c>
      <c r="AE33" s="241" t="s">
        <v>170</v>
      </c>
      <c r="AF33" s="241" t="s">
        <v>170</v>
      </c>
      <c r="AG33" s="241" t="s">
        <v>170</v>
      </c>
      <c r="AH33" s="245"/>
      <c r="AI33" s="162"/>
      <c r="AJ33" s="162"/>
      <c r="AK33" s="243" t="s">
        <v>170</v>
      </c>
      <c r="AL33" s="241" t="s">
        <v>170</v>
      </c>
      <c r="AM33" s="241" t="s">
        <v>170</v>
      </c>
      <c r="AN33" s="241" t="s">
        <v>170</v>
      </c>
      <c r="AO33" s="242">
        <f>SUM(J33,O33,V33,AA33,AH33)</f>
        <v>0</v>
      </c>
    </row>
    <row r="34" spans="1:41" s="88" customFormat="1" ht="15">
      <c r="A34" s="352" t="s">
        <v>136</v>
      </c>
      <c r="B34" s="353"/>
      <c r="C34" s="353"/>
      <c r="D34" s="353"/>
      <c r="E34" s="354"/>
      <c r="F34" s="125">
        <f t="shared" ref="F34:O34" si="2">SUM(F19:F33)</f>
        <v>1000</v>
      </c>
      <c r="G34" s="92">
        <f t="shared" si="2"/>
        <v>0</v>
      </c>
      <c r="H34" s="92">
        <f t="shared" si="2"/>
        <v>0</v>
      </c>
      <c r="I34" s="92">
        <f t="shared" si="2"/>
        <v>0</v>
      </c>
      <c r="J34" s="92">
        <f t="shared" si="2"/>
        <v>0</v>
      </c>
      <c r="K34" s="125">
        <f t="shared" si="2"/>
        <v>1000</v>
      </c>
      <c r="L34" s="92">
        <f t="shared" si="2"/>
        <v>0</v>
      </c>
      <c r="M34" s="92">
        <f t="shared" si="2"/>
        <v>0</v>
      </c>
      <c r="N34" s="92">
        <f t="shared" si="2"/>
        <v>0</v>
      </c>
      <c r="O34" s="246">
        <f t="shared" si="2"/>
        <v>0</v>
      </c>
      <c r="P34" s="163"/>
      <c r="Q34" s="163"/>
      <c r="R34" s="125">
        <f t="shared" ref="R34:AA34" si="3">SUM(R19:R33)</f>
        <v>1000</v>
      </c>
      <c r="S34" s="92">
        <f t="shared" si="3"/>
        <v>0</v>
      </c>
      <c r="T34" s="92">
        <f t="shared" si="3"/>
        <v>0</v>
      </c>
      <c r="U34" s="92">
        <f t="shared" si="3"/>
        <v>0</v>
      </c>
      <c r="V34" s="92">
        <f t="shared" si="3"/>
        <v>0</v>
      </c>
      <c r="W34" s="125">
        <f t="shared" si="3"/>
        <v>1000</v>
      </c>
      <c r="X34" s="92">
        <f t="shared" si="3"/>
        <v>0</v>
      </c>
      <c r="Y34" s="92">
        <f t="shared" si="3"/>
        <v>0</v>
      </c>
      <c r="Z34" s="92">
        <f t="shared" si="3"/>
        <v>0</v>
      </c>
      <c r="AA34" s="246">
        <f t="shared" si="3"/>
        <v>0</v>
      </c>
      <c r="AB34" s="162"/>
      <c r="AC34" s="162"/>
      <c r="AD34" s="125">
        <f>SUM(AD19:AD33)</f>
        <v>1000</v>
      </c>
      <c r="AE34" s="92">
        <f>SUM(AE19:AE33)</f>
        <v>0</v>
      </c>
      <c r="AF34" s="92">
        <f>SUM(AF19:AF33)</f>
        <v>0</v>
      </c>
      <c r="AG34" s="92">
        <f>SUM(AG19:AG33)</f>
        <v>0</v>
      </c>
      <c r="AH34" s="246">
        <f>SUM(AH19:AH33)</f>
        <v>0</v>
      </c>
      <c r="AI34" s="162"/>
      <c r="AJ34" s="162"/>
      <c r="AK34" s="125">
        <f>SUM(AK19:AK33)</f>
        <v>5000</v>
      </c>
      <c r="AL34" s="92">
        <f>SUM(AL19:AL33)</f>
        <v>0</v>
      </c>
      <c r="AM34" s="92">
        <f>SUM(AM19:AM33)</f>
        <v>0</v>
      </c>
      <c r="AN34" s="92">
        <f>SUM(AN19:AN33)</f>
        <v>0</v>
      </c>
      <c r="AO34" s="246">
        <f>SUM(AO19:AO33)</f>
        <v>0</v>
      </c>
    </row>
    <row r="35" spans="1:41">
      <c r="E35" s="162"/>
      <c r="F35" s="63"/>
      <c r="G35" s="65"/>
      <c r="H35" s="65"/>
      <c r="I35" s="65"/>
      <c r="J35" s="65"/>
      <c r="K35" s="63"/>
      <c r="L35" s="65"/>
      <c r="M35" s="65"/>
      <c r="N35" s="65"/>
      <c r="O35" s="64"/>
      <c r="P35" s="161"/>
      <c r="Q35" s="161"/>
      <c r="R35" s="63"/>
      <c r="S35" s="65"/>
      <c r="T35" s="65"/>
      <c r="U35" s="65"/>
      <c r="V35" s="64"/>
      <c r="W35" s="63"/>
      <c r="X35" s="65"/>
      <c r="AA35" s="62"/>
      <c r="AB35" s="162"/>
      <c r="AC35" s="162"/>
      <c r="AD35" s="61"/>
      <c r="AH35" s="62"/>
      <c r="AI35" s="162"/>
      <c r="AJ35" s="162"/>
      <c r="AK35" s="61"/>
      <c r="AO35" s="62"/>
    </row>
    <row r="36" spans="1:41" s="96" customFormat="1" outlineLevel="1">
      <c r="A36" s="328" t="s">
        <v>177</v>
      </c>
      <c r="B36" s="329" t="s">
        <v>178</v>
      </c>
      <c r="C36" s="247" t="s">
        <v>116</v>
      </c>
      <c r="D36" s="247" t="s">
        <v>0</v>
      </c>
      <c r="E36" s="187"/>
      <c r="F36" s="248">
        <v>0.02</v>
      </c>
      <c r="G36" s="249">
        <v>0.04</v>
      </c>
      <c r="H36" s="249"/>
      <c r="I36" s="249"/>
      <c r="J36" s="250"/>
      <c r="K36" s="248">
        <v>0.02</v>
      </c>
      <c r="L36" s="249">
        <v>0.04</v>
      </c>
      <c r="M36" s="249"/>
      <c r="N36" s="249"/>
      <c r="O36" s="250"/>
      <c r="P36" s="181"/>
      <c r="Q36" s="181"/>
      <c r="R36" s="248"/>
      <c r="S36" s="249"/>
      <c r="T36" s="249"/>
      <c r="U36" s="249"/>
      <c r="V36" s="250"/>
      <c r="W36" s="248"/>
      <c r="X36" s="249"/>
      <c r="Y36" s="249"/>
      <c r="Z36" s="249"/>
      <c r="AA36" s="250"/>
      <c r="AB36" s="187"/>
      <c r="AC36" s="187"/>
      <c r="AD36" s="248"/>
      <c r="AE36" s="249"/>
      <c r="AF36" s="249"/>
      <c r="AG36" s="249"/>
      <c r="AH36" s="250"/>
      <c r="AI36" s="187"/>
      <c r="AJ36" s="187"/>
      <c r="AK36" s="251">
        <f t="shared" ref="AK36:AO39" si="4">F36+K36+R36+W36+AD36</f>
        <v>0.04</v>
      </c>
      <c r="AL36" s="252">
        <f t="shared" si="4"/>
        <v>0.08</v>
      </c>
      <c r="AM36" s="252">
        <f t="shared" si="4"/>
        <v>0</v>
      </c>
      <c r="AN36" s="252">
        <f t="shared" si="4"/>
        <v>0</v>
      </c>
      <c r="AO36" s="253">
        <f t="shared" si="4"/>
        <v>0</v>
      </c>
    </row>
    <row r="37" spans="1:41" s="96" customFormat="1" outlineLevel="1">
      <c r="A37" s="328"/>
      <c r="B37" s="329"/>
      <c r="C37" s="96" t="s">
        <v>167</v>
      </c>
      <c r="D37" s="236">
        <v>350000</v>
      </c>
      <c r="E37" s="162"/>
      <c r="F37" s="234">
        <f>F36*$D37</f>
        <v>7000</v>
      </c>
      <c r="G37" s="235">
        <f>G36*$D37</f>
        <v>14000</v>
      </c>
      <c r="H37" s="221"/>
      <c r="I37" s="221"/>
      <c r="J37" s="222"/>
      <c r="K37" s="234">
        <f>K36*$D37</f>
        <v>7000</v>
      </c>
      <c r="L37" s="235">
        <f>L36*$D37</f>
        <v>14000</v>
      </c>
      <c r="M37" s="221"/>
      <c r="N37" s="221"/>
      <c r="O37" s="222"/>
      <c r="P37" s="161"/>
      <c r="Q37" s="161"/>
      <c r="R37" s="234"/>
      <c r="S37" s="235"/>
      <c r="T37" s="221"/>
      <c r="U37" s="221"/>
      <c r="V37" s="222"/>
      <c r="W37" s="234"/>
      <c r="X37" s="235"/>
      <c r="Y37" s="221"/>
      <c r="Z37" s="221"/>
      <c r="AA37" s="222"/>
      <c r="AB37" s="162"/>
      <c r="AC37" s="162"/>
      <c r="AD37" s="234"/>
      <c r="AE37" s="235"/>
      <c r="AF37" s="221"/>
      <c r="AG37" s="221"/>
      <c r="AH37" s="222"/>
      <c r="AI37" s="162"/>
      <c r="AJ37" s="162"/>
      <c r="AK37" s="254">
        <f t="shared" si="4"/>
        <v>14000</v>
      </c>
      <c r="AL37" s="104">
        <f t="shared" si="4"/>
        <v>28000</v>
      </c>
      <c r="AM37" s="255">
        <f t="shared" si="4"/>
        <v>0</v>
      </c>
      <c r="AN37" s="255">
        <f t="shared" si="4"/>
        <v>0</v>
      </c>
      <c r="AO37" s="256">
        <f t="shared" si="4"/>
        <v>0</v>
      </c>
    </row>
    <row r="38" spans="1:41" s="96" customFormat="1" outlineLevel="1">
      <c r="A38" s="328"/>
      <c r="B38" s="329" t="s">
        <v>107</v>
      </c>
      <c r="C38" s="96" t="s">
        <v>116</v>
      </c>
      <c r="D38" s="96" t="s">
        <v>0</v>
      </c>
      <c r="E38" s="171"/>
      <c r="F38" s="220">
        <v>0.02</v>
      </c>
      <c r="G38" s="221">
        <v>0.04</v>
      </c>
      <c r="H38" s="221"/>
      <c r="I38" s="221"/>
      <c r="J38" s="222"/>
      <c r="K38" s="220">
        <v>0.02</v>
      </c>
      <c r="L38" s="221">
        <v>0.04</v>
      </c>
      <c r="M38" s="221"/>
      <c r="N38" s="221"/>
      <c r="O38" s="222"/>
      <c r="P38" s="161"/>
      <c r="Q38" s="161"/>
      <c r="R38" s="220"/>
      <c r="S38" s="221"/>
      <c r="T38" s="221"/>
      <c r="U38" s="221"/>
      <c r="V38" s="222"/>
      <c r="W38" s="220"/>
      <c r="X38" s="221"/>
      <c r="Y38" s="221"/>
      <c r="Z38" s="221"/>
      <c r="AA38" s="222"/>
      <c r="AB38" s="162"/>
      <c r="AC38" s="162"/>
      <c r="AD38" s="220"/>
      <c r="AE38" s="221"/>
      <c r="AF38" s="221"/>
      <c r="AG38" s="221"/>
      <c r="AH38" s="222"/>
      <c r="AI38" s="162"/>
      <c r="AJ38" s="162"/>
      <c r="AK38" s="126">
        <f t="shared" si="4"/>
        <v>0.04</v>
      </c>
      <c r="AL38" s="105">
        <f t="shared" si="4"/>
        <v>0.08</v>
      </c>
      <c r="AM38" s="105">
        <f t="shared" si="4"/>
        <v>0</v>
      </c>
      <c r="AN38" s="105">
        <f t="shared" si="4"/>
        <v>0</v>
      </c>
      <c r="AO38" s="127">
        <f t="shared" si="4"/>
        <v>0</v>
      </c>
    </row>
    <row r="39" spans="1:41" s="96" customFormat="1" outlineLevel="1">
      <c r="A39" s="328"/>
      <c r="B39" s="329"/>
      <c r="C39" s="257" t="s">
        <v>167</v>
      </c>
      <c r="D39" s="239"/>
      <c r="E39" s="200"/>
      <c r="F39" s="258">
        <f>F38*$D39</f>
        <v>0</v>
      </c>
      <c r="G39" s="259">
        <f>G38*$D39</f>
        <v>0</v>
      </c>
      <c r="H39" s="229"/>
      <c r="I39" s="229"/>
      <c r="J39" s="230"/>
      <c r="K39" s="258">
        <f>K38*$D39</f>
        <v>0</v>
      </c>
      <c r="L39" s="259">
        <f>L38*$D39</f>
        <v>0</v>
      </c>
      <c r="M39" s="229"/>
      <c r="N39" s="229"/>
      <c r="O39" s="230"/>
      <c r="P39" s="185"/>
      <c r="Q39" s="185"/>
      <c r="R39" s="258"/>
      <c r="S39" s="259"/>
      <c r="T39" s="229"/>
      <c r="U39" s="229"/>
      <c r="V39" s="230"/>
      <c r="W39" s="258"/>
      <c r="X39" s="259"/>
      <c r="Y39" s="229"/>
      <c r="Z39" s="229"/>
      <c r="AA39" s="230"/>
      <c r="AB39" s="200"/>
      <c r="AC39" s="200"/>
      <c r="AD39" s="258"/>
      <c r="AE39" s="259"/>
      <c r="AF39" s="229"/>
      <c r="AG39" s="229"/>
      <c r="AH39" s="230"/>
      <c r="AI39" s="200"/>
      <c r="AJ39" s="200"/>
      <c r="AK39" s="260">
        <f t="shared" si="4"/>
        <v>0</v>
      </c>
      <c r="AL39" s="261">
        <f t="shared" si="4"/>
        <v>0</v>
      </c>
      <c r="AM39" s="262">
        <f t="shared" si="4"/>
        <v>0</v>
      </c>
      <c r="AN39" s="262">
        <f t="shared" si="4"/>
        <v>0</v>
      </c>
      <c r="AO39" s="263">
        <f t="shared" si="4"/>
        <v>0</v>
      </c>
    </row>
    <row r="40" spans="1:41" s="96" customFormat="1" ht="15">
      <c r="A40" s="330" t="s">
        <v>136</v>
      </c>
      <c r="B40" s="331"/>
      <c r="C40" s="331"/>
      <c r="D40" s="331"/>
      <c r="E40" s="332"/>
      <c r="F40" s="260">
        <f t="shared" ref="F40:O40" si="5">F37+F39</f>
        <v>7000</v>
      </c>
      <c r="G40" s="261">
        <f t="shared" si="5"/>
        <v>14000</v>
      </c>
      <c r="H40" s="261">
        <f t="shared" si="5"/>
        <v>0</v>
      </c>
      <c r="I40" s="261">
        <f t="shared" si="5"/>
        <v>0</v>
      </c>
      <c r="J40" s="261">
        <f t="shared" si="5"/>
        <v>0</v>
      </c>
      <c r="K40" s="260">
        <f t="shared" si="5"/>
        <v>7000</v>
      </c>
      <c r="L40" s="261">
        <f t="shared" si="5"/>
        <v>14000</v>
      </c>
      <c r="M40" s="261">
        <f t="shared" si="5"/>
        <v>0</v>
      </c>
      <c r="N40" s="261">
        <f t="shared" si="5"/>
        <v>0</v>
      </c>
      <c r="O40" s="261">
        <f t="shared" si="5"/>
        <v>0</v>
      </c>
      <c r="P40" s="185"/>
      <c r="Q40" s="185"/>
      <c r="R40" s="260">
        <f t="shared" ref="R40:AA40" si="6">R37+R39</f>
        <v>0</v>
      </c>
      <c r="S40" s="261">
        <f t="shared" si="6"/>
        <v>0</v>
      </c>
      <c r="T40" s="261">
        <f t="shared" si="6"/>
        <v>0</v>
      </c>
      <c r="U40" s="261">
        <f t="shared" si="6"/>
        <v>0</v>
      </c>
      <c r="V40" s="261">
        <f t="shared" si="6"/>
        <v>0</v>
      </c>
      <c r="W40" s="260">
        <f t="shared" si="6"/>
        <v>0</v>
      </c>
      <c r="X40" s="261">
        <f t="shared" si="6"/>
        <v>0</v>
      </c>
      <c r="Y40" s="261">
        <f t="shared" si="6"/>
        <v>0</v>
      </c>
      <c r="Z40" s="261">
        <f t="shared" si="6"/>
        <v>0</v>
      </c>
      <c r="AA40" s="261">
        <f t="shared" si="6"/>
        <v>0</v>
      </c>
      <c r="AB40" s="162"/>
      <c r="AC40" s="162"/>
      <c r="AD40" s="260">
        <f>AD37+AD39</f>
        <v>0</v>
      </c>
      <c r="AE40" s="261">
        <f>AE37+AE39</f>
        <v>0</v>
      </c>
      <c r="AF40" s="261">
        <f>AF37+AF39</f>
        <v>0</v>
      </c>
      <c r="AG40" s="261">
        <f>AG37+AG39</f>
        <v>0</v>
      </c>
      <c r="AH40" s="261">
        <f>AH37+AH39</f>
        <v>0</v>
      </c>
      <c r="AI40" s="162"/>
      <c r="AJ40" s="162"/>
      <c r="AK40" s="260">
        <f>AK37+AK39</f>
        <v>14000</v>
      </c>
      <c r="AL40" s="261">
        <f>AL37+AL39</f>
        <v>28000</v>
      </c>
      <c r="AM40" s="261">
        <f>AM37+AM39</f>
        <v>0</v>
      </c>
      <c r="AN40" s="261">
        <f>AN37+AN39</f>
        <v>0</v>
      </c>
      <c r="AO40" s="264">
        <f>AO37+AO39</f>
        <v>0</v>
      </c>
    </row>
    <row r="41" spans="1:41">
      <c r="E41" s="162"/>
      <c r="F41" s="63"/>
      <c r="G41" s="65"/>
      <c r="H41" s="65"/>
      <c r="I41" s="65"/>
      <c r="J41" s="65"/>
      <c r="K41" s="63"/>
      <c r="L41" s="65"/>
      <c r="M41" s="65"/>
      <c r="N41" s="65"/>
      <c r="O41" s="64"/>
      <c r="P41" s="161"/>
      <c r="Q41" s="161"/>
      <c r="R41" s="63"/>
      <c r="S41" s="65"/>
      <c r="T41" s="65"/>
      <c r="U41" s="65"/>
      <c r="V41" s="64"/>
      <c r="W41" s="63"/>
      <c r="X41" s="65"/>
      <c r="AA41" s="62"/>
      <c r="AB41" s="162"/>
      <c r="AC41" s="162"/>
      <c r="AD41" s="61"/>
      <c r="AH41" s="62"/>
      <c r="AI41" s="162"/>
      <c r="AJ41" s="162"/>
      <c r="AK41" s="61"/>
      <c r="AO41" s="62"/>
    </row>
    <row r="42" spans="1:41" s="107" customFormat="1" outlineLevel="1">
      <c r="A42" s="318" t="s">
        <v>179</v>
      </c>
      <c r="B42" s="319" t="s">
        <v>37</v>
      </c>
      <c r="C42" s="265" t="s">
        <v>116</v>
      </c>
      <c r="D42" s="265" t="s">
        <v>0</v>
      </c>
      <c r="E42" s="187"/>
      <c r="F42" s="248"/>
      <c r="G42" s="249"/>
      <c r="H42" s="249"/>
      <c r="I42" s="249"/>
      <c r="J42" s="249"/>
      <c r="K42" s="248"/>
      <c r="L42" s="249"/>
      <c r="M42" s="249"/>
      <c r="N42" s="249"/>
      <c r="O42" s="249"/>
      <c r="P42" s="181"/>
      <c r="Q42" s="181"/>
      <c r="R42" s="248">
        <v>1</v>
      </c>
      <c r="S42" s="249"/>
      <c r="T42" s="249"/>
      <c r="U42" s="249"/>
      <c r="V42" s="249"/>
      <c r="W42" s="248">
        <v>0.75</v>
      </c>
      <c r="X42" s="249"/>
      <c r="Y42" s="249"/>
      <c r="Z42" s="249"/>
      <c r="AA42" s="249"/>
      <c r="AB42" s="187"/>
      <c r="AC42" s="187"/>
      <c r="AD42" s="248"/>
      <c r="AE42" s="249"/>
      <c r="AF42" s="249"/>
      <c r="AG42" s="249"/>
      <c r="AH42" s="250"/>
      <c r="AI42" s="187"/>
      <c r="AJ42" s="187"/>
      <c r="AK42" s="266">
        <f t="shared" ref="AK42:AO43" si="7">F42+K42+R42+W42+AD42</f>
        <v>1.75</v>
      </c>
      <c r="AL42" s="267">
        <f t="shared" si="7"/>
        <v>0</v>
      </c>
      <c r="AM42" s="267">
        <f t="shared" si="7"/>
        <v>0</v>
      </c>
      <c r="AN42" s="267">
        <f t="shared" si="7"/>
        <v>0</v>
      </c>
      <c r="AO42" s="267">
        <f t="shared" si="7"/>
        <v>0</v>
      </c>
    </row>
    <row r="43" spans="1:41" s="107" customFormat="1" outlineLevel="1">
      <c r="A43" s="319"/>
      <c r="B43" s="319"/>
      <c r="C43" s="107" t="s">
        <v>167</v>
      </c>
      <c r="D43" s="233">
        <v>350000</v>
      </c>
      <c r="E43" s="162"/>
      <c r="F43" s="234">
        <f t="shared" ref="F43:O43" si="8">F42*$D43</f>
        <v>0</v>
      </c>
      <c r="G43" s="235">
        <f t="shared" si="8"/>
        <v>0</v>
      </c>
      <c r="H43" s="235">
        <f t="shared" si="8"/>
        <v>0</v>
      </c>
      <c r="I43" s="235">
        <f t="shared" si="8"/>
        <v>0</v>
      </c>
      <c r="J43" s="245">
        <f t="shared" si="8"/>
        <v>0</v>
      </c>
      <c r="K43" s="234">
        <f t="shared" si="8"/>
        <v>0</v>
      </c>
      <c r="L43" s="235">
        <f t="shared" si="8"/>
        <v>0</v>
      </c>
      <c r="M43" s="235">
        <f t="shared" si="8"/>
        <v>0</v>
      </c>
      <c r="N43" s="235">
        <f t="shared" si="8"/>
        <v>0</v>
      </c>
      <c r="O43" s="245">
        <f t="shared" si="8"/>
        <v>0</v>
      </c>
      <c r="P43" s="161"/>
      <c r="Q43" s="161"/>
      <c r="R43" s="234">
        <f t="shared" ref="R43:AA43" si="9">R42*$D43</f>
        <v>350000</v>
      </c>
      <c r="S43" s="235">
        <f t="shared" si="9"/>
        <v>0</v>
      </c>
      <c r="T43" s="235">
        <f t="shared" si="9"/>
        <v>0</v>
      </c>
      <c r="U43" s="235">
        <f t="shared" si="9"/>
        <v>0</v>
      </c>
      <c r="V43" s="245">
        <f t="shared" si="9"/>
        <v>0</v>
      </c>
      <c r="W43" s="234">
        <f t="shared" si="9"/>
        <v>262500</v>
      </c>
      <c r="X43" s="235">
        <f t="shared" si="9"/>
        <v>0</v>
      </c>
      <c r="Y43" s="235">
        <f t="shared" si="9"/>
        <v>0</v>
      </c>
      <c r="Z43" s="235">
        <f t="shared" si="9"/>
        <v>0</v>
      </c>
      <c r="AA43" s="245">
        <f t="shared" si="9"/>
        <v>0</v>
      </c>
      <c r="AB43" s="162"/>
      <c r="AC43" s="162"/>
      <c r="AD43" s="258">
        <f>AD42*$D43</f>
        <v>0</v>
      </c>
      <c r="AE43" s="259">
        <f>AE42*$D43</f>
        <v>0</v>
      </c>
      <c r="AF43" s="259">
        <f>AF42*$D43</f>
        <v>0</v>
      </c>
      <c r="AG43" s="259">
        <f>AG42*$D43</f>
        <v>0</v>
      </c>
      <c r="AH43" s="268">
        <f>AH42*$D43</f>
        <v>0</v>
      </c>
      <c r="AI43" s="162"/>
      <c r="AJ43" s="162"/>
      <c r="AK43" s="133">
        <f t="shared" si="7"/>
        <v>612500</v>
      </c>
      <c r="AL43" s="134">
        <f t="shared" si="7"/>
        <v>0</v>
      </c>
      <c r="AM43" s="134">
        <f t="shared" si="7"/>
        <v>0</v>
      </c>
      <c r="AN43" s="134">
        <f t="shared" si="7"/>
        <v>0</v>
      </c>
      <c r="AO43" s="269">
        <f t="shared" si="7"/>
        <v>0</v>
      </c>
    </row>
    <row r="44" spans="1:41" s="107" customFormat="1" ht="15">
      <c r="A44" s="320" t="s">
        <v>136</v>
      </c>
      <c r="B44" s="321"/>
      <c r="C44" s="321"/>
      <c r="D44" s="321"/>
      <c r="E44" s="322"/>
      <c r="F44" s="135">
        <f t="shared" ref="F44:O44" si="10">F43</f>
        <v>0</v>
      </c>
      <c r="G44" s="112">
        <f t="shared" si="10"/>
        <v>0</v>
      </c>
      <c r="H44" s="112">
        <f t="shared" si="10"/>
        <v>0</v>
      </c>
      <c r="I44" s="112">
        <f t="shared" si="10"/>
        <v>0</v>
      </c>
      <c r="J44" s="112">
        <f t="shared" si="10"/>
        <v>0</v>
      </c>
      <c r="K44" s="135">
        <f t="shared" si="10"/>
        <v>0</v>
      </c>
      <c r="L44" s="112">
        <f t="shared" si="10"/>
        <v>0</v>
      </c>
      <c r="M44" s="112">
        <f t="shared" si="10"/>
        <v>0</v>
      </c>
      <c r="N44" s="112">
        <f t="shared" si="10"/>
        <v>0</v>
      </c>
      <c r="O44" s="112">
        <f t="shared" si="10"/>
        <v>0</v>
      </c>
      <c r="P44" s="163"/>
      <c r="Q44" s="163"/>
      <c r="R44" s="135">
        <f t="shared" ref="R44:AA44" si="11">R43</f>
        <v>350000</v>
      </c>
      <c r="S44" s="112">
        <f t="shared" si="11"/>
        <v>0</v>
      </c>
      <c r="T44" s="112">
        <f t="shared" si="11"/>
        <v>0</v>
      </c>
      <c r="U44" s="112">
        <f t="shared" si="11"/>
        <v>0</v>
      </c>
      <c r="V44" s="112">
        <f t="shared" si="11"/>
        <v>0</v>
      </c>
      <c r="W44" s="135">
        <f t="shared" si="11"/>
        <v>262500</v>
      </c>
      <c r="X44" s="112">
        <f t="shared" si="11"/>
        <v>0</v>
      </c>
      <c r="Y44" s="112">
        <f t="shared" si="11"/>
        <v>0</v>
      </c>
      <c r="Z44" s="112">
        <f t="shared" si="11"/>
        <v>0</v>
      </c>
      <c r="AA44" s="112">
        <f t="shared" si="11"/>
        <v>0</v>
      </c>
      <c r="AB44" s="162"/>
      <c r="AC44" s="162"/>
      <c r="AD44" s="135">
        <f>AD43</f>
        <v>0</v>
      </c>
      <c r="AE44" s="112">
        <f>AE43</f>
        <v>0</v>
      </c>
      <c r="AF44" s="112">
        <f>AF43</f>
        <v>0</v>
      </c>
      <c r="AG44" s="112">
        <f>AG43</f>
        <v>0</v>
      </c>
      <c r="AH44" s="112">
        <f>AH43</f>
        <v>0</v>
      </c>
      <c r="AI44" s="162"/>
      <c r="AJ44" s="162"/>
      <c r="AK44" s="135">
        <f>AK43</f>
        <v>612500</v>
      </c>
      <c r="AL44" s="112">
        <f>AL43</f>
        <v>0</v>
      </c>
      <c r="AM44" s="112">
        <f>AM43</f>
        <v>0</v>
      </c>
      <c r="AN44" s="112">
        <f>AN43</f>
        <v>0</v>
      </c>
      <c r="AO44" s="112">
        <f>AO43</f>
        <v>0</v>
      </c>
    </row>
    <row r="45" spans="1:41">
      <c r="E45" s="162"/>
      <c r="F45" s="136"/>
      <c r="G45" s="106"/>
      <c r="H45" s="65"/>
      <c r="I45" s="65"/>
      <c r="J45" s="65"/>
      <c r="K45" s="63"/>
      <c r="L45" s="65"/>
      <c r="M45" s="65"/>
      <c r="N45" s="65"/>
      <c r="O45" s="64"/>
      <c r="P45" s="161"/>
      <c r="Q45" s="161"/>
      <c r="R45" s="63"/>
      <c r="S45" s="65"/>
      <c r="T45" s="65"/>
      <c r="U45" s="65"/>
      <c r="V45" s="64"/>
      <c r="W45" s="63"/>
      <c r="X45" s="65"/>
      <c r="AA45" s="62"/>
      <c r="AB45" s="162"/>
      <c r="AC45" s="162"/>
      <c r="AD45" s="61"/>
      <c r="AH45" s="62"/>
      <c r="AI45" s="162"/>
      <c r="AJ45" s="162"/>
      <c r="AK45" s="61"/>
      <c r="AO45" s="62"/>
    </row>
    <row r="46" spans="1:41" s="278" customFormat="1" outlineLevel="1">
      <c r="A46" s="323" t="s">
        <v>180</v>
      </c>
      <c r="B46" s="244" t="s">
        <v>119</v>
      </c>
      <c r="C46" s="270" t="s">
        <v>122</v>
      </c>
      <c r="D46" s="271">
        <v>3000</v>
      </c>
      <c r="E46" s="187"/>
      <c r="F46" s="272">
        <f t="shared" ref="F46:O47" si="12">$D46*F6</f>
        <v>9000</v>
      </c>
      <c r="G46" s="273">
        <f t="shared" si="12"/>
        <v>9000</v>
      </c>
      <c r="H46" s="273">
        <f t="shared" si="12"/>
        <v>9000</v>
      </c>
      <c r="I46" s="273">
        <f t="shared" si="12"/>
        <v>9000</v>
      </c>
      <c r="J46" s="273">
        <f t="shared" si="12"/>
        <v>9000</v>
      </c>
      <c r="K46" s="272">
        <f t="shared" si="12"/>
        <v>18000</v>
      </c>
      <c r="L46" s="273">
        <f t="shared" si="12"/>
        <v>18000</v>
      </c>
      <c r="M46" s="273">
        <f t="shared" si="12"/>
        <v>18000</v>
      </c>
      <c r="N46" s="273">
        <f t="shared" si="12"/>
        <v>18000</v>
      </c>
      <c r="O46" s="273">
        <f t="shared" si="12"/>
        <v>18000</v>
      </c>
      <c r="P46" s="187"/>
      <c r="Q46" s="187"/>
      <c r="R46" s="272">
        <f t="shared" ref="R46:AA47" si="13">$D46*R6</f>
        <v>0</v>
      </c>
      <c r="S46" s="273">
        <f t="shared" si="13"/>
        <v>0</v>
      </c>
      <c r="T46" s="273">
        <f t="shared" si="13"/>
        <v>0</v>
      </c>
      <c r="U46" s="273">
        <f t="shared" si="13"/>
        <v>0</v>
      </c>
      <c r="V46" s="273">
        <f t="shared" si="13"/>
        <v>0</v>
      </c>
      <c r="W46" s="272">
        <f t="shared" si="13"/>
        <v>0</v>
      </c>
      <c r="X46" s="273">
        <f t="shared" si="13"/>
        <v>0</v>
      </c>
      <c r="Y46" s="273">
        <f t="shared" si="13"/>
        <v>0</v>
      </c>
      <c r="Z46" s="273">
        <f t="shared" si="13"/>
        <v>0</v>
      </c>
      <c r="AA46" s="273">
        <f t="shared" si="13"/>
        <v>0</v>
      </c>
      <c r="AB46" s="187"/>
      <c r="AC46" s="187"/>
      <c r="AD46" s="272">
        <f t="shared" ref="AD46:AH47" si="14">$D46*AD6</f>
        <v>0</v>
      </c>
      <c r="AE46" s="273">
        <f t="shared" si="14"/>
        <v>0</v>
      </c>
      <c r="AF46" s="273">
        <f t="shared" si="14"/>
        <v>0</v>
      </c>
      <c r="AG46" s="273">
        <f t="shared" si="14"/>
        <v>0</v>
      </c>
      <c r="AH46" s="274">
        <f t="shared" si="14"/>
        <v>0</v>
      </c>
      <c r="AI46" s="187"/>
      <c r="AJ46" s="187"/>
      <c r="AK46" s="275">
        <f t="shared" ref="AK46:AO50" si="15">F46+K46+R46+W46+AD46</f>
        <v>27000</v>
      </c>
      <c r="AL46" s="276">
        <f t="shared" si="15"/>
        <v>27000</v>
      </c>
      <c r="AM46" s="276">
        <f t="shared" si="15"/>
        <v>27000</v>
      </c>
      <c r="AN46" s="276">
        <f t="shared" si="15"/>
        <v>27000</v>
      </c>
      <c r="AO46" s="277">
        <f t="shared" si="15"/>
        <v>27000</v>
      </c>
    </row>
    <row r="47" spans="1:41" s="116" customFormat="1" outlineLevel="1">
      <c r="A47" s="324"/>
      <c r="B47" s="244" t="s">
        <v>120</v>
      </c>
      <c r="C47" s="218" t="s">
        <v>121</v>
      </c>
      <c r="D47" s="279">
        <v>50</v>
      </c>
      <c r="E47" s="172"/>
      <c r="F47" s="238">
        <f t="shared" si="12"/>
        <v>5000</v>
      </c>
      <c r="G47" s="236">
        <f t="shared" si="12"/>
        <v>6000</v>
      </c>
      <c r="H47" s="236">
        <f t="shared" si="12"/>
        <v>7000</v>
      </c>
      <c r="I47" s="236">
        <f t="shared" si="12"/>
        <v>8000</v>
      </c>
      <c r="J47" s="236">
        <f t="shared" si="12"/>
        <v>10000</v>
      </c>
      <c r="K47" s="238">
        <f t="shared" si="12"/>
        <v>1000</v>
      </c>
      <c r="L47" s="236">
        <f t="shared" si="12"/>
        <v>1100</v>
      </c>
      <c r="M47" s="236">
        <f t="shared" si="12"/>
        <v>1200</v>
      </c>
      <c r="N47" s="236">
        <f t="shared" si="12"/>
        <v>1300</v>
      </c>
      <c r="O47" s="236">
        <f t="shared" si="12"/>
        <v>1500</v>
      </c>
      <c r="P47" s="162"/>
      <c r="Q47" s="162"/>
      <c r="R47" s="238">
        <f t="shared" si="13"/>
        <v>0</v>
      </c>
      <c r="S47" s="236">
        <f t="shared" si="13"/>
        <v>0</v>
      </c>
      <c r="T47" s="236">
        <f t="shared" si="13"/>
        <v>0</v>
      </c>
      <c r="U47" s="236">
        <f t="shared" si="13"/>
        <v>0</v>
      </c>
      <c r="V47" s="236">
        <f t="shared" si="13"/>
        <v>0</v>
      </c>
      <c r="W47" s="238">
        <f t="shared" si="13"/>
        <v>0</v>
      </c>
      <c r="X47" s="236">
        <f t="shared" si="13"/>
        <v>0</v>
      </c>
      <c r="Y47" s="236">
        <f t="shared" si="13"/>
        <v>0</v>
      </c>
      <c r="Z47" s="236">
        <f t="shared" si="13"/>
        <v>0</v>
      </c>
      <c r="AA47" s="236">
        <f t="shared" si="13"/>
        <v>0</v>
      </c>
      <c r="AB47" s="162"/>
      <c r="AC47" s="162"/>
      <c r="AD47" s="238">
        <f t="shared" si="14"/>
        <v>0</v>
      </c>
      <c r="AE47" s="236">
        <f t="shared" si="14"/>
        <v>0</v>
      </c>
      <c r="AF47" s="236">
        <f t="shared" si="14"/>
        <v>0</v>
      </c>
      <c r="AG47" s="236">
        <f t="shared" si="14"/>
        <v>0</v>
      </c>
      <c r="AH47" s="237">
        <f t="shared" si="14"/>
        <v>0</v>
      </c>
      <c r="AI47" s="162"/>
      <c r="AJ47" s="162"/>
      <c r="AK47" s="139">
        <f t="shared" si="15"/>
        <v>6000</v>
      </c>
      <c r="AL47" s="140">
        <f t="shared" si="15"/>
        <v>7100</v>
      </c>
      <c r="AM47" s="140">
        <f t="shared" si="15"/>
        <v>8200</v>
      </c>
      <c r="AN47" s="140">
        <f t="shared" si="15"/>
        <v>9300</v>
      </c>
      <c r="AO47" s="141">
        <f t="shared" si="15"/>
        <v>11500</v>
      </c>
    </row>
    <row r="48" spans="1:41" s="116" customFormat="1" outlineLevel="1">
      <c r="A48" s="324"/>
      <c r="B48" s="244" t="s">
        <v>181</v>
      </c>
      <c r="C48" s="218"/>
      <c r="D48" s="223"/>
      <c r="E48" s="172"/>
      <c r="F48" s="238"/>
      <c r="G48" s="236"/>
      <c r="H48" s="236"/>
      <c r="I48" s="236"/>
      <c r="J48" s="236"/>
      <c r="K48" s="238"/>
      <c r="L48" s="236"/>
      <c r="M48" s="236"/>
      <c r="N48" s="236"/>
      <c r="O48" s="236"/>
      <c r="P48" s="162"/>
      <c r="Q48" s="162"/>
      <c r="R48" s="238"/>
      <c r="S48" s="236"/>
      <c r="T48" s="236"/>
      <c r="U48" s="236"/>
      <c r="V48" s="236"/>
      <c r="W48" s="238"/>
      <c r="X48" s="236"/>
      <c r="Y48" s="236"/>
      <c r="Z48" s="236"/>
      <c r="AA48" s="236"/>
      <c r="AB48" s="162"/>
      <c r="AC48" s="162"/>
      <c r="AD48" s="238"/>
      <c r="AE48" s="236"/>
      <c r="AF48" s="236"/>
      <c r="AG48" s="236"/>
      <c r="AH48" s="237"/>
      <c r="AI48" s="162"/>
      <c r="AJ48" s="162"/>
      <c r="AK48" s="139">
        <f t="shared" si="15"/>
        <v>0</v>
      </c>
      <c r="AL48" s="140">
        <f t="shared" si="15"/>
        <v>0</v>
      </c>
      <c r="AM48" s="140">
        <f t="shared" si="15"/>
        <v>0</v>
      </c>
      <c r="AN48" s="140">
        <f t="shared" si="15"/>
        <v>0</v>
      </c>
      <c r="AO48" s="141">
        <f t="shared" si="15"/>
        <v>0</v>
      </c>
    </row>
    <row r="49" spans="1:41" s="116" customFormat="1" outlineLevel="1">
      <c r="A49" s="324"/>
      <c r="B49" s="244" t="s">
        <v>182</v>
      </c>
      <c r="C49" s="218"/>
      <c r="D49" s="223"/>
      <c r="E49" s="172"/>
      <c r="F49" s="238"/>
      <c r="G49" s="236"/>
      <c r="H49" s="236"/>
      <c r="I49" s="236"/>
      <c r="J49" s="236"/>
      <c r="K49" s="238"/>
      <c r="L49" s="236"/>
      <c r="M49" s="236"/>
      <c r="N49" s="236"/>
      <c r="O49" s="236"/>
      <c r="P49" s="162"/>
      <c r="Q49" s="162"/>
      <c r="R49" s="238"/>
      <c r="S49" s="236"/>
      <c r="T49" s="236"/>
      <c r="U49" s="236"/>
      <c r="V49" s="236"/>
      <c r="W49" s="238"/>
      <c r="X49" s="236"/>
      <c r="Y49" s="236"/>
      <c r="Z49" s="236"/>
      <c r="AA49" s="236"/>
      <c r="AB49" s="162"/>
      <c r="AC49" s="162"/>
      <c r="AD49" s="238"/>
      <c r="AE49" s="236"/>
      <c r="AF49" s="236"/>
      <c r="AG49" s="236"/>
      <c r="AH49" s="237"/>
      <c r="AI49" s="162"/>
      <c r="AJ49" s="162"/>
      <c r="AK49" s="139">
        <f t="shared" si="15"/>
        <v>0</v>
      </c>
      <c r="AL49" s="140">
        <f t="shared" si="15"/>
        <v>0</v>
      </c>
      <c r="AM49" s="140">
        <f t="shared" si="15"/>
        <v>0</v>
      </c>
      <c r="AN49" s="140">
        <f t="shared" si="15"/>
        <v>0</v>
      </c>
      <c r="AO49" s="141">
        <f t="shared" si="15"/>
        <v>0</v>
      </c>
    </row>
    <row r="50" spans="1:41" s="116" customFormat="1" outlineLevel="1">
      <c r="A50" s="324"/>
      <c r="B50" s="280" t="s">
        <v>183</v>
      </c>
      <c r="C50" s="226"/>
      <c r="D50" s="231"/>
      <c r="E50" s="172"/>
      <c r="F50" s="238"/>
      <c r="G50" s="236"/>
      <c r="H50" s="236"/>
      <c r="I50" s="236"/>
      <c r="J50" s="236"/>
      <c r="K50" s="238"/>
      <c r="L50" s="236"/>
      <c r="M50" s="236"/>
      <c r="N50" s="236"/>
      <c r="O50" s="236"/>
      <c r="P50" s="162"/>
      <c r="Q50" s="162"/>
      <c r="R50" s="238"/>
      <c r="S50" s="236"/>
      <c r="T50" s="236"/>
      <c r="U50" s="236"/>
      <c r="V50" s="236"/>
      <c r="W50" s="238"/>
      <c r="X50" s="236"/>
      <c r="Y50" s="236"/>
      <c r="Z50" s="236"/>
      <c r="AA50" s="236"/>
      <c r="AB50" s="162"/>
      <c r="AC50" s="162"/>
      <c r="AD50" s="281"/>
      <c r="AE50" s="239"/>
      <c r="AF50" s="239"/>
      <c r="AG50" s="239"/>
      <c r="AH50" s="282"/>
      <c r="AI50" s="162"/>
      <c r="AJ50" s="162"/>
      <c r="AK50" s="139">
        <f t="shared" si="15"/>
        <v>0</v>
      </c>
      <c r="AL50" s="140">
        <f t="shared" si="15"/>
        <v>0</v>
      </c>
      <c r="AM50" s="140">
        <f t="shared" si="15"/>
        <v>0</v>
      </c>
      <c r="AN50" s="140">
        <f t="shared" si="15"/>
        <v>0</v>
      </c>
      <c r="AO50" s="141">
        <f t="shared" si="15"/>
        <v>0</v>
      </c>
    </row>
    <row r="51" spans="1:41" s="285" customFormat="1" ht="15">
      <c r="A51" s="325" t="s">
        <v>136</v>
      </c>
      <c r="B51" s="326"/>
      <c r="C51" s="326"/>
      <c r="D51" s="326"/>
      <c r="E51" s="327"/>
      <c r="F51" s="283">
        <f t="shared" ref="F51:O51" si="16">SUM(F46:F50)</f>
        <v>14000</v>
      </c>
      <c r="G51" s="284">
        <f t="shared" si="16"/>
        <v>15000</v>
      </c>
      <c r="H51" s="284">
        <f t="shared" si="16"/>
        <v>16000</v>
      </c>
      <c r="I51" s="284">
        <f t="shared" si="16"/>
        <v>17000</v>
      </c>
      <c r="J51" s="284">
        <f t="shared" si="16"/>
        <v>19000</v>
      </c>
      <c r="K51" s="283">
        <f t="shared" si="16"/>
        <v>19000</v>
      </c>
      <c r="L51" s="284">
        <f t="shared" si="16"/>
        <v>19100</v>
      </c>
      <c r="M51" s="284">
        <f t="shared" si="16"/>
        <v>19200</v>
      </c>
      <c r="N51" s="284">
        <f t="shared" si="16"/>
        <v>19300</v>
      </c>
      <c r="O51" s="284">
        <f t="shared" si="16"/>
        <v>19500</v>
      </c>
      <c r="P51" s="164"/>
      <c r="Q51" s="164"/>
      <c r="R51" s="283">
        <f t="shared" ref="R51:AA51" si="17">SUM(R46:R50)</f>
        <v>0</v>
      </c>
      <c r="S51" s="284">
        <f t="shared" si="17"/>
        <v>0</v>
      </c>
      <c r="T51" s="284">
        <f t="shared" si="17"/>
        <v>0</v>
      </c>
      <c r="U51" s="284">
        <f t="shared" si="17"/>
        <v>0</v>
      </c>
      <c r="V51" s="284">
        <f t="shared" si="17"/>
        <v>0</v>
      </c>
      <c r="W51" s="283">
        <f t="shared" si="17"/>
        <v>0</v>
      </c>
      <c r="X51" s="284">
        <f t="shared" si="17"/>
        <v>0</v>
      </c>
      <c r="Y51" s="284">
        <f t="shared" si="17"/>
        <v>0</v>
      </c>
      <c r="Z51" s="284">
        <f t="shared" si="17"/>
        <v>0</v>
      </c>
      <c r="AA51" s="284">
        <f t="shared" si="17"/>
        <v>0</v>
      </c>
      <c r="AB51" s="164"/>
      <c r="AC51" s="164"/>
      <c r="AD51" s="283">
        <f>SUM(AD46:AD50)</f>
        <v>0</v>
      </c>
      <c r="AE51" s="284">
        <f>SUM(AE46:AE50)</f>
        <v>0</v>
      </c>
      <c r="AF51" s="284">
        <f>SUM(AF46:AF50)</f>
        <v>0</v>
      </c>
      <c r="AG51" s="284">
        <f>SUM(AG46:AG50)</f>
        <v>0</v>
      </c>
      <c r="AH51" s="284">
        <f>SUM(AH46:AH50)</f>
        <v>0</v>
      </c>
      <c r="AI51" s="164"/>
      <c r="AJ51" s="164"/>
      <c r="AK51" s="283">
        <f>SUM(AK46:AK50)</f>
        <v>33000</v>
      </c>
      <c r="AL51" s="284">
        <f>SUM(AL46:AL50)</f>
        <v>34100</v>
      </c>
      <c r="AM51" s="284">
        <f>SUM(AM46:AM50)</f>
        <v>35200</v>
      </c>
      <c r="AN51" s="284">
        <f>SUM(AN46:AN50)</f>
        <v>36300</v>
      </c>
      <c r="AO51" s="284">
        <f>SUM(AO46:AO50)</f>
        <v>38500</v>
      </c>
    </row>
    <row r="52" spans="1:41">
      <c r="E52" s="162"/>
      <c r="F52" s="66"/>
      <c r="G52" s="46"/>
      <c r="H52" s="46"/>
      <c r="I52" s="46"/>
      <c r="J52" s="46"/>
      <c r="K52" s="66"/>
      <c r="L52" s="46"/>
      <c r="M52" s="46"/>
      <c r="N52" s="46"/>
      <c r="O52" s="142"/>
      <c r="P52" s="162"/>
      <c r="Q52" s="162"/>
      <c r="R52" s="61"/>
      <c r="V52" s="62"/>
      <c r="W52" s="61"/>
      <c r="AA52" s="62"/>
      <c r="AB52" s="162"/>
      <c r="AC52" s="162"/>
      <c r="AD52" s="61"/>
      <c r="AH52" s="62"/>
      <c r="AI52" s="162"/>
      <c r="AJ52" s="162"/>
      <c r="AK52" s="61"/>
      <c r="AO52" s="62"/>
    </row>
    <row r="53" spans="1:41" s="292" customFormat="1" outlineLevel="1">
      <c r="A53" s="314" t="s">
        <v>184</v>
      </c>
      <c r="B53" s="286" t="s">
        <v>153</v>
      </c>
      <c r="C53" s="287" t="s">
        <v>132</v>
      </c>
      <c r="D53" s="288">
        <v>100</v>
      </c>
      <c r="E53" s="187"/>
      <c r="F53" s="272">
        <f t="shared" ref="F53:O53" si="18">$D$53*F5*F9</f>
        <v>600</v>
      </c>
      <c r="G53" s="273">
        <f t="shared" si="18"/>
        <v>525</v>
      </c>
      <c r="H53" s="273">
        <f t="shared" si="18"/>
        <v>530</v>
      </c>
      <c r="I53" s="273">
        <f t="shared" si="18"/>
        <v>321</v>
      </c>
      <c r="J53" s="274">
        <f t="shared" si="18"/>
        <v>327</v>
      </c>
      <c r="K53" s="272">
        <f t="shared" si="18"/>
        <v>500</v>
      </c>
      <c r="L53" s="273">
        <f t="shared" si="18"/>
        <v>525</v>
      </c>
      <c r="M53" s="273">
        <f t="shared" si="18"/>
        <v>530</v>
      </c>
      <c r="N53" s="273">
        <f t="shared" si="18"/>
        <v>535</v>
      </c>
      <c r="O53" s="274">
        <f t="shared" si="18"/>
        <v>545</v>
      </c>
      <c r="P53" s="187"/>
      <c r="Q53" s="187"/>
      <c r="R53" s="272">
        <f t="shared" ref="R53:AA53" si="19">$D$53*R5*R9</f>
        <v>0</v>
      </c>
      <c r="S53" s="273">
        <f t="shared" si="19"/>
        <v>0</v>
      </c>
      <c r="T53" s="273">
        <f t="shared" si="19"/>
        <v>0</v>
      </c>
      <c r="U53" s="273">
        <f t="shared" si="19"/>
        <v>0</v>
      </c>
      <c r="V53" s="274">
        <f t="shared" si="19"/>
        <v>0</v>
      </c>
      <c r="W53" s="272">
        <f t="shared" si="19"/>
        <v>0</v>
      </c>
      <c r="X53" s="273">
        <f t="shared" si="19"/>
        <v>0</v>
      </c>
      <c r="Y53" s="273">
        <f t="shared" si="19"/>
        <v>0</v>
      </c>
      <c r="Z53" s="273">
        <f t="shared" si="19"/>
        <v>0</v>
      </c>
      <c r="AA53" s="274">
        <f t="shared" si="19"/>
        <v>0</v>
      </c>
      <c r="AB53" s="187"/>
      <c r="AC53" s="187"/>
      <c r="AD53" s="272">
        <f>$D$53*AD5*AD9</f>
        <v>0</v>
      </c>
      <c r="AE53" s="273">
        <f>$D$53*AE5*AE9</f>
        <v>0</v>
      </c>
      <c r="AF53" s="273">
        <f>$D$53*AF5*AF9</f>
        <v>0</v>
      </c>
      <c r="AG53" s="273">
        <f>$D$53*AG5*AG9</f>
        <v>0</v>
      </c>
      <c r="AH53" s="274">
        <f>$D$53*AH5*AH9</f>
        <v>0</v>
      </c>
      <c r="AI53" s="187"/>
      <c r="AJ53" s="187"/>
      <c r="AK53" s="289">
        <f t="shared" ref="AK53:AO58" si="20">F53+K53+R53+W53+AD53</f>
        <v>1100</v>
      </c>
      <c r="AL53" s="290">
        <f t="shared" si="20"/>
        <v>1050</v>
      </c>
      <c r="AM53" s="290">
        <f t="shared" si="20"/>
        <v>1060</v>
      </c>
      <c r="AN53" s="290">
        <f t="shared" si="20"/>
        <v>856</v>
      </c>
      <c r="AO53" s="291">
        <f t="shared" si="20"/>
        <v>872</v>
      </c>
    </row>
    <row r="54" spans="1:41" outlineLevel="1">
      <c r="A54" s="315"/>
      <c r="B54" s="286" t="s">
        <v>154</v>
      </c>
      <c r="C54" s="219" t="s">
        <v>132</v>
      </c>
      <c r="D54" s="233">
        <v>2000</v>
      </c>
      <c r="E54" s="162"/>
      <c r="F54" s="238">
        <f t="shared" ref="F54:O54" si="21">$D$54*F5*F9</f>
        <v>12000</v>
      </c>
      <c r="G54" s="236">
        <f t="shared" si="21"/>
        <v>10500</v>
      </c>
      <c r="H54" s="236">
        <f t="shared" si="21"/>
        <v>10600</v>
      </c>
      <c r="I54" s="236">
        <f t="shared" si="21"/>
        <v>6420</v>
      </c>
      <c r="J54" s="237">
        <f t="shared" si="21"/>
        <v>6540.0000000000009</v>
      </c>
      <c r="K54" s="238">
        <f t="shared" si="21"/>
        <v>10000</v>
      </c>
      <c r="L54" s="236">
        <f t="shared" si="21"/>
        <v>10500</v>
      </c>
      <c r="M54" s="236">
        <f t="shared" si="21"/>
        <v>10600</v>
      </c>
      <c r="N54" s="236">
        <f t="shared" si="21"/>
        <v>10700</v>
      </c>
      <c r="O54" s="237">
        <f t="shared" si="21"/>
        <v>10900</v>
      </c>
      <c r="P54" s="162"/>
      <c r="Q54" s="162"/>
      <c r="R54" s="238">
        <f t="shared" ref="R54:AA54" si="22">$D$54*R5*R9</f>
        <v>0</v>
      </c>
      <c r="S54" s="236">
        <f t="shared" si="22"/>
        <v>0</v>
      </c>
      <c r="T54" s="236">
        <f t="shared" si="22"/>
        <v>0</v>
      </c>
      <c r="U54" s="236">
        <f t="shared" si="22"/>
        <v>0</v>
      </c>
      <c r="V54" s="237">
        <f t="shared" si="22"/>
        <v>0</v>
      </c>
      <c r="W54" s="238">
        <f t="shared" si="22"/>
        <v>0</v>
      </c>
      <c r="X54" s="236">
        <f t="shared" si="22"/>
        <v>0</v>
      </c>
      <c r="Y54" s="236">
        <f t="shared" si="22"/>
        <v>0</v>
      </c>
      <c r="Z54" s="236">
        <f t="shared" si="22"/>
        <v>0</v>
      </c>
      <c r="AA54" s="237">
        <f t="shared" si="22"/>
        <v>0</v>
      </c>
      <c r="AB54" s="162"/>
      <c r="AC54" s="162"/>
      <c r="AD54" s="238">
        <f>$D$54*AD5*AD9</f>
        <v>0</v>
      </c>
      <c r="AE54" s="236">
        <f>$D$54*AE5*AE9</f>
        <v>0</v>
      </c>
      <c r="AF54" s="236">
        <f>$D$54*AF5*AF9</f>
        <v>0</v>
      </c>
      <c r="AG54" s="236">
        <f>$D$54*AG5*AG9</f>
        <v>0</v>
      </c>
      <c r="AH54" s="237">
        <f>$D$54*AH5*AH9</f>
        <v>0</v>
      </c>
      <c r="AI54" s="162"/>
      <c r="AJ54" s="162"/>
      <c r="AK54" s="66">
        <f t="shared" si="20"/>
        <v>22000</v>
      </c>
      <c r="AL54" s="46">
        <f t="shared" si="20"/>
        <v>21000</v>
      </c>
      <c r="AM54" s="46">
        <f t="shared" si="20"/>
        <v>21200</v>
      </c>
      <c r="AN54" s="46">
        <f t="shared" si="20"/>
        <v>17120</v>
      </c>
      <c r="AO54" s="142">
        <f t="shared" si="20"/>
        <v>17440</v>
      </c>
    </row>
    <row r="55" spans="1:41" outlineLevel="1">
      <c r="A55" s="315"/>
      <c r="B55" s="286" t="s">
        <v>155</v>
      </c>
      <c r="C55" s="219" t="s">
        <v>132</v>
      </c>
      <c r="D55" s="233">
        <v>5000</v>
      </c>
      <c r="E55" s="162"/>
      <c r="F55" s="238">
        <f t="shared" ref="F55:O55" si="23">$D$55*F5*F9</f>
        <v>30000</v>
      </c>
      <c r="G55" s="236">
        <f t="shared" si="23"/>
        <v>26250</v>
      </c>
      <c r="H55" s="236">
        <f t="shared" si="23"/>
        <v>26500</v>
      </c>
      <c r="I55" s="236">
        <f t="shared" si="23"/>
        <v>16050.000000000002</v>
      </c>
      <c r="J55" s="237">
        <f t="shared" si="23"/>
        <v>16350.000000000002</v>
      </c>
      <c r="K55" s="238">
        <f t="shared" si="23"/>
        <v>25000</v>
      </c>
      <c r="L55" s="236">
        <f t="shared" si="23"/>
        <v>26250</v>
      </c>
      <c r="M55" s="236">
        <f t="shared" si="23"/>
        <v>26500</v>
      </c>
      <c r="N55" s="236">
        <f t="shared" si="23"/>
        <v>26750</v>
      </c>
      <c r="O55" s="237">
        <f t="shared" si="23"/>
        <v>27250.000000000004</v>
      </c>
      <c r="P55" s="162"/>
      <c r="Q55" s="162"/>
      <c r="R55" s="238">
        <f t="shared" ref="R55:AA55" si="24">$D$55*R5*R9</f>
        <v>0</v>
      </c>
      <c r="S55" s="236">
        <f t="shared" si="24"/>
        <v>0</v>
      </c>
      <c r="T55" s="236">
        <f t="shared" si="24"/>
        <v>0</v>
      </c>
      <c r="U55" s="236">
        <f t="shared" si="24"/>
        <v>0</v>
      </c>
      <c r="V55" s="237">
        <f t="shared" si="24"/>
        <v>0</v>
      </c>
      <c r="W55" s="238">
        <f t="shared" si="24"/>
        <v>0</v>
      </c>
      <c r="X55" s="236">
        <f t="shared" si="24"/>
        <v>0</v>
      </c>
      <c r="Y55" s="236">
        <f t="shared" si="24"/>
        <v>0</v>
      </c>
      <c r="Z55" s="236">
        <f t="shared" si="24"/>
        <v>0</v>
      </c>
      <c r="AA55" s="237">
        <f t="shared" si="24"/>
        <v>0</v>
      </c>
      <c r="AB55" s="162"/>
      <c r="AC55" s="162"/>
      <c r="AD55" s="238">
        <f>$D$55*AD5*AD9</f>
        <v>0</v>
      </c>
      <c r="AE55" s="236">
        <f>$D$55*AE5*AE9</f>
        <v>0</v>
      </c>
      <c r="AF55" s="236">
        <f>$D$55*AF5*AF9</f>
        <v>0</v>
      </c>
      <c r="AG55" s="236">
        <f>$D$55*AG5*AG9</f>
        <v>0</v>
      </c>
      <c r="AH55" s="237">
        <f>$D$55*AH5*AH9</f>
        <v>0</v>
      </c>
      <c r="AI55" s="162"/>
      <c r="AJ55" s="162"/>
      <c r="AK55" s="66">
        <f t="shared" si="20"/>
        <v>55000</v>
      </c>
      <c r="AL55" s="46">
        <f t="shared" si="20"/>
        <v>52500</v>
      </c>
      <c r="AM55" s="46">
        <f t="shared" si="20"/>
        <v>53000</v>
      </c>
      <c r="AN55" s="46">
        <f t="shared" si="20"/>
        <v>42800</v>
      </c>
      <c r="AO55" s="142">
        <f t="shared" si="20"/>
        <v>43600.000000000007</v>
      </c>
    </row>
    <row r="56" spans="1:41" outlineLevel="1">
      <c r="A56" s="315"/>
      <c r="B56" s="286" t="s">
        <v>143</v>
      </c>
      <c r="C56" s="219" t="s">
        <v>145</v>
      </c>
      <c r="D56" s="233">
        <v>15000</v>
      </c>
      <c r="E56" s="162"/>
      <c r="F56" s="238">
        <f>D56*F9</f>
        <v>15000</v>
      </c>
      <c r="G56" s="236">
        <f>F56*G9</f>
        <v>15750</v>
      </c>
      <c r="H56" s="236">
        <f>G56*H9</f>
        <v>16695</v>
      </c>
      <c r="I56" s="236">
        <f>H56*I9</f>
        <v>17863.650000000001</v>
      </c>
      <c r="J56" s="237">
        <f>I56*J9</f>
        <v>19471.378500000003</v>
      </c>
      <c r="K56" s="238">
        <f>I56*K9</f>
        <v>17863.650000000001</v>
      </c>
      <c r="L56" s="236">
        <f>K56*L9</f>
        <v>18756.832500000004</v>
      </c>
      <c r="M56" s="236">
        <f>L56*M9</f>
        <v>19882.242450000005</v>
      </c>
      <c r="N56" s="236">
        <f>M56*N9</f>
        <v>21273.999421500008</v>
      </c>
      <c r="O56" s="237">
        <f>N56*O9</f>
        <v>23188.659369435009</v>
      </c>
      <c r="P56" s="162"/>
      <c r="Q56" s="162"/>
      <c r="R56" s="238">
        <f>P56*R9</f>
        <v>0</v>
      </c>
      <c r="S56" s="236">
        <f>R56*S9</f>
        <v>0</v>
      </c>
      <c r="T56" s="236">
        <f>S56*T9</f>
        <v>0</v>
      </c>
      <c r="U56" s="236">
        <f>T56*U9</f>
        <v>0</v>
      </c>
      <c r="V56" s="237">
        <f>U56*V9</f>
        <v>0</v>
      </c>
      <c r="W56" s="238">
        <f>U56*W9</f>
        <v>0</v>
      </c>
      <c r="X56" s="236">
        <f>W56*X9</f>
        <v>0</v>
      </c>
      <c r="Y56" s="236">
        <f>X56*Y9</f>
        <v>0</v>
      </c>
      <c r="Z56" s="236">
        <f>Y56*Z9</f>
        <v>0</v>
      </c>
      <c r="AA56" s="237">
        <f>Z56*AA9</f>
        <v>0</v>
      </c>
      <c r="AB56" s="162"/>
      <c r="AC56" s="162"/>
      <c r="AD56" s="238">
        <f>AB56*AD9</f>
        <v>0</v>
      </c>
      <c r="AE56" s="236">
        <f>AD56*AE9</f>
        <v>0</v>
      </c>
      <c r="AF56" s="236">
        <f>AE56*AF9</f>
        <v>0</v>
      </c>
      <c r="AG56" s="236">
        <f>AF56*AG9</f>
        <v>0</v>
      </c>
      <c r="AH56" s="237">
        <f>AG56*AH9</f>
        <v>0</v>
      </c>
      <c r="AI56" s="162"/>
      <c r="AJ56" s="162"/>
      <c r="AK56" s="66">
        <f t="shared" si="20"/>
        <v>32863.65</v>
      </c>
      <c r="AL56" s="46">
        <f t="shared" si="20"/>
        <v>34506.832500000004</v>
      </c>
      <c r="AM56" s="46">
        <f t="shared" si="20"/>
        <v>36577.242450000005</v>
      </c>
      <c r="AN56" s="46">
        <f t="shared" si="20"/>
        <v>39137.649421500013</v>
      </c>
      <c r="AO56" s="142">
        <f t="shared" si="20"/>
        <v>42660.037869435007</v>
      </c>
    </row>
    <row r="57" spans="1:41" outlineLevel="1">
      <c r="A57" s="315"/>
      <c r="B57" s="286" t="s">
        <v>156</v>
      </c>
      <c r="C57" s="219" t="s">
        <v>157</v>
      </c>
      <c r="D57" s="233">
        <f>120*5500</f>
        <v>660000</v>
      </c>
      <c r="E57" s="171"/>
      <c r="F57" s="238">
        <f>D57</f>
        <v>660000</v>
      </c>
      <c r="G57" s="236"/>
      <c r="H57" s="236"/>
      <c r="I57" s="236"/>
      <c r="J57" s="237"/>
      <c r="K57" s="238"/>
      <c r="L57" s="236"/>
      <c r="M57" s="236"/>
      <c r="N57" s="236"/>
      <c r="O57" s="237"/>
      <c r="P57" s="162"/>
      <c r="Q57" s="162"/>
      <c r="R57" s="238"/>
      <c r="S57" s="236"/>
      <c r="T57" s="236"/>
      <c r="U57" s="236"/>
      <c r="V57" s="237"/>
      <c r="W57" s="238"/>
      <c r="X57" s="236"/>
      <c r="Y57" s="236"/>
      <c r="Z57" s="236"/>
      <c r="AA57" s="237"/>
      <c r="AB57" s="162"/>
      <c r="AC57" s="162"/>
      <c r="AD57" s="238"/>
      <c r="AE57" s="236"/>
      <c r="AF57" s="236"/>
      <c r="AG57" s="236"/>
      <c r="AH57" s="237"/>
      <c r="AI57" s="162"/>
      <c r="AJ57" s="162"/>
      <c r="AK57" s="66">
        <f t="shared" si="20"/>
        <v>660000</v>
      </c>
      <c r="AL57" s="46">
        <f t="shared" si="20"/>
        <v>0</v>
      </c>
      <c r="AM57" s="46">
        <f t="shared" si="20"/>
        <v>0</v>
      </c>
      <c r="AN57" s="46">
        <f t="shared" si="20"/>
        <v>0</v>
      </c>
      <c r="AO57" s="142">
        <f t="shared" si="20"/>
        <v>0</v>
      </c>
    </row>
    <row r="58" spans="1:41" s="296" customFormat="1" outlineLevel="1">
      <c r="A58" s="315"/>
      <c r="B58" s="286"/>
      <c r="C58" s="227"/>
      <c r="D58" s="227"/>
      <c r="E58" s="200"/>
      <c r="F58" s="226"/>
      <c r="G58" s="227"/>
      <c r="H58" s="227"/>
      <c r="I58" s="227"/>
      <c r="J58" s="231"/>
      <c r="K58" s="226"/>
      <c r="L58" s="227"/>
      <c r="M58" s="227"/>
      <c r="N58" s="227"/>
      <c r="O58" s="231"/>
      <c r="P58" s="200"/>
      <c r="Q58" s="200"/>
      <c r="R58" s="226"/>
      <c r="S58" s="227"/>
      <c r="T58" s="227"/>
      <c r="U58" s="227"/>
      <c r="V58" s="231"/>
      <c r="W58" s="226"/>
      <c r="X58" s="227"/>
      <c r="Y58" s="227"/>
      <c r="Z58" s="227"/>
      <c r="AA58" s="231"/>
      <c r="AB58" s="200"/>
      <c r="AC58" s="200"/>
      <c r="AD58" s="226"/>
      <c r="AE58" s="227"/>
      <c r="AF58" s="227"/>
      <c r="AG58" s="227"/>
      <c r="AH58" s="231"/>
      <c r="AI58" s="200"/>
      <c r="AJ58" s="200"/>
      <c r="AK58" s="293">
        <f t="shared" si="20"/>
        <v>0</v>
      </c>
      <c r="AL58" s="294">
        <f t="shared" si="20"/>
        <v>0</v>
      </c>
      <c r="AM58" s="294">
        <f t="shared" si="20"/>
        <v>0</v>
      </c>
      <c r="AN58" s="294">
        <f t="shared" si="20"/>
        <v>0</v>
      </c>
      <c r="AO58" s="295">
        <f t="shared" si="20"/>
        <v>0</v>
      </c>
    </row>
    <row r="59" spans="1:41" s="60" customFormat="1" ht="15">
      <c r="A59" s="349" t="s">
        <v>136</v>
      </c>
      <c r="B59" s="350"/>
      <c r="C59" s="350"/>
      <c r="D59" s="350"/>
      <c r="E59" s="351"/>
      <c r="F59" s="293">
        <f t="shared" ref="F59:O59" si="25">SUM(F53:F57)</f>
        <v>717600</v>
      </c>
      <c r="G59" s="294">
        <f t="shared" si="25"/>
        <v>53025</v>
      </c>
      <c r="H59" s="294">
        <f t="shared" si="25"/>
        <v>54325</v>
      </c>
      <c r="I59" s="294">
        <f t="shared" si="25"/>
        <v>40654.65</v>
      </c>
      <c r="J59" s="294">
        <f t="shared" si="25"/>
        <v>42688.378500000006</v>
      </c>
      <c r="K59" s="143">
        <f t="shared" si="25"/>
        <v>53363.65</v>
      </c>
      <c r="L59" s="117">
        <f t="shared" si="25"/>
        <v>56031.832500000004</v>
      </c>
      <c r="M59" s="117">
        <f t="shared" si="25"/>
        <v>57512.242450000005</v>
      </c>
      <c r="N59" s="117">
        <f t="shared" si="25"/>
        <v>59258.999421500004</v>
      </c>
      <c r="O59" s="297">
        <f t="shared" si="25"/>
        <v>61883.659369435009</v>
      </c>
      <c r="P59" s="164"/>
      <c r="Q59" s="164"/>
      <c r="R59" s="143">
        <f t="shared" ref="R59:AA59" si="26">SUM(R53:R57)</f>
        <v>0</v>
      </c>
      <c r="S59" s="117">
        <f t="shared" si="26"/>
        <v>0</v>
      </c>
      <c r="T59" s="117">
        <f t="shared" si="26"/>
        <v>0</v>
      </c>
      <c r="U59" s="117">
        <f t="shared" si="26"/>
        <v>0</v>
      </c>
      <c r="V59" s="297">
        <f t="shared" si="26"/>
        <v>0</v>
      </c>
      <c r="W59" s="143">
        <f t="shared" si="26"/>
        <v>0</v>
      </c>
      <c r="X59" s="117">
        <f t="shared" si="26"/>
        <v>0</v>
      </c>
      <c r="Y59" s="117">
        <f t="shared" si="26"/>
        <v>0</v>
      </c>
      <c r="Z59" s="117">
        <f t="shared" si="26"/>
        <v>0</v>
      </c>
      <c r="AA59" s="297">
        <f t="shared" si="26"/>
        <v>0</v>
      </c>
      <c r="AB59" s="164"/>
      <c r="AC59" s="164"/>
      <c r="AD59" s="143">
        <f>SUM(AD53:AD57)</f>
        <v>0</v>
      </c>
      <c r="AE59" s="117">
        <f>SUM(AE53:AE57)</f>
        <v>0</v>
      </c>
      <c r="AF59" s="117">
        <f>SUM(AF53:AF57)</f>
        <v>0</v>
      </c>
      <c r="AG59" s="117">
        <f>SUM(AG53:AG57)</f>
        <v>0</v>
      </c>
      <c r="AH59" s="297">
        <f>SUM(AH53:AH57)</f>
        <v>0</v>
      </c>
      <c r="AI59" s="164"/>
      <c r="AJ59" s="164"/>
      <c r="AK59" s="143">
        <f>SUM(AK53:AK57)</f>
        <v>770963.65</v>
      </c>
      <c r="AL59" s="117">
        <f>SUM(AL53:AL57)</f>
        <v>109056.8325</v>
      </c>
      <c r="AM59" s="117">
        <f>SUM(AM53:AM57)</f>
        <v>111837.24245000001</v>
      </c>
      <c r="AN59" s="117">
        <f>SUM(AN53:AN57)</f>
        <v>99913.649421500013</v>
      </c>
      <c r="AO59" s="297">
        <f>SUM(AO53:AO57)</f>
        <v>104572.03786943501</v>
      </c>
    </row>
    <row r="60" spans="1:41">
      <c r="E60" s="162"/>
      <c r="F60" s="61"/>
      <c r="K60" s="61"/>
      <c r="O60" s="62"/>
      <c r="P60" s="162"/>
      <c r="Q60" s="162"/>
      <c r="R60" s="61"/>
      <c r="V60" s="62"/>
      <c r="W60" s="61"/>
      <c r="AA60" s="62"/>
      <c r="AB60" s="162"/>
      <c r="AC60" s="162"/>
      <c r="AD60" s="61"/>
      <c r="AH60" s="62"/>
      <c r="AI60" s="162"/>
      <c r="AJ60" s="162"/>
      <c r="AK60" s="61"/>
      <c r="AO60" s="62"/>
    </row>
    <row r="61" spans="1:41">
      <c r="E61" s="162"/>
      <c r="F61" s="61"/>
      <c r="K61" s="61"/>
      <c r="O61" s="62"/>
      <c r="P61" s="162"/>
      <c r="Q61" s="162"/>
      <c r="R61" s="61"/>
      <c r="V61" s="62"/>
      <c r="W61" s="61"/>
      <c r="AA61" s="62"/>
      <c r="AB61" s="162"/>
      <c r="AC61" s="162"/>
      <c r="AD61" s="61"/>
      <c r="AH61" s="62"/>
      <c r="AI61" s="162"/>
      <c r="AJ61" s="162"/>
      <c r="AK61" s="61"/>
      <c r="AO61" s="62"/>
    </row>
    <row r="62" spans="1:41">
      <c r="A62" t="s">
        <v>129</v>
      </c>
      <c r="E62" s="162"/>
      <c r="F62" s="61"/>
      <c r="K62" s="61"/>
      <c r="O62" s="62"/>
      <c r="P62" s="162"/>
      <c r="Q62" s="162"/>
      <c r="R62" s="61"/>
      <c r="V62" s="62"/>
      <c r="W62" s="61"/>
      <c r="AA62" s="62"/>
      <c r="AB62" s="162"/>
      <c r="AC62" s="162"/>
      <c r="AD62" s="61"/>
      <c r="AH62" s="62"/>
      <c r="AI62" s="162"/>
      <c r="AJ62" s="162"/>
      <c r="AK62" s="61"/>
      <c r="AO62" s="62"/>
    </row>
    <row r="63" spans="1:41" ht="15" thickBot="1">
      <c r="C63" t="s">
        <v>146</v>
      </c>
      <c r="D63">
        <v>1E-3</v>
      </c>
      <c r="E63" s="162"/>
      <c r="F63" s="61"/>
      <c r="K63" s="61"/>
      <c r="O63" s="62"/>
      <c r="P63" s="162"/>
      <c r="Q63" s="162"/>
      <c r="R63" s="61"/>
      <c r="V63" s="62"/>
      <c r="W63" s="61"/>
      <c r="AA63" s="62"/>
      <c r="AB63" s="162"/>
      <c r="AC63" s="162"/>
      <c r="AD63" s="61"/>
      <c r="AH63" s="62"/>
      <c r="AI63" s="162"/>
      <c r="AJ63" s="162"/>
      <c r="AK63" s="61"/>
      <c r="AO63" s="62"/>
    </row>
    <row r="64" spans="1:41" ht="15" thickBot="1">
      <c r="C64" t="s">
        <v>147</v>
      </c>
      <c r="D64" t="s">
        <v>110</v>
      </c>
      <c r="E64" s="162"/>
      <c r="F64" s="149">
        <f t="shared" ref="F64:O64" si="27">F59+F44+F40+F34+F17</f>
        <v>780600</v>
      </c>
      <c r="G64" s="150">
        <f t="shared" si="27"/>
        <v>350275</v>
      </c>
      <c r="H64" s="150">
        <f t="shared" si="27"/>
        <v>54325</v>
      </c>
      <c r="I64" s="150">
        <f t="shared" si="27"/>
        <v>40654.65</v>
      </c>
      <c r="J64" s="150">
        <f t="shared" si="27"/>
        <v>42688.378500000006</v>
      </c>
      <c r="K64" s="149">
        <f t="shared" si="27"/>
        <v>61363.65</v>
      </c>
      <c r="L64" s="150">
        <f t="shared" si="27"/>
        <v>70031.832500000004</v>
      </c>
      <c r="M64" s="150">
        <f t="shared" si="27"/>
        <v>57512.242450000005</v>
      </c>
      <c r="N64" s="150">
        <f t="shared" si="27"/>
        <v>59258.999421500004</v>
      </c>
      <c r="O64" s="150">
        <f t="shared" si="27"/>
        <v>61883.659369435009</v>
      </c>
      <c r="P64" s="162"/>
      <c r="Q64" s="162"/>
      <c r="R64" s="149">
        <f t="shared" ref="R64:AA64" si="28">R59+R44+R40+R34+R17</f>
        <v>681000.6</v>
      </c>
      <c r="S64" s="150">
        <f t="shared" si="28"/>
        <v>0</v>
      </c>
      <c r="T64" s="150">
        <f t="shared" si="28"/>
        <v>0</v>
      </c>
      <c r="U64" s="150">
        <f t="shared" si="28"/>
        <v>0</v>
      </c>
      <c r="V64" s="150">
        <f t="shared" si="28"/>
        <v>0</v>
      </c>
      <c r="W64" s="149">
        <f t="shared" si="28"/>
        <v>373500.2</v>
      </c>
      <c r="X64" s="150">
        <f t="shared" si="28"/>
        <v>0</v>
      </c>
      <c r="Y64" s="150">
        <f t="shared" si="28"/>
        <v>0</v>
      </c>
      <c r="Z64" s="150">
        <f t="shared" si="28"/>
        <v>0</v>
      </c>
      <c r="AA64" s="150">
        <f t="shared" si="28"/>
        <v>0</v>
      </c>
      <c r="AB64" s="162"/>
      <c r="AC64" s="162"/>
      <c r="AD64" s="149">
        <f>AD59+AD44+AD40+AD34+AD17</f>
        <v>111000.2</v>
      </c>
      <c r="AE64" s="150">
        <f>AE59+AE44+AE40+AE34+AE17</f>
        <v>0</v>
      </c>
      <c r="AF64" s="150">
        <f>AF59+AF44+AF40+AF34+AF17</f>
        <v>0</v>
      </c>
      <c r="AG64" s="150">
        <f>AG59+AG44+AG40+AG34+AG17</f>
        <v>0</v>
      </c>
      <c r="AH64" s="150">
        <f>AH59+AH44+AH40+AH34+AH17</f>
        <v>0</v>
      </c>
      <c r="AI64" s="162"/>
      <c r="AJ64" s="162"/>
      <c r="AK64" s="149">
        <f t="shared" ref="AK64:AO66" si="29">F64+K64+R64+W64+AD64</f>
        <v>2007464.65</v>
      </c>
      <c r="AL64" s="150">
        <f t="shared" si="29"/>
        <v>420306.83250000002</v>
      </c>
      <c r="AM64" s="150">
        <f t="shared" si="29"/>
        <v>111837.24245000001</v>
      </c>
      <c r="AN64" s="150">
        <f t="shared" si="29"/>
        <v>99913.649421500013</v>
      </c>
      <c r="AO64" s="150">
        <f t="shared" si="29"/>
        <v>104572.03786943501</v>
      </c>
    </row>
    <row r="65" spans="3:41" ht="15" thickBot="1">
      <c r="E65" s="162"/>
      <c r="F65" s="66">
        <f t="shared" ref="F65:O65" si="30">F64*$D$63</f>
        <v>780.6</v>
      </c>
      <c r="G65" s="46">
        <f t="shared" si="30"/>
        <v>350.27500000000003</v>
      </c>
      <c r="H65" s="46">
        <f t="shared" si="30"/>
        <v>54.325000000000003</v>
      </c>
      <c r="I65" s="46">
        <f t="shared" si="30"/>
        <v>40.654650000000004</v>
      </c>
      <c r="J65" s="46">
        <f t="shared" si="30"/>
        <v>42.688378500000006</v>
      </c>
      <c r="K65" s="66">
        <f t="shared" si="30"/>
        <v>61.36365</v>
      </c>
      <c r="L65" s="46">
        <f t="shared" si="30"/>
        <v>70.031832500000007</v>
      </c>
      <c r="M65" s="46">
        <f t="shared" si="30"/>
        <v>57.512242450000009</v>
      </c>
      <c r="N65" s="46">
        <f t="shared" si="30"/>
        <v>59.258999421500008</v>
      </c>
      <c r="O65" s="46">
        <f t="shared" si="30"/>
        <v>61.883659369435009</v>
      </c>
      <c r="P65" s="162"/>
      <c r="Q65" s="162"/>
      <c r="R65" s="66">
        <f t="shared" ref="R65:AA65" si="31">R64*$D$63</f>
        <v>681.00059999999996</v>
      </c>
      <c r="S65" s="46">
        <f t="shared" si="31"/>
        <v>0</v>
      </c>
      <c r="T65" s="46">
        <f t="shared" si="31"/>
        <v>0</v>
      </c>
      <c r="U65" s="46">
        <f t="shared" si="31"/>
        <v>0</v>
      </c>
      <c r="V65" s="46">
        <f t="shared" si="31"/>
        <v>0</v>
      </c>
      <c r="W65" s="66">
        <f t="shared" si="31"/>
        <v>373.50020000000001</v>
      </c>
      <c r="X65" s="46">
        <f t="shared" si="31"/>
        <v>0</v>
      </c>
      <c r="Y65" s="46">
        <f t="shared" si="31"/>
        <v>0</v>
      </c>
      <c r="Z65" s="46">
        <f t="shared" si="31"/>
        <v>0</v>
      </c>
      <c r="AA65" s="46">
        <f t="shared" si="31"/>
        <v>0</v>
      </c>
      <c r="AB65" s="162"/>
      <c r="AC65" s="162"/>
      <c r="AD65" s="66">
        <f>AD64*$D$63</f>
        <v>111.00019999999999</v>
      </c>
      <c r="AE65" s="46">
        <f>AE64*$D$63</f>
        <v>0</v>
      </c>
      <c r="AF65" s="46">
        <f>AF64*$D$63</f>
        <v>0</v>
      </c>
      <c r="AG65" s="46">
        <f>AG64*$D$63</f>
        <v>0</v>
      </c>
      <c r="AH65" s="46">
        <f>AH64*$D$63</f>
        <v>0</v>
      </c>
      <c r="AI65" s="162"/>
      <c r="AJ65" s="162"/>
      <c r="AK65" s="66">
        <f t="shared" si="29"/>
        <v>2007.4646499999999</v>
      </c>
      <c r="AL65" s="46">
        <f t="shared" si="29"/>
        <v>420.30683250000004</v>
      </c>
      <c r="AM65" s="46">
        <f t="shared" si="29"/>
        <v>111.83724245000002</v>
      </c>
      <c r="AN65" s="46">
        <f t="shared" si="29"/>
        <v>99.913649421500011</v>
      </c>
      <c r="AO65" s="46">
        <f t="shared" si="29"/>
        <v>104.57203786943501</v>
      </c>
    </row>
    <row r="66" spans="3:41" ht="15.75" thickBot="1">
      <c r="C66" t="s">
        <v>133</v>
      </c>
      <c r="E66" s="162"/>
      <c r="F66" s="152">
        <f t="shared" ref="F66:O66" si="32">F64+F65</f>
        <v>781380.6</v>
      </c>
      <c r="G66" s="153">
        <f t="shared" si="32"/>
        <v>350625.27500000002</v>
      </c>
      <c r="H66" s="153">
        <f t="shared" si="32"/>
        <v>54379.324999999997</v>
      </c>
      <c r="I66" s="153">
        <f t="shared" si="32"/>
        <v>40695.304649999998</v>
      </c>
      <c r="J66" s="153">
        <f t="shared" si="32"/>
        <v>42731.066878500009</v>
      </c>
      <c r="K66" s="152">
        <f t="shared" si="32"/>
        <v>61425.013650000001</v>
      </c>
      <c r="L66" s="153">
        <f t="shared" si="32"/>
        <v>70101.864332500001</v>
      </c>
      <c r="M66" s="153">
        <f t="shared" si="32"/>
        <v>57569.754692450006</v>
      </c>
      <c r="N66" s="153">
        <f t="shared" si="32"/>
        <v>59318.258420921506</v>
      </c>
      <c r="O66" s="153">
        <f t="shared" si="32"/>
        <v>61945.543028804444</v>
      </c>
      <c r="P66" s="162"/>
      <c r="Q66" s="162"/>
      <c r="R66" s="152">
        <f t="shared" ref="R66:AA66" si="33">R64+R65</f>
        <v>681681.60060000001</v>
      </c>
      <c r="S66" s="153">
        <f t="shared" si="33"/>
        <v>0</v>
      </c>
      <c r="T66" s="153">
        <f t="shared" si="33"/>
        <v>0</v>
      </c>
      <c r="U66" s="153">
        <f t="shared" si="33"/>
        <v>0</v>
      </c>
      <c r="V66" s="153">
        <f t="shared" si="33"/>
        <v>0</v>
      </c>
      <c r="W66" s="152">
        <f t="shared" si="33"/>
        <v>373873.70020000002</v>
      </c>
      <c r="X66" s="153">
        <f t="shared" si="33"/>
        <v>0</v>
      </c>
      <c r="Y66" s="153">
        <f t="shared" si="33"/>
        <v>0</v>
      </c>
      <c r="Z66" s="153">
        <f t="shared" si="33"/>
        <v>0</v>
      </c>
      <c r="AA66" s="153">
        <f t="shared" si="33"/>
        <v>0</v>
      </c>
      <c r="AB66" s="162"/>
      <c r="AC66" s="162"/>
      <c r="AD66" s="152">
        <f>AD64+AD65</f>
        <v>111111.20019999999</v>
      </c>
      <c r="AE66" s="153">
        <f>AE64+AE65</f>
        <v>0</v>
      </c>
      <c r="AF66" s="153">
        <f>AF64+AF65</f>
        <v>0</v>
      </c>
      <c r="AG66" s="153">
        <f>AG64+AG65</f>
        <v>0</v>
      </c>
      <c r="AH66" s="153">
        <f>AH64+AH65</f>
        <v>0</v>
      </c>
      <c r="AI66" s="162"/>
      <c r="AJ66" s="162"/>
      <c r="AK66" s="152">
        <f t="shared" si="29"/>
        <v>2009472.1146500001</v>
      </c>
      <c r="AL66" s="153">
        <f t="shared" si="29"/>
        <v>420727.13933250005</v>
      </c>
      <c r="AM66" s="153">
        <f t="shared" si="29"/>
        <v>111949.07969245</v>
      </c>
      <c r="AN66" s="153">
        <f t="shared" si="29"/>
        <v>100013.5630709215</v>
      </c>
      <c r="AO66" s="153">
        <f t="shared" si="29"/>
        <v>104676.60990730446</v>
      </c>
    </row>
  </sheetData>
  <mergeCells count="36">
    <mergeCell ref="C4:D4"/>
    <mergeCell ref="AK2:AO2"/>
    <mergeCell ref="F3:J3"/>
    <mergeCell ref="K3:O3"/>
    <mergeCell ref="R3:V3"/>
    <mergeCell ref="W3:AA3"/>
    <mergeCell ref="AD3:AH3"/>
    <mergeCell ref="AK3:AO3"/>
    <mergeCell ref="AD2:AH2"/>
    <mergeCell ref="A1:N1"/>
    <mergeCell ref="F2:J2"/>
    <mergeCell ref="K2:O2"/>
    <mergeCell ref="R2:V2"/>
    <mergeCell ref="W2:AA2"/>
    <mergeCell ref="A11:A16"/>
    <mergeCell ref="B11:B12"/>
    <mergeCell ref="B13:B14"/>
    <mergeCell ref="B15:B16"/>
    <mergeCell ref="A17:E17"/>
    <mergeCell ref="A19:A21"/>
    <mergeCell ref="A22:A24"/>
    <mergeCell ref="A25:A27"/>
    <mergeCell ref="A28:A30"/>
    <mergeCell ref="A31:A33"/>
    <mergeCell ref="A34:E34"/>
    <mergeCell ref="A36:A39"/>
    <mergeCell ref="B36:B37"/>
    <mergeCell ref="B38:B39"/>
    <mergeCell ref="A40:E40"/>
    <mergeCell ref="A53:A58"/>
    <mergeCell ref="A59:E59"/>
    <mergeCell ref="A42:A43"/>
    <mergeCell ref="B42:B43"/>
    <mergeCell ref="A44:E44"/>
    <mergeCell ref="A46:A50"/>
    <mergeCell ref="A51:E5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E10C0-B796-4A03-977A-A48B43D29784}">
  <dimension ref="A1:FI64"/>
  <sheetViews>
    <sheetView workbookViewId="0">
      <selection activeCell="C30" sqref="C30"/>
    </sheetView>
  </sheetViews>
  <sheetFormatPr defaultRowHeight="14.25"/>
  <cols>
    <col min="1" max="1" width="35.125" customWidth="1"/>
    <col min="2" max="2" width="23.125" bestFit="1" customWidth="1"/>
    <col min="4" max="4" width="12" bestFit="1" customWidth="1"/>
    <col min="11" max="11" width="10.75" bestFit="1" customWidth="1"/>
    <col min="13" max="13" width="10.75" bestFit="1" customWidth="1"/>
    <col min="15" max="15" width="10.75" bestFit="1" customWidth="1"/>
    <col min="17" max="17" width="11.75" bestFit="1" customWidth="1"/>
    <col min="19" max="19" width="11.75" bestFit="1" customWidth="1"/>
    <col min="21" max="21" width="11.75" bestFit="1" customWidth="1"/>
    <col min="23" max="23" width="11.75" bestFit="1" customWidth="1"/>
    <col min="25" max="25" width="11.75" bestFit="1" customWidth="1"/>
    <col min="27" max="27" width="11.75" bestFit="1" customWidth="1"/>
    <col min="29" max="29" width="11.75" bestFit="1" customWidth="1"/>
    <col min="31" max="31" width="11.75" bestFit="1" customWidth="1"/>
    <col min="33" max="33" width="11.75" bestFit="1" customWidth="1"/>
    <col min="35" max="35" width="23.125" bestFit="1" customWidth="1"/>
    <col min="37" max="37" width="12" bestFit="1" customWidth="1"/>
    <col min="44" max="44" width="11.75" bestFit="1" customWidth="1"/>
    <col min="46" max="46" width="11.75" bestFit="1" customWidth="1"/>
    <col min="48" max="48" width="11.75" bestFit="1" customWidth="1"/>
    <col min="50" max="50" width="11.75" bestFit="1" customWidth="1"/>
    <col min="52" max="52" width="11.75" bestFit="1" customWidth="1"/>
    <col min="54" max="54" width="11.75" bestFit="1" customWidth="1"/>
    <col min="56" max="56" width="11.75" bestFit="1" customWidth="1"/>
    <col min="58" max="58" width="11.75" bestFit="1" customWidth="1"/>
    <col min="60" max="60" width="11.75" bestFit="1" customWidth="1"/>
    <col min="62" max="62" width="11.75" bestFit="1" customWidth="1"/>
    <col min="64" max="64" width="11.75" bestFit="1" customWidth="1"/>
    <col min="66" max="66" width="11.75" bestFit="1" customWidth="1"/>
    <col min="77" max="77" width="10.25" bestFit="1" customWidth="1"/>
    <col min="79" max="79" width="10.25" bestFit="1" customWidth="1"/>
    <col min="81" max="81" width="10.25" bestFit="1" customWidth="1"/>
    <col min="83" max="83" width="10.25" bestFit="1" customWidth="1"/>
    <col min="85" max="85" width="10.25" bestFit="1" customWidth="1"/>
    <col min="87" max="87" width="10.25" bestFit="1" customWidth="1"/>
    <col min="89" max="89" width="10.25" bestFit="1" customWidth="1"/>
    <col min="91" max="91" width="10.25" bestFit="1" customWidth="1"/>
    <col min="93" max="93" width="10.25" bestFit="1" customWidth="1"/>
    <col min="95" max="95" width="10.25" bestFit="1" customWidth="1"/>
    <col min="97" max="97" width="10.25" bestFit="1" customWidth="1"/>
    <col min="99" max="99" width="10.25" bestFit="1" customWidth="1"/>
  </cols>
  <sheetData>
    <row r="1" spans="1:165" ht="99" customHeight="1" thickBot="1">
      <c r="A1" s="30"/>
      <c r="B1" s="376" t="s">
        <v>187</v>
      </c>
      <c r="C1" s="376"/>
      <c r="D1" s="376"/>
      <c r="E1" s="376"/>
      <c r="F1" s="376"/>
      <c r="G1" s="376"/>
      <c r="H1" s="376"/>
      <c r="I1" s="376"/>
      <c r="J1" s="376"/>
      <c r="K1" s="376"/>
      <c r="L1" s="376"/>
      <c r="M1" s="376"/>
      <c r="N1" s="376"/>
    </row>
    <row r="2" spans="1:165" ht="15" thickBot="1">
      <c r="B2" s="381" t="s">
        <v>41</v>
      </c>
      <c r="C2" s="382"/>
      <c r="D2" s="382"/>
      <c r="E2" s="382"/>
      <c r="F2" s="382"/>
      <c r="G2" s="382"/>
      <c r="H2" s="382"/>
      <c r="I2" s="382"/>
      <c r="J2" s="382"/>
      <c r="K2" s="382"/>
      <c r="L2" s="382"/>
      <c r="M2" s="382"/>
      <c r="N2" s="382"/>
      <c r="O2" s="382"/>
      <c r="P2" s="382"/>
      <c r="Q2" s="382"/>
      <c r="R2" s="382"/>
      <c r="S2" s="382"/>
      <c r="T2" s="382"/>
      <c r="U2" s="382"/>
      <c r="V2" s="382"/>
      <c r="W2" s="382"/>
      <c r="X2" s="382"/>
      <c r="Y2" s="382"/>
      <c r="Z2" s="382"/>
      <c r="AA2" s="382"/>
      <c r="AB2" s="382"/>
      <c r="AC2" s="382"/>
      <c r="AD2" s="382"/>
      <c r="AE2" s="382"/>
      <c r="AF2" s="382"/>
      <c r="AG2" s="383"/>
      <c r="AI2" s="381" t="s">
        <v>82</v>
      </c>
      <c r="AJ2" s="382"/>
      <c r="AK2" s="382"/>
      <c r="AL2" s="382"/>
      <c r="AM2" s="382"/>
      <c r="AN2" s="382"/>
      <c r="AO2" s="382"/>
      <c r="AP2" s="382"/>
      <c r="AQ2" s="382"/>
      <c r="AR2" s="382"/>
      <c r="AS2" s="382"/>
      <c r="AT2" s="382"/>
      <c r="AU2" s="382"/>
      <c r="AV2" s="382"/>
      <c r="AW2" s="382"/>
      <c r="AX2" s="382"/>
      <c r="AY2" s="382"/>
      <c r="AZ2" s="382"/>
      <c r="BA2" s="382"/>
      <c r="BB2" s="382"/>
      <c r="BC2" s="382"/>
      <c r="BD2" s="382"/>
      <c r="BE2" s="382"/>
      <c r="BF2" s="382"/>
      <c r="BG2" s="382"/>
      <c r="BH2" s="382"/>
      <c r="BI2" s="382"/>
      <c r="BJ2" s="382"/>
      <c r="BK2" s="382"/>
      <c r="BL2" s="382"/>
      <c r="BM2" s="382"/>
      <c r="BN2" s="383"/>
      <c r="BP2" s="381" t="s">
        <v>158</v>
      </c>
      <c r="BQ2" s="382"/>
      <c r="BR2" s="382"/>
      <c r="BS2" s="382"/>
      <c r="BT2" s="382"/>
      <c r="BU2" s="382"/>
      <c r="BV2" s="382"/>
      <c r="BW2" s="382"/>
      <c r="BX2" s="382"/>
      <c r="BY2" s="382"/>
      <c r="BZ2" s="382"/>
      <c r="CA2" s="382"/>
      <c r="CB2" s="382"/>
      <c r="CC2" s="382"/>
      <c r="CD2" s="382"/>
      <c r="CE2" s="382"/>
      <c r="CF2" s="382"/>
      <c r="CG2" s="382"/>
      <c r="CH2" s="382"/>
      <c r="CI2" s="382"/>
      <c r="CJ2" s="382"/>
      <c r="CK2" s="382"/>
      <c r="CL2" s="382"/>
      <c r="CM2" s="382"/>
      <c r="CN2" s="382"/>
      <c r="CO2" s="382"/>
      <c r="CP2" s="382"/>
      <c r="CQ2" s="382"/>
      <c r="CR2" s="382"/>
      <c r="CS2" s="382"/>
      <c r="CT2" s="382"/>
      <c r="CU2" s="383"/>
      <c r="CW2" s="381" t="s">
        <v>159</v>
      </c>
      <c r="CX2" s="382"/>
      <c r="CY2" s="382"/>
      <c r="CZ2" s="382"/>
      <c r="DA2" s="382"/>
      <c r="DB2" s="382"/>
      <c r="DC2" s="382"/>
      <c r="DD2" s="382"/>
      <c r="DE2" s="382"/>
      <c r="DF2" s="382"/>
      <c r="DG2" s="382"/>
      <c r="DH2" s="382"/>
      <c r="DI2" s="382"/>
      <c r="DJ2" s="382"/>
      <c r="DK2" s="382"/>
      <c r="DL2" s="382"/>
      <c r="DM2" s="382"/>
      <c r="DN2" s="382"/>
      <c r="DO2" s="382"/>
      <c r="DP2" s="382"/>
      <c r="DQ2" s="382"/>
      <c r="DR2" s="382"/>
      <c r="DS2" s="382"/>
      <c r="DT2" s="382"/>
      <c r="DU2" s="382"/>
      <c r="DV2" s="382"/>
      <c r="DW2" s="382"/>
      <c r="DX2" s="382"/>
      <c r="DY2" s="382"/>
      <c r="DZ2" s="382"/>
      <c r="EA2" s="382"/>
      <c r="EB2" s="383"/>
      <c r="ED2" s="381" t="s">
        <v>160</v>
      </c>
      <c r="EE2" s="382"/>
      <c r="EF2" s="382"/>
      <c r="EG2" s="382"/>
      <c r="EH2" s="382"/>
      <c r="EI2" s="382"/>
      <c r="EJ2" s="382"/>
      <c r="EK2" s="382"/>
      <c r="EL2" s="382"/>
      <c r="EM2" s="382"/>
      <c r="EN2" s="382"/>
      <c r="EO2" s="382"/>
      <c r="EP2" s="382"/>
      <c r="EQ2" s="382"/>
      <c r="ER2" s="382"/>
      <c r="ES2" s="382"/>
      <c r="ET2" s="382"/>
      <c r="EU2" s="382"/>
      <c r="EV2" s="382"/>
      <c r="EW2" s="382"/>
      <c r="EX2" s="382"/>
      <c r="EY2" s="382"/>
      <c r="EZ2" s="382"/>
      <c r="FA2" s="382"/>
      <c r="FB2" s="382"/>
      <c r="FC2" s="382"/>
      <c r="FD2" s="382"/>
      <c r="FE2" s="382"/>
      <c r="FF2" s="382"/>
      <c r="FG2" s="382"/>
      <c r="FH2" s="382"/>
      <c r="FI2" s="383"/>
    </row>
    <row r="3" spans="1:165">
      <c r="B3" s="29"/>
      <c r="C3" s="5"/>
      <c r="D3" s="5" t="s">
        <v>36</v>
      </c>
      <c r="E3" s="5">
        <v>2080</v>
      </c>
      <c r="F3" s="5"/>
      <c r="G3" s="5"/>
      <c r="H3" s="5"/>
      <c r="I3" s="5"/>
      <c r="J3" s="377" t="s">
        <v>9</v>
      </c>
      <c r="K3" s="378"/>
      <c r="L3" s="377" t="s">
        <v>9</v>
      </c>
      <c r="M3" s="378"/>
      <c r="N3" s="377" t="s">
        <v>9</v>
      </c>
      <c r="O3" s="378"/>
      <c r="P3" s="377" t="s">
        <v>9</v>
      </c>
      <c r="Q3" s="378"/>
      <c r="R3" s="377" t="s">
        <v>9</v>
      </c>
      <c r="S3" s="378"/>
      <c r="T3" s="377" t="s">
        <v>9</v>
      </c>
      <c r="U3" s="378"/>
      <c r="V3" s="377" t="s">
        <v>9</v>
      </c>
      <c r="W3" s="378"/>
      <c r="X3" s="377" t="s">
        <v>9</v>
      </c>
      <c r="Y3" s="378"/>
      <c r="Z3" s="377" t="s">
        <v>9</v>
      </c>
      <c r="AA3" s="378"/>
      <c r="AB3" s="377" t="s">
        <v>9</v>
      </c>
      <c r="AC3" s="378"/>
      <c r="AD3" s="377" t="s">
        <v>9</v>
      </c>
      <c r="AE3" s="378"/>
      <c r="AF3" s="377" t="s">
        <v>9</v>
      </c>
      <c r="AG3" s="378"/>
      <c r="AI3" s="29"/>
      <c r="AJ3" s="5"/>
      <c r="AK3" s="5" t="s">
        <v>36</v>
      </c>
      <c r="AL3" s="5">
        <v>2080</v>
      </c>
      <c r="AM3" s="5"/>
      <c r="AN3" s="5"/>
      <c r="AO3" s="5"/>
      <c r="AP3" s="5"/>
      <c r="AQ3" s="377" t="s">
        <v>9</v>
      </c>
      <c r="AR3" s="378"/>
      <c r="AS3" s="377" t="s">
        <v>9</v>
      </c>
      <c r="AT3" s="378"/>
      <c r="AU3" s="377" t="s">
        <v>9</v>
      </c>
      <c r="AV3" s="378"/>
      <c r="AW3" s="377" t="s">
        <v>9</v>
      </c>
      <c r="AX3" s="378"/>
      <c r="AY3" s="377" t="s">
        <v>9</v>
      </c>
      <c r="AZ3" s="378"/>
      <c r="BA3" s="377" t="s">
        <v>9</v>
      </c>
      <c r="BB3" s="378"/>
      <c r="BC3" s="377" t="s">
        <v>9</v>
      </c>
      <c r="BD3" s="378"/>
      <c r="BE3" s="377" t="s">
        <v>9</v>
      </c>
      <c r="BF3" s="378"/>
      <c r="BG3" s="377" t="s">
        <v>9</v>
      </c>
      <c r="BH3" s="378"/>
      <c r="BI3" s="377" t="s">
        <v>9</v>
      </c>
      <c r="BJ3" s="378"/>
      <c r="BK3" s="377" t="s">
        <v>9</v>
      </c>
      <c r="BL3" s="378"/>
      <c r="BM3" s="377" t="s">
        <v>9</v>
      </c>
      <c r="BN3" s="378"/>
      <c r="BP3" s="29"/>
      <c r="BQ3" s="5"/>
      <c r="BR3" s="5" t="s">
        <v>36</v>
      </c>
      <c r="BS3" s="5">
        <v>2080</v>
      </c>
      <c r="BT3" s="5"/>
      <c r="BU3" s="5"/>
      <c r="BV3" s="5"/>
      <c r="BW3" s="5"/>
      <c r="BX3" s="377" t="s">
        <v>9</v>
      </c>
      <c r="BY3" s="378"/>
      <c r="BZ3" s="377" t="s">
        <v>9</v>
      </c>
      <c r="CA3" s="378"/>
      <c r="CB3" s="377" t="s">
        <v>9</v>
      </c>
      <c r="CC3" s="378"/>
      <c r="CD3" s="377" t="s">
        <v>9</v>
      </c>
      <c r="CE3" s="378"/>
      <c r="CF3" s="377" t="s">
        <v>9</v>
      </c>
      <c r="CG3" s="378"/>
      <c r="CH3" s="377" t="s">
        <v>9</v>
      </c>
      <c r="CI3" s="378"/>
      <c r="CJ3" s="377" t="s">
        <v>9</v>
      </c>
      <c r="CK3" s="378"/>
      <c r="CL3" s="377" t="s">
        <v>9</v>
      </c>
      <c r="CM3" s="378"/>
      <c r="CN3" s="377" t="s">
        <v>9</v>
      </c>
      <c r="CO3" s="378"/>
      <c r="CP3" s="377" t="s">
        <v>9</v>
      </c>
      <c r="CQ3" s="378"/>
      <c r="CR3" s="377" t="s">
        <v>9</v>
      </c>
      <c r="CS3" s="378"/>
      <c r="CT3" s="377" t="s">
        <v>9</v>
      </c>
      <c r="CU3" s="378"/>
      <c r="CW3" s="29"/>
      <c r="CX3" s="5"/>
      <c r="CY3" s="5" t="s">
        <v>36</v>
      </c>
      <c r="CZ3" s="5">
        <v>2080</v>
      </c>
      <c r="DA3" s="5"/>
      <c r="DB3" s="5"/>
      <c r="DC3" s="5"/>
      <c r="DD3" s="5"/>
      <c r="DE3" s="377" t="s">
        <v>9</v>
      </c>
      <c r="DF3" s="378"/>
      <c r="DG3" s="377" t="s">
        <v>9</v>
      </c>
      <c r="DH3" s="378"/>
      <c r="DI3" s="377" t="s">
        <v>9</v>
      </c>
      <c r="DJ3" s="378"/>
      <c r="DK3" s="377" t="s">
        <v>9</v>
      </c>
      <c r="DL3" s="378"/>
      <c r="DM3" s="377" t="s">
        <v>9</v>
      </c>
      <c r="DN3" s="378"/>
      <c r="DO3" s="377" t="s">
        <v>9</v>
      </c>
      <c r="DP3" s="378"/>
      <c r="DQ3" s="377" t="s">
        <v>9</v>
      </c>
      <c r="DR3" s="378"/>
      <c r="DS3" s="377" t="s">
        <v>9</v>
      </c>
      <c r="DT3" s="378"/>
      <c r="DU3" s="377" t="s">
        <v>9</v>
      </c>
      <c r="DV3" s="378"/>
      <c r="DW3" s="377" t="s">
        <v>9</v>
      </c>
      <c r="DX3" s="378"/>
      <c r="DY3" s="377" t="s">
        <v>9</v>
      </c>
      <c r="DZ3" s="378"/>
      <c r="EA3" s="377" t="s">
        <v>9</v>
      </c>
      <c r="EB3" s="378"/>
      <c r="ED3" s="29"/>
      <c r="EE3" s="5"/>
      <c r="EF3" s="5" t="s">
        <v>36</v>
      </c>
      <c r="EG3" s="5">
        <v>2080</v>
      </c>
      <c r="EH3" s="5"/>
      <c r="EI3" s="5"/>
      <c r="EJ3" s="5"/>
      <c r="EK3" s="5"/>
      <c r="EL3" s="377" t="s">
        <v>9</v>
      </c>
      <c r="EM3" s="378"/>
      <c r="EN3" s="377" t="s">
        <v>9</v>
      </c>
      <c r="EO3" s="378"/>
      <c r="EP3" s="377" t="s">
        <v>9</v>
      </c>
      <c r="EQ3" s="378"/>
      <c r="ER3" s="377" t="s">
        <v>9</v>
      </c>
      <c r="ES3" s="378"/>
      <c r="ET3" s="377" t="s">
        <v>9</v>
      </c>
      <c r="EU3" s="378"/>
      <c r="EV3" s="377" t="s">
        <v>9</v>
      </c>
      <c r="EW3" s="378"/>
      <c r="EX3" s="377" t="s">
        <v>9</v>
      </c>
      <c r="EY3" s="378"/>
      <c r="EZ3" s="377" t="s">
        <v>9</v>
      </c>
      <c r="FA3" s="378"/>
      <c r="FB3" s="377" t="s">
        <v>9</v>
      </c>
      <c r="FC3" s="378"/>
      <c r="FD3" s="377" t="s">
        <v>9</v>
      </c>
      <c r="FE3" s="378"/>
      <c r="FF3" s="377" t="s">
        <v>9</v>
      </c>
      <c r="FG3" s="378"/>
      <c r="FH3" s="377" t="s">
        <v>9</v>
      </c>
      <c r="FI3" s="378"/>
    </row>
    <row r="4" spans="1:165" ht="15" thickBot="1">
      <c r="B4" s="29"/>
      <c r="C4" s="5"/>
      <c r="D4" s="5"/>
      <c r="E4" s="5"/>
      <c r="F4" s="5"/>
      <c r="G4" s="5"/>
      <c r="H4" s="5"/>
      <c r="I4" s="5"/>
      <c r="J4" s="379">
        <v>45658</v>
      </c>
      <c r="K4" s="380"/>
      <c r="L4" s="25">
        <f>J4+31</f>
        <v>45689</v>
      </c>
      <c r="M4" s="26"/>
      <c r="N4" s="25">
        <f>L4+31</f>
        <v>45720</v>
      </c>
      <c r="O4" s="26"/>
      <c r="P4" s="25">
        <f>N4+31</f>
        <v>45751</v>
      </c>
      <c r="Q4" s="26"/>
      <c r="R4" s="25">
        <f>P4+31</f>
        <v>45782</v>
      </c>
      <c r="S4" s="26"/>
      <c r="T4" s="25">
        <f>R4+31</f>
        <v>45813</v>
      </c>
      <c r="U4" s="26"/>
      <c r="V4" s="25">
        <f>T4+31</f>
        <v>45844</v>
      </c>
      <c r="W4" s="26"/>
      <c r="X4" s="25">
        <f>V4+31</f>
        <v>45875</v>
      </c>
      <c r="Y4" s="26"/>
      <c r="Z4" s="25">
        <f>X4+31</f>
        <v>45906</v>
      </c>
      <c r="AA4" s="26"/>
      <c r="AB4" s="25">
        <f>Z4+31</f>
        <v>45937</v>
      </c>
      <c r="AC4" s="26"/>
      <c r="AD4" s="25">
        <f>AB4+31</f>
        <v>45968</v>
      </c>
      <c r="AE4" s="26"/>
      <c r="AF4" s="25">
        <f>AD4+31</f>
        <v>45999</v>
      </c>
      <c r="AG4" s="26"/>
      <c r="AI4" s="29"/>
      <c r="AJ4" s="5"/>
      <c r="AK4" s="5"/>
      <c r="AL4" s="5"/>
      <c r="AM4" s="5"/>
      <c r="AN4" s="5"/>
      <c r="AO4" s="5"/>
      <c r="AP4" s="5"/>
      <c r="AQ4" s="379">
        <v>45658</v>
      </c>
      <c r="AR4" s="380"/>
      <c r="AS4" s="25">
        <f>AQ4+31</f>
        <v>45689</v>
      </c>
      <c r="AT4" s="26"/>
      <c r="AU4" s="25">
        <f>AS4+31</f>
        <v>45720</v>
      </c>
      <c r="AV4" s="26"/>
      <c r="AW4" s="25">
        <f>AU4+31</f>
        <v>45751</v>
      </c>
      <c r="AX4" s="26"/>
      <c r="AY4" s="25">
        <f>AW4+31</f>
        <v>45782</v>
      </c>
      <c r="AZ4" s="26"/>
      <c r="BA4" s="25">
        <f>AY4+31</f>
        <v>45813</v>
      </c>
      <c r="BB4" s="26"/>
      <c r="BC4" s="25">
        <f>BA4+31</f>
        <v>45844</v>
      </c>
      <c r="BD4" s="26"/>
      <c r="BE4" s="25">
        <f>BC4+31</f>
        <v>45875</v>
      </c>
      <c r="BF4" s="26"/>
      <c r="BG4" s="25">
        <f>BE4+31</f>
        <v>45906</v>
      </c>
      <c r="BH4" s="26"/>
      <c r="BI4" s="25">
        <f>BG4+31</f>
        <v>45937</v>
      </c>
      <c r="BJ4" s="26"/>
      <c r="BK4" s="25">
        <f>BI4+31</f>
        <v>45968</v>
      </c>
      <c r="BL4" s="26"/>
      <c r="BM4" s="25">
        <f>BK4+31</f>
        <v>45999</v>
      </c>
      <c r="BN4" s="26"/>
      <c r="BP4" s="29"/>
      <c r="BQ4" s="5"/>
      <c r="BR4" s="5"/>
      <c r="BS4" s="5"/>
      <c r="BT4" s="5"/>
      <c r="BU4" s="5"/>
      <c r="BV4" s="5"/>
      <c r="BW4" s="5"/>
      <c r="BX4" s="379">
        <v>45658</v>
      </c>
      <c r="BY4" s="380"/>
      <c r="BZ4" s="25">
        <f>BX4+31</f>
        <v>45689</v>
      </c>
      <c r="CA4" s="26"/>
      <c r="CB4" s="25">
        <f>BZ4+31</f>
        <v>45720</v>
      </c>
      <c r="CC4" s="26"/>
      <c r="CD4" s="25">
        <f>CB4+31</f>
        <v>45751</v>
      </c>
      <c r="CE4" s="26"/>
      <c r="CF4" s="25">
        <f>CD4+31</f>
        <v>45782</v>
      </c>
      <c r="CG4" s="26"/>
      <c r="CH4" s="25">
        <f>CF4+31</f>
        <v>45813</v>
      </c>
      <c r="CI4" s="26"/>
      <c r="CJ4" s="25">
        <f>CH4+31</f>
        <v>45844</v>
      </c>
      <c r="CK4" s="26"/>
      <c r="CL4" s="25">
        <f>CJ4+31</f>
        <v>45875</v>
      </c>
      <c r="CM4" s="26"/>
      <c r="CN4" s="25">
        <f>CL4+31</f>
        <v>45906</v>
      </c>
      <c r="CO4" s="26"/>
      <c r="CP4" s="25">
        <f>CN4+31</f>
        <v>45937</v>
      </c>
      <c r="CQ4" s="26"/>
      <c r="CR4" s="25">
        <f>CP4+31</f>
        <v>45968</v>
      </c>
      <c r="CS4" s="26"/>
      <c r="CT4" s="25">
        <f>CR4+31</f>
        <v>45999</v>
      </c>
      <c r="CU4" s="26"/>
      <c r="CW4" s="29"/>
      <c r="CX4" s="5"/>
      <c r="CY4" s="5"/>
      <c r="CZ4" s="5"/>
      <c r="DA4" s="5"/>
      <c r="DB4" s="5"/>
      <c r="DC4" s="5"/>
      <c r="DD4" s="5"/>
      <c r="DE4" s="379">
        <v>45658</v>
      </c>
      <c r="DF4" s="380"/>
      <c r="DG4" s="25">
        <f>DE4+31</f>
        <v>45689</v>
      </c>
      <c r="DH4" s="26"/>
      <c r="DI4" s="25">
        <f>DG4+31</f>
        <v>45720</v>
      </c>
      <c r="DJ4" s="26"/>
      <c r="DK4" s="25">
        <f>DI4+31</f>
        <v>45751</v>
      </c>
      <c r="DL4" s="26"/>
      <c r="DM4" s="25">
        <f>DK4+31</f>
        <v>45782</v>
      </c>
      <c r="DN4" s="26"/>
      <c r="DO4" s="25">
        <f>DM4+31</f>
        <v>45813</v>
      </c>
      <c r="DP4" s="26"/>
      <c r="DQ4" s="25">
        <f>DO4+31</f>
        <v>45844</v>
      </c>
      <c r="DR4" s="26"/>
      <c r="DS4" s="25">
        <f>DQ4+31</f>
        <v>45875</v>
      </c>
      <c r="DT4" s="26"/>
      <c r="DU4" s="25">
        <f>DS4+31</f>
        <v>45906</v>
      </c>
      <c r="DV4" s="26"/>
      <c r="DW4" s="25">
        <f>DU4+31</f>
        <v>45937</v>
      </c>
      <c r="DX4" s="26"/>
      <c r="DY4" s="25">
        <f>DW4+31</f>
        <v>45968</v>
      </c>
      <c r="DZ4" s="26"/>
      <c r="EA4" s="25">
        <f>DY4+31</f>
        <v>45999</v>
      </c>
      <c r="EB4" s="26"/>
      <c r="ED4" s="29"/>
      <c r="EE4" s="5"/>
      <c r="EF4" s="5"/>
      <c r="EG4" s="5"/>
      <c r="EH4" s="5"/>
      <c r="EI4" s="5"/>
      <c r="EJ4" s="5"/>
      <c r="EK4" s="5"/>
      <c r="EL4" s="379">
        <v>45658</v>
      </c>
      <c r="EM4" s="380"/>
      <c r="EN4" s="25">
        <f>EL4+31</f>
        <v>45689</v>
      </c>
      <c r="EO4" s="26"/>
      <c r="EP4" s="25">
        <f>EN4+31</f>
        <v>45720</v>
      </c>
      <c r="EQ4" s="26"/>
      <c r="ER4" s="25">
        <f>EP4+31</f>
        <v>45751</v>
      </c>
      <c r="ES4" s="26"/>
      <c r="ET4" s="25">
        <f>ER4+31</f>
        <v>45782</v>
      </c>
      <c r="EU4" s="26"/>
      <c r="EV4" s="25">
        <f>ET4+31</f>
        <v>45813</v>
      </c>
      <c r="EW4" s="26"/>
      <c r="EX4" s="25">
        <f>EV4+31</f>
        <v>45844</v>
      </c>
      <c r="EY4" s="26"/>
      <c r="EZ4" s="25">
        <f>EX4+31</f>
        <v>45875</v>
      </c>
      <c r="FA4" s="26"/>
      <c r="FB4" s="25">
        <f>EZ4+31</f>
        <v>45906</v>
      </c>
      <c r="FC4" s="26"/>
      <c r="FD4" s="25">
        <f>FB4+31</f>
        <v>45937</v>
      </c>
      <c r="FE4" s="26"/>
      <c r="FF4" s="25">
        <f>FD4+31</f>
        <v>45968</v>
      </c>
      <c r="FG4" s="26"/>
      <c r="FH4" s="25">
        <f>FF4+31</f>
        <v>45999</v>
      </c>
      <c r="FI4" s="26"/>
    </row>
    <row r="5" spans="1:165" ht="15" thickBot="1">
      <c r="B5" s="6" t="s">
        <v>10</v>
      </c>
      <c r="C5" s="7" t="s">
        <v>11</v>
      </c>
      <c r="D5" s="7" t="s">
        <v>12</v>
      </c>
      <c r="E5" s="6" t="s">
        <v>13</v>
      </c>
      <c r="F5" s="6" t="s">
        <v>14</v>
      </c>
      <c r="G5" s="6" t="s">
        <v>15</v>
      </c>
      <c r="H5" s="6" t="s">
        <v>16</v>
      </c>
      <c r="I5" s="8" t="s">
        <v>17</v>
      </c>
      <c r="J5" s="8" t="s">
        <v>18</v>
      </c>
      <c r="K5" s="9" t="s">
        <v>19</v>
      </c>
      <c r="L5" s="8" t="s">
        <v>18</v>
      </c>
      <c r="M5" s="9" t="s">
        <v>19</v>
      </c>
      <c r="N5" s="8" t="s">
        <v>18</v>
      </c>
      <c r="O5" s="9" t="s">
        <v>19</v>
      </c>
      <c r="P5" s="8" t="s">
        <v>18</v>
      </c>
      <c r="Q5" s="9" t="s">
        <v>19</v>
      </c>
      <c r="R5" s="8" t="s">
        <v>18</v>
      </c>
      <c r="S5" s="10" t="s">
        <v>19</v>
      </c>
      <c r="T5" s="8" t="s">
        <v>18</v>
      </c>
      <c r="U5" s="9" t="s">
        <v>19</v>
      </c>
      <c r="V5" s="8" t="s">
        <v>18</v>
      </c>
      <c r="W5" s="9" t="s">
        <v>19</v>
      </c>
      <c r="X5" s="8" t="s">
        <v>18</v>
      </c>
      <c r="Y5" s="9" t="s">
        <v>19</v>
      </c>
      <c r="Z5" s="8" t="s">
        <v>18</v>
      </c>
      <c r="AA5" s="9" t="s">
        <v>19</v>
      </c>
      <c r="AB5" s="8" t="s">
        <v>18</v>
      </c>
      <c r="AC5" s="9" t="s">
        <v>19</v>
      </c>
      <c r="AD5" s="8" t="s">
        <v>18</v>
      </c>
      <c r="AE5" s="9" t="s">
        <v>19</v>
      </c>
      <c r="AF5" s="8" t="s">
        <v>18</v>
      </c>
      <c r="AG5" s="9" t="s">
        <v>19</v>
      </c>
      <c r="AI5" s="6" t="s">
        <v>10</v>
      </c>
      <c r="AJ5" s="7" t="s">
        <v>11</v>
      </c>
      <c r="AK5" s="7" t="s">
        <v>12</v>
      </c>
      <c r="AL5" s="6" t="s">
        <v>13</v>
      </c>
      <c r="AM5" s="6" t="s">
        <v>14</v>
      </c>
      <c r="AN5" s="6" t="s">
        <v>15</v>
      </c>
      <c r="AO5" s="6" t="s">
        <v>16</v>
      </c>
      <c r="AP5" s="8" t="s">
        <v>17</v>
      </c>
      <c r="AQ5" s="8" t="s">
        <v>18</v>
      </c>
      <c r="AR5" s="9" t="s">
        <v>19</v>
      </c>
      <c r="AS5" s="8" t="s">
        <v>18</v>
      </c>
      <c r="AT5" s="9" t="s">
        <v>19</v>
      </c>
      <c r="AU5" s="8" t="s">
        <v>18</v>
      </c>
      <c r="AV5" s="9" t="s">
        <v>19</v>
      </c>
      <c r="AW5" s="8" t="s">
        <v>18</v>
      </c>
      <c r="AX5" s="9" t="s">
        <v>19</v>
      </c>
      <c r="AY5" s="8" t="s">
        <v>18</v>
      </c>
      <c r="AZ5" s="10" t="s">
        <v>19</v>
      </c>
      <c r="BA5" s="8" t="s">
        <v>18</v>
      </c>
      <c r="BB5" s="9" t="s">
        <v>19</v>
      </c>
      <c r="BC5" s="8" t="s">
        <v>18</v>
      </c>
      <c r="BD5" s="9" t="s">
        <v>19</v>
      </c>
      <c r="BE5" s="8" t="s">
        <v>18</v>
      </c>
      <c r="BF5" s="9" t="s">
        <v>19</v>
      </c>
      <c r="BG5" s="8" t="s">
        <v>18</v>
      </c>
      <c r="BH5" s="9" t="s">
        <v>19</v>
      </c>
      <c r="BI5" s="8" t="s">
        <v>18</v>
      </c>
      <c r="BJ5" s="9" t="s">
        <v>19</v>
      </c>
      <c r="BK5" s="8" t="s">
        <v>18</v>
      </c>
      <c r="BL5" s="9" t="s">
        <v>19</v>
      </c>
      <c r="BM5" s="8" t="s">
        <v>18</v>
      </c>
      <c r="BN5" s="9" t="s">
        <v>19</v>
      </c>
      <c r="BP5" s="6" t="s">
        <v>10</v>
      </c>
      <c r="BQ5" s="7" t="s">
        <v>11</v>
      </c>
      <c r="BR5" s="7" t="s">
        <v>12</v>
      </c>
      <c r="BS5" s="6" t="s">
        <v>13</v>
      </c>
      <c r="BT5" s="6" t="s">
        <v>14</v>
      </c>
      <c r="BU5" s="6" t="s">
        <v>15</v>
      </c>
      <c r="BV5" s="6" t="s">
        <v>16</v>
      </c>
      <c r="BW5" s="8" t="s">
        <v>17</v>
      </c>
      <c r="BX5" s="8" t="s">
        <v>18</v>
      </c>
      <c r="BY5" s="9" t="s">
        <v>19</v>
      </c>
      <c r="BZ5" s="8" t="s">
        <v>18</v>
      </c>
      <c r="CA5" s="9" t="s">
        <v>19</v>
      </c>
      <c r="CB5" s="8" t="s">
        <v>18</v>
      </c>
      <c r="CC5" s="9" t="s">
        <v>19</v>
      </c>
      <c r="CD5" s="8" t="s">
        <v>18</v>
      </c>
      <c r="CE5" s="9" t="s">
        <v>19</v>
      </c>
      <c r="CF5" s="8" t="s">
        <v>18</v>
      </c>
      <c r="CG5" s="10" t="s">
        <v>19</v>
      </c>
      <c r="CH5" s="8" t="s">
        <v>18</v>
      </c>
      <c r="CI5" s="9" t="s">
        <v>19</v>
      </c>
      <c r="CJ5" s="8" t="s">
        <v>18</v>
      </c>
      <c r="CK5" s="9" t="s">
        <v>19</v>
      </c>
      <c r="CL5" s="8" t="s">
        <v>18</v>
      </c>
      <c r="CM5" s="9" t="s">
        <v>19</v>
      </c>
      <c r="CN5" s="8" t="s">
        <v>18</v>
      </c>
      <c r="CO5" s="9" t="s">
        <v>19</v>
      </c>
      <c r="CP5" s="8" t="s">
        <v>18</v>
      </c>
      <c r="CQ5" s="9" t="s">
        <v>19</v>
      </c>
      <c r="CR5" s="8" t="s">
        <v>18</v>
      </c>
      <c r="CS5" s="9" t="s">
        <v>19</v>
      </c>
      <c r="CT5" s="8" t="s">
        <v>18</v>
      </c>
      <c r="CU5" s="9" t="s">
        <v>19</v>
      </c>
      <c r="CW5" s="6" t="s">
        <v>10</v>
      </c>
      <c r="CX5" s="7" t="s">
        <v>11</v>
      </c>
      <c r="CY5" s="7" t="s">
        <v>12</v>
      </c>
      <c r="CZ5" s="6" t="s">
        <v>13</v>
      </c>
      <c r="DA5" s="6" t="s">
        <v>14</v>
      </c>
      <c r="DB5" s="6" t="s">
        <v>15</v>
      </c>
      <c r="DC5" s="6" t="s">
        <v>16</v>
      </c>
      <c r="DD5" s="8" t="s">
        <v>17</v>
      </c>
      <c r="DE5" s="8" t="s">
        <v>18</v>
      </c>
      <c r="DF5" s="9" t="s">
        <v>19</v>
      </c>
      <c r="DG5" s="8" t="s">
        <v>18</v>
      </c>
      <c r="DH5" s="9" t="s">
        <v>19</v>
      </c>
      <c r="DI5" s="8" t="s">
        <v>18</v>
      </c>
      <c r="DJ5" s="9" t="s">
        <v>19</v>
      </c>
      <c r="DK5" s="8" t="s">
        <v>18</v>
      </c>
      <c r="DL5" s="9" t="s">
        <v>19</v>
      </c>
      <c r="DM5" s="8" t="s">
        <v>18</v>
      </c>
      <c r="DN5" s="10" t="s">
        <v>19</v>
      </c>
      <c r="DO5" s="8" t="s">
        <v>18</v>
      </c>
      <c r="DP5" s="9" t="s">
        <v>19</v>
      </c>
      <c r="DQ5" s="8" t="s">
        <v>18</v>
      </c>
      <c r="DR5" s="9" t="s">
        <v>19</v>
      </c>
      <c r="DS5" s="8" t="s">
        <v>18</v>
      </c>
      <c r="DT5" s="9" t="s">
        <v>19</v>
      </c>
      <c r="DU5" s="8" t="s">
        <v>18</v>
      </c>
      <c r="DV5" s="9" t="s">
        <v>19</v>
      </c>
      <c r="DW5" s="8" t="s">
        <v>18</v>
      </c>
      <c r="DX5" s="9" t="s">
        <v>19</v>
      </c>
      <c r="DY5" s="8" t="s">
        <v>18</v>
      </c>
      <c r="DZ5" s="9" t="s">
        <v>19</v>
      </c>
      <c r="EA5" s="8" t="s">
        <v>18</v>
      </c>
      <c r="EB5" s="9" t="s">
        <v>19</v>
      </c>
      <c r="ED5" s="6" t="s">
        <v>10</v>
      </c>
      <c r="EE5" s="7" t="s">
        <v>11</v>
      </c>
      <c r="EF5" s="7" t="s">
        <v>12</v>
      </c>
      <c r="EG5" s="6" t="s">
        <v>13</v>
      </c>
      <c r="EH5" s="6" t="s">
        <v>14</v>
      </c>
      <c r="EI5" s="6" t="s">
        <v>15</v>
      </c>
      <c r="EJ5" s="6" t="s">
        <v>16</v>
      </c>
      <c r="EK5" s="8" t="s">
        <v>17</v>
      </c>
      <c r="EL5" s="8" t="s">
        <v>18</v>
      </c>
      <c r="EM5" s="9" t="s">
        <v>19</v>
      </c>
      <c r="EN5" s="8" t="s">
        <v>18</v>
      </c>
      <c r="EO5" s="9" t="s">
        <v>19</v>
      </c>
      <c r="EP5" s="8" t="s">
        <v>18</v>
      </c>
      <c r="EQ5" s="9" t="s">
        <v>19</v>
      </c>
      <c r="ER5" s="8" t="s">
        <v>18</v>
      </c>
      <c r="ES5" s="9" t="s">
        <v>19</v>
      </c>
      <c r="ET5" s="8" t="s">
        <v>18</v>
      </c>
      <c r="EU5" s="10" t="s">
        <v>19</v>
      </c>
      <c r="EV5" s="8" t="s">
        <v>18</v>
      </c>
      <c r="EW5" s="9" t="s">
        <v>19</v>
      </c>
      <c r="EX5" s="8" t="s">
        <v>18</v>
      </c>
      <c r="EY5" s="9" t="s">
        <v>19</v>
      </c>
      <c r="EZ5" s="8" t="s">
        <v>18</v>
      </c>
      <c r="FA5" s="9" t="s">
        <v>19</v>
      </c>
      <c r="FB5" s="8" t="s">
        <v>18</v>
      </c>
      <c r="FC5" s="9" t="s">
        <v>19</v>
      </c>
      <c r="FD5" s="8" t="s">
        <v>18</v>
      </c>
      <c r="FE5" s="9" t="s">
        <v>19</v>
      </c>
      <c r="FF5" s="8" t="s">
        <v>18</v>
      </c>
      <c r="FG5" s="9" t="s">
        <v>19</v>
      </c>
      <c r="FH5" s="8" t="s">
        <v>18</v>
      </c>
      <c r="FI5" s="9" t="s">
        <v>19</v>
      </c>
    </row>
    <row r="6" spans="1:165">
      <c r="B6" s="11" t="s">
        <v>33</v>
      </c>
      <c r="C6" s="11" t="s">
        <v>25</v>
      </c>
      <c r="D6" s="11" t="s">
        <v>31</v>
      </c>
      <c r="E6" s="11" t="s">
        <v>20</v>
      </c>
      <c r="F6" s="11" t="s">
        <v>21</v>
      </c>
      <c r="G6" s="11" t="s">
        <v>22</v>
      </c>
      <c r="H6" s="11" t="s">
        <v>23</v>
      </c>
      <c r="I6" s="23">
        <v>100</v>
      </c>
      <c r="J6" s="12">
        <v>10</v>
      </c>
      <c r="K6" s="13">
        <f>$I$6*J6</f>
        <v>1000</v>
      </c>
      <c r="L6" s="12">
        <v>20</v>
      </c>
      <c r="M6" s="13">
        <f>$I$6*L6</f>
        <v>2000</v>
      </c>
      <c r="N6" s="12">
        <v>40</v>
      </c>
      <c r="O6" s="13">
        <f>$I$6*N6</f>
        <v>4000</v>
      </c>
      <c r="P6" s="12">
        <v>90</v>
      </c>
      <c r="Q6" s="13">
        <f>$I$6*P6</f>
        <v>9000</v>
      </c>
      <c r="R6" s="12">
        <v>155</v>
      </c>
      <c r="S6" s="13">
        <f>$I$6*R6</f>
        <v>15500</v>
      </c>
      <c r="T6" s="12">
        <v>155</v>
      </c>
      <c r="U6" s="13">
        <f>$I$6*T6</f>
        <v>15500</v>
      </c>
      <c r="V6" s="12">
        <v>155</v>
      </c>
      <c r="W6" s="13">
        <f>$I$6*V6</f>
        <v>15500</v>
      </c>
      <c r="X6" s="12">
        <v>155</v>
      </c>
      <c r="Y6" s="13">
        <f>$I$6*X6</f>
        <v>15500</v>
      </c>
      <c r="Z6" s="12">
        <v>155</v>
      </c>
      <c r="AA6" s="13">
        <f>$I$6*Z6</f>
        <v>15500</v>
      </c>
      <c r="AB6" s="12">
        <v>155</v>
      </c>
      <c r="AC6" s="13">
        <f>$I$6*AB6</f>
        <v>15500</v>
      </c>
      <c r="AD6" s="12">
        <v>155</v>
      </c>
      <c r="AE6" s="13">
        <f>$I$6*AD6</f>
        <v>15500</v>
      </c>
      <c r="AF6" s="12">
        <v>155</v>
      </c>
      <c r="AG6" s="13">
        <f>$I$6*AF6</f>
        <v>15500</v>
      </c>
      <c r="AI6" s="11" t="s">
        <v>33</v>
      </c>
      <c r="AJ6" s="11" t="s">
        <v>25</v>
      </c>
      <c r="AK6" s="11" t="s">
        <v>31</v>
      </c>
      <c r="AL6" s="11" t="s">
        <v>20</v>
      </c>
      <c r="AM6" s="11" t="s">
        <v>21</v>
      </c>
      <c r="AN6" s="11" t="s">
        <v>22</v>
      </c>
      <c r="AO6" s="11" t="s">
        <v>23</v>
      </c>
      <c r="AP6" s="23">
        <v>103</v>
      </c>
      <c r="AQ6" s="12">
        <v>155</v>
      </c>
      <c r="AR6" s="13">
        <f>$I$6*AQ6</f>
        <v>15500</v>
      </c>
      <c r="AS6" s="12">
        <v>155</v>
      </c>
      <c r="AT6" s="13">
        <f>$I$6*AS6</f>
        <v>15500</v>
      </c>
      <c r="AU6" s="12">
        <v>155</v>
      </c>
      <c r="AV6" s="13">
        <f>$I$6*AU6</f>
        <v>15500</v>
      </c>
      <c r="AW6" s="12">
        <v>155</v>
      </c>
      <c r="AX6" s="13">
        <f>$I$6*AW6</f>
        <v>15500</v>
      </c>
      <c r="AY6" s="12">
        <v>155</v>
      </c>
      <c r="AZ6" s="13">
        <f>$I$6*AY6</f>
        <v>15500</v>
      </c>
      <c r="BA6" s="12">
        <v>155</v>
      </c>
      <c r="BB6" s="13">
        <f>$I$6*BA6</f>
        <v>15500</v>
      </c>
      <c r="BC6" s="12">
        <v>155</v>
      </c>
      <c r="BD6" s="13">
        <f>$I$6*BC6</f>
        <v>15500</v>
      </c>
      <c r="BE6" s="12">
        <v>155</v>
      </c>
      <c r="BF6" s="13">
        <f>$I$6*BE6</f>
        <v>15500</v>
      </c>
      <c r="BG6" s="12">
        <v>155</v>
      </c>
      <c r="BH6" s="13">
        <f>$I$6*BG6</f>
        <v>15500</v>
      </c>
      <c r="BI6" s="12">
        <v>155</v>
      </c>
      <c r="BJ6" s="13">
        <f>$I$6*BI6</f>
        <v>15500</v>
      </c>
      <c r="BK6" s="12">
        <v>155</v>
      </c>
      <c r="BL6" s="13">
        <f>$I$6*BK6</f>
        <v>15500</v>
      </c>
      <c r="BM6" s="12">
        <v>155</v>
      </c>
      <c r="BN6" s="13">
        <f>$I$6*BM6</f>
        <v>15500</v>
      </c>
      <c r="BP6" s="11" t="s">
        <v>33</v>
      </c>
      <c r="BQ6" s="11" t="s">
        <v>25</v>
      </c>
      <c r="BR6" s="11" t="s">
        <v>31</v>
      </c>
      <c r="BS6" s="11" t="s">
        <v>20</v>
      </c>
      <c r="BT6" s="11" t="s">
        <v>21</v>
      </c>
      <c r="BU6" s="11" t="s">
        <v>22</v>
      </c>
      <c r="BV6" s="11" t="s">
        <v>23</v>
      </c>
      <c r="BW6" s="23">
        <v>103</v>
      </c>
      <c r="BX6" s="12">
        <v>155</v>
      </c>
      <c r="BY6" s="13">
        <f>$I$6*BX6</f>
        <v>15500</v>
      </c>
      <c r="BZ6" s="12">
        <v>155</v>
      </c>
      <c r="CA6" s="13">
        <f>$I$6*BZ6</f>
        <v>15500</v>
      </c>
      <c r="CB6" s="12">
        <v>155</v>
      </c>
      <c r="CC6" s="13">
        <f>$I$6*CB6</f>
        <v>15500</v>
      </c>
      <c r="CD6" s="12">
        <v>155</v>
      </c>
      <c r="CE6" s="13">
        <f>$I$6*CD6</f>
        <v>15500</v>
      </c>
      <c r="CF6" s="12">
        <v>155</v>
      </c>
      <c r="CG6" s="13">
        <f>$I$6*CF6</f>
        <v>15500</v>
      </c>
      <c r="CH6" s="12">
        <v>155</v>
      </c>
      <c r="CI6" s="13">
        <f>$I$6*CH6</f>
        <v>15500</v>
      </c>
      <c r="CJ6" s="12">
        <v>155</v>
      </c>
      <c r="CK6" s="13">
        <f>$I$6*CJ6</f>
        <v>15500</v>
      </c>
      <c r="CL6" s="12">
        <v>155</v>
      </c>
      <c r="CM6" s="13">
        <f>$I$6*CL6</f>
        <v>15500</v>
      </c>
      <c r="CN6" s="12">
        <v>155</v>
      </c>
      <c r="CO6" s="13">
        <f>$I$6*CN6</f>
        <v>15500</v>
      </c>
      <c r="CP6" s="12">
        <v>155</v>
      </c>
      <c r="CQ6" s="13">
        <f>$I$6*CP6</f>
        <v>15500</v>
      </c>
      <c r="CR6" s="12">
        <v>155</v>
      </c>
      <c r="CS6" s="13">
        <f>$I$6*CR6</f>
        <v>15500</v>
      </c>
      <c r="CT6" s="12">
        <v>155</v>
      </c>
      <c r="CU6" s="13">
        <f>$I$6*CT6</f>
        <v>15500</v>
      </c>
      <c r="CW6" s="11" t="s">
        <v>33</v>
      </c>
      <c r="CX6" s="11" t="s">
        <v>25</v>
      </c>
      <c r="CY6" s="11" t="s">
        <v>31</v>
      </c>
      <c r="CZ6" s="11" t="s">
        <v>20</v>
      </c>
      <c r="DA6" s="11" t="s">
        <v>21</v>
      </c>
      <c r="DB6" s="11" t="s">
        <v>22</v>
      </c>
      <c r="DC6" s="11" t="s">
        <v>23</v>
      </c>
      <c r="DD6" s="23">
        <v>103</v>
      </c>
      <c r="DE6" s="12">
        <v>155</v>
      </c>
      <c r="DF6" s="13">
        <f>$I$6*DE6</f>
        <v>15500</v>
      </c>
      <c r="DG6" s="12">
        <v>155</v>
      </c>
      <c r="DH6" s="13">
        <f>$I$6*DG6</f>
        <v>15500</v>
      </c>
      <c r="DI6" s="12">
        <v>155</v>
      </c>
      <c r="DJ6" s="13">
        <f>$I$6*DI6</f>
        <v>15500</v>
      </c>
      <c r="DK6" s="12">
        <v>155</v>
      </c>
      <c r="DL6" s="13">
        <f>$I$6*DK6</f>
        <v>15500</v>
      </c>
      <c r="DM6" s="12">
        <v>155</v>
      </c>
      <c r="DN6" s="13">
        <f>$I$6*DM6</f>
        <v>15500</v>
      </c>
      <c r="DO6" s="12">
        <v>155</v>
      </c>
      <c r="DP6" s="13">
        <f>$I$6*DO6</f>
        <v>15500</v>
      </c>
      <c r="DQ6" s="12">
        <v>155</v>
      </c>
      <c r="DR6" s="13">
        <f>$I$6*DQ6</f>
        <v>15500</v>
      </c>
      <c r="DS6" s="12">
        <v>155</v>
      </c>
      <c r="DT6" s="13">
        <f>$I$6*DS6</f>
        <v>15500</v>
      </c>
      <c r="DU6" s="12">
        <v>155</v>
      </c>
      <c r="DV6" s="13">
        <f>$I$6*DU6</f>
        <v>15500</v>
      </c>
      <c r="DW6" s="12">
        <v>155</v>
      </c>
      <c r="DX6" s="13">
        <f>$I$6*DW6</f>
        <v>15500</v>
      </c>
      <c r="DY6" s="12">
        <v>155</v>
      </c>
      <c r="DZ6" s="13">
        <f>$I$6*DY6</f>
        <v>15500</v>
      </c>
      <c r="EA6" s="12">
        <v>155</v>
      </c>
      <c r="EB6" s="13">
        <f>$I$6*EA6</f>
        <v>15500</v>
      </c>
      <c r="ED6" s="11" t="s">
        <v>33</v>
      </c>
      <c r="EE6" s="11" t="s">
        <v>25</v>
      </c>
      <c r="EF6" s="11" t="s">
        <v>31</v>
      </c>
      <c r="EG6" s="11" t="s">
        <v>20</v>
      </c>
      <c r="EH6" s="11" t="s">
        <v>21</v>
      </c>
      <c r="EI6" s="11" t="s">
        <v>22</v>
      </c>
      <c r="EJ6" s="11" t="s">
        <v>23</v>
      </c>
      <c r="EK6" s="23">
        <v>103</v>
      </c>
      <c r="EL6" s="12">
        <v>155</v>
      </c>
      <c r="EM6" s="13">
        <f>$I$6*EL6</f>
        <v>15500</v>
      </c>
      <c r="EN6" s="12">
        <v>155</v>
      </c>
      <c r="EO6" s="13">
        <f>$I$6*EN6</f>
        <v>15500</v>
      </c>
      <c r="EP6" s="12">
        <v>155</v>
      </c>
      <c r="EQ6" s="13">
        <f>$I$6*EP6</f>
        <v>15500</v>
      </c>
      <c r="ER6" s="12">
        <v>155</v>
      </c>
      <c r="ES6" s="13">
        <f>$I$6*ER6</f>
        <v>15500</v>
      </c>
      <c r="ET6" s="12">
        <v>155</v>
      </c>
      <c r="EU6" s="13">
        <f>$I$6*ET6</f>
        <v>15500</v>
      </c>
      <c r="EV6" s="12">
        <v>155</v>
      </c>
      <c r="EW6" s="13">
        <f>$I$6*EV6</f>
        <v>15500</v>
      </c>
      <c r="EX6" s="12">
        <v>155</v>
      </c>
      <c r="EY6" s="13">
        <f>$I$6*EX6</f>
        <v>15500</v>
      </c>
      <c r="EZ6" s="12">
        <v>155</v>
      </c>
      <c r="FA6" s="13">
        <f>$I$6*EZ6</f>
        <v>15500</v>
      </c>
      <c r="FB6" s="12">
        <v>155</v>
      </c>
      <c r="FC6" s="13">
        <f>$I$6*FB6</f>
        <v>15500</v>
      </c>
      <c r="FD6" s="12">
        <v>155</v>
      </c>
      <c r="FE6" s="13">
        <f>$I$6*FD6</f>
        <v>15500</v>
      </c>
      <c r="FF6" s="12">
        <v>155</v>
      </c>
      <c r="FG6" s="13">
        <f>$I$6*FF6</f>
        <v>15500</v>
      </c>
      <c r="FH6" s="12">
        <v>155</v>
      </c>
      <c r="FI6" s="13">
        <f>$I$6*FH6</f>
        <v>15500</v>
      </c>
    </row>
    <row r="7" spans="1:165">
      <c r="B7" s="11" t="s">
        <v>24</v>
      </c>
      <c r="C7" s="11" t="s">
        <v>25</v>
      </c>
      <c r="D7" s="11" t="s">
        <v>31</v>
      </c>
      <c r="E7" s="11" t="s">
        <v>20</v>
      </c>
      <c r="F7" s="11" t="s">
        <v>26</v>
      </c>
      <c r="G7" s="11" t="s">
        <v>22</v>
      </c>
      <c r="H7" s="11" t="s">
        <v>23</v>
      </c>
      <c r="I7" s="23">
        <v>101</v>
      </c>
      <c r="J7" s="12">
        <v>15</v>
      </c>
      <c r="K7" s="13">
        <f>$I$7*J7</f>
        <v>1515</v>
      </c>
      <c r="L7" s="12">
        <v>30</v>
      </c>
      <c r="M7" s="13">
        <f>$I$7*L7</f>
        <v>3030</v>
      </c>
      <c r="N7" s="12">
        <v>80</v>
      </c>
      <c r="O7" s="13">
        <f>$I$7*N7</f>
        <v>8080</v>
      </c>
      <c r="P7" s="12">
        <v>100</v>
      </c>
      <c r="Q7" s="13">
        <f>$I$7*P7</f>
        <v>10100</v>
      </c>
      <c r="R7" s="12">
        <v>140</v>
      </c>
      <c r="S7" s="13">
        <f>$I$7*R7</f>
        <v>14140</v>
      </c>
      <c r="T7" s="12">
        <v>140</v>
      </c>
      <c r="U7" s="13">
        <f>$I$7*T7</f>
        <v>14140</v>
      </c>
      <c r="V7" s="12">
        <v>140</v>
      </c>
      <c r="W7" s="13">
        <f>$I$7*V7</f>
        <v>14140</v>
      </c>
      <c r="X7" s="12">
        <v>140</v>
      </c>
      <c r="Y7" s="13">
        <f>$I$7*X7</f>
        <v>14140</v>
      </c>
      <c r="Z7" s="12">
        <v>140</v>
      </c>
      <c r="AA7" s="13">
        <f>$I$7*Z7</f>
        <v>14140</v>
      </c>
      <c r="AB7" s="12">
        <v>140</v>
      </c>
      <c r="AC7" s="13">
        <f>$I$7*AB7</f>
        <v>14140</v>
      </c>
      <c r="AD7" s="12">
        <v>140</v>
      </c>
      <c r="AE7" s="13">
        <f>$I$7*AD7</f>
        <v>14140</v>
      </c>
      <c r="AF7" s="12">
        <v>140</v>
      </c>
      <c r="AG7" s="13">
        <f>$I$7*AF7</f>
        <v>14140</v>
      </c>
      <c r="AI7" s="11" t="s">
        <v>24</v>
      </c>
      <c r="AJ7" s="11" t="s">
        <v>25</v>
      </c>
      <c r="AK7" s="11" t="s">
        <v>31</v>
      </c>
      <c r="AL7" s="11" t="s">
        <v>20</v>
      </c>
      <c r="AM7" s="11" t="s">
        <v>26</v>
      </c>
      <c r="AN7" s="11" t="s">
        <v>22</v>
      </c>
      <c r="AO7" s="11" t="s">
        <v>23</v>
      </c>
      <c r="AP7" s="23">
        <v>105</v>
      </c>
      <c r="AQ7" s="12">
        <v>140</v>
      </c>
      <c r="AR7" s="13">
        <f>$I$7*AQ7</f>
        <v>14140</v>
      </c>
      <c r="AS7" s="12">
        <v>140</v>
      </c>
      <c r="AT7" s="13">
        <f>$I$7*AS7</f>
        <v>14140</v>
      </c>
      <c r="AU7" s="12">
        <v>140</v>
      </c>
      <c r="AV7" s="13">
        <f>$I$7*AU7</f>
        <v>14140</v>
      </c>
      <c r="AW7" s="12">
        <v>140</v>
      </c>
      <c r="AX7" s="13">
        <f>$I$7*AW7</f>
        <v>14140</v>
      </c>
      <c r="AY7" s="12">
        <v>140</v>
      </c>
      <c r="AZ7" s="13">
        <f>$I$7*AY7</f>
        <v>14140</v>
      </c>
      <c r="BA7" s="12">
        <v>140</v>
      </c>
      <c r="BB7" s="13">
        <f>$I$7*BA7</f>
        <v>14140</v>
      </c>
      <c r="BC7" s="12">
        <v>140</v>
      </c>
      <c r="BD7" s="13">
        <f>$I$7*BC7</f>
        <v>14140</v>
      </c>
      <c r="BE7" s="12">
        <v>140</v>
      </c>
      <c r="BF7" s="13">
        <f>$I$7*BE7</f>
        <v>14140</v>
      </c>
      <c r="BG7" s="12">
        <v>140</v>
      </c>
      <c r="BH7" s="13">
        <f>$I$7*BG7</f>
        <v>14140</v>
      </c>
      <c r="BI7" s="12">
        <v>140</v>
      </c>
      <c r="BJ7" s="13">
        <f>$I$7*BI7</f>
        <v>14140</v>
      </c>
      <c r="BK7" s="12">
        <v>140</v>
      </c>
      <c r="BL7" s="13">
        <f>$I$7*BK7</f>
        <v>14140</v>
      </c>
      <c r="BM7" s="12">
        <v>140</v>
      </c>
      <c r="BN7" s="13">
        <f>$I$7*BM7</f>
        <v>14140</v>
      </c>
      <c r="BP7" s="11" t="s">
        <v>24</v>
      </c>
      <c r="BQ7" s="11" t="s">
        <v>25</v>
      </c>
      <c r="BR7" s="11" t="s">
        <v>31</v>
      </c>
      <c r="BS7" s="11" t="s">
        <v>20</v>
      </c>
      <c r="BT7" s="11" t="s">
        <v>26</v>
      </c>
      <c r="BU7" s="11" t="s">
        <v>22</v>
      </c>
      <c r="BV7" s="11" t="s">
        <v>23</v>
      </c>
      <c r="BW7" s="23">
        <v>105</v>
      </c>
      <c r="BX7" s="12">
        <v>140</v>
      </c>
      <c r="BY7" s="13">
        <f>$I$7*BX7</f>
        <v>14140</v>
      </c>
      <c r="BZ7" s="12">
        <v>140</v>
      </c>
      <c r="CA7" s="13">
        <f>$I$7*BZ7</f>
        <v>14140</v>
      </c>
      <c r="CB7" s="12">
        <v>140</v>
      </c>
      <c r="CC7" s="13">
        <f>$I$7*CB7</f>
        <v>14140</v>
      </c>
      <c r="CD7" s="12">
        <v>140</v>
      </c>
      <c r="CE7" s="13">
        <f>$I$7*CD7</f>
        <v>14140</v>
      </c>
      <c r="CF7" s="12">
        <v>140</v>
      </c>
      <c r="CG7" s="13">
        <f>$I$7*CF7</f>
        <v>14140</v>
      </c>
      <c r="CH7" s="12">
        <v>140</v>
      </c>
      <c r="CI7" s="13">
        <f>$I$7*CH7</f>
        <v>14140</v>
      </c>
      <c r="CJ7" s="12">
        <v>140</v>
      </c>
      <c r="CK7" s="13">
        <f>$I$7*CJ7</f>
        <v>14140</v>
      </c>
      <c r="CL7" s="12">
        <v>140</v>
      </c>
      <c r="CM7" s="13">
        <f>$I$7*CL7</f>
        <v>14140</v>
      </c>
      <c r="CN7" s="12">
        <v>140</v>
      </c>
      <c r="CO7" s="13">
        <f>$I$7*CN7</f>
        <v>14140</v>
      </c>
      <c r="CP7" s="12">
        <v>140</v>
      </c>
      <c r="CQ7" s="13">
        <f>$I$7*CP7</f>
        <v>14140</v>
      </c>
      <c r="CR7" s="12">
        <v>140</v>
      </c>
      <c r="CS7" s="13">
        <f>$I$7*CR7</f>
        <v>14140</v>
      </c>
      <c r="CT7" s="12">
        <v>140</v>
      </c>
      <c r="CU7" s="13">
        <f>$I$7*CT7</f>
        <v>14140</v>
      </c>
      <c r="CW7" s="11" t="s">
        <v>24</v>
      </c>
      <c r="CX7" s="11" t="s">
        <v>25</v>
      </c>
      <c r="CY7" s="11" t="s">
        <v>31</v>
      </c>
      <c r="CZ7" s="11" t="s">
        <v>20</v>
      </c>
      <c r="DA7" s="11" t="s">
        <v>26</v>
      </c>
      <c r="DB7" s="11" t="s">
        <v>22</v>
      </c>
      <c r="DC7" s="11" t="s">
        <v>23</v>
      </c>
      <c r="DD7" s="23">
        <v>105</v>
      </c>
      <c r="DE7" s="12">
        <v>140</v>
      </c>
      <c r="DF7" s="13">
        <f>$I$7*DE7</f>
        <v>14140</v>
      </c>
      <c r="DG7" s="12">
        <v>140</v>
      </c>
      <c r="DH7" s="13">
        <f>$I$7*DG7</f>
        <v>14140</v>
      </c>
      <c r="DI7" s="12">
        <v>140</v>
      </c>
      <c r="DJ7" s="13">
        <f>$I$7*DI7</f>
        <v>14140</v>
      </c>
      <c r="DK7" s="12">
        <v>140</v>
      </c>
      <c r="DL7" s="13">
        <f>$I$7*DK7</f>
        <v>14140</v>
      </c>
      <c r="DM7" s="12">
        <v>140</v>
      </c>
      <c r="DN7" s="13">
        <f>$I$7*DM7</f>
        <v>14140</v>
      </c>
      <c r="DO7" s="12">
        <v>140</v>
      </c>
      <c r="DP7" s="13">
        <f>$I$7*DO7</f>
        <v>14140</v>
      </c>
      <c r="DQ7" s="12">
        <v>140</v>
      </c>
      <c r="DR7" s="13">
        <f>$I$7*DQ7</f>
        <v>14140</v>
      </c>
      <c r="DS7" s="12">
        <v>140</v>
      </c>
      <c r="DT7" s="13">
        <f>$I$7*DS7</f>
        <v>14140</v>
      </c>
      <c r="DU7" s="12">
        <v>140</v>
      </c>
      <c r="DV7" s="13">
        <f>$I$7*DU7</f>
        <v>14140</v>
      </c>
      <c r="DW7" s="12">
        <v>140</v>
      </c>
      <c r="DX7" s="13">
        <f>$I$7*DW7</f>
        <v>14140</v>
      </c>
      <c r="DY7" s="12">
        <v>140</v>
      </c>
      <c r="DZ7" s="13">
        <f>$I$7*DY7</f>
        <v>14140</v>
      </c>
      <c r="EA7" s="12">
        <v>140</v>
      </c>
      <c r="EB7" s="13">
        <f>$I$7*EA7</f>
        <v>14140</v>
      </c>
      <c r="ED7" s="11" t="s">
        <v>24</v>
      </c>
      <c r="EE7" s="11" t="s">
        <v>25</v>
      </c>
      <c r="EF7" s="11" t="s">
        <v>31</v>
      </c>
      <c r="EG7" s="11" t="s">
        <v>20</v>
      </c>
      <c r="EH7" s="11" t="s">
        <v>26</v>
      </c>
      <c r="EI7" s="11" t="s">
        <v>22</v>
      </c>
      <c r="EJ7" s="11" t="s">
        <v>23</v>
      </c>
      <c r="EK7" s="23">
        <v>105</v>
      </c>
      <c r="EL7" s="12">
        <v>140</v>
      </c>
      <c r="EM7" s="13">
        <f>$I$7*EL7</f>
        <v>14140</v>
      </c>
      <c r="EN7" s="12">
        <v>140</v>
      </c>
      <c r="EO7" s="13">
        <f>$I$7*EN7</f>
        <v>14140</v>
      </c>
      <c r="EP7" s="12">
        <v>140</v>
      </c>
      <c r="EQ7" s="13">
        <f>$I$7*EP7</f>
        <v>14140</v>
      </c>
      <c r="ER7" s="12">
        <v>140</v>
      </c>
      <c r="ES7" s="13">
        <f>$I$7*ER7</f>
        <v>14140</v>
      </c>
      <c r="ET7" s="12">
        <v>140</v>
      </c>
      <c r="EU7" s="13">
        <f>$I$7*ET7</f>
        <v>14140</v>
      </c>
      <c r="EV7" s="12">
        <v>140</v>
      </c>
      <c r="EW7" s="13">
        <f>$I$7*EV7</f>
        <v>14140</v>
      </c>
      <c r="EX7" s="12">
        <v>140</v>
      </c>
      <c r="EY7" s="13">
        <f>$I$7*EX7</f>
        <v>14140</v>
      </c>
      <c r="EZ7" s="12">
        <v>140</v>
      </c>
      <c r="FA7" s="13">
        <f>$I$7*EZ7</f>
        <v>14140</v>
      </c>
      <c r="FB7" s="12">
        <v>140</v>
      </c>
      <c r="FC7" s="13">
        <f>$I$7*FB7</f>
        <v>14140</v>
      </c>
      <c r="FD7" s="12">
        <v>140</v>
      </c>
      <c r="FE7" s="13">
        <f>$I$7*FD7</f>
        <v>14140</v>
      </c>
      <c r="FF7" s="12">
        <v>140</v>
      </c>
      <c r="FG7" s="13">
        <f>$I$7*FF7</f>
        <v>14140</v>
      </c>
      <c r="FH7" s="12">
        <v>140</v>
      </c>
      <c r="FI7" s="13">
        <f>$I$7*FH7</f>
        <v>14140</v>
      </c>
    </row>
    <row r="8" spans="1:165">
      <c r="B8" s="11" t="s">
        <v>27</v>
      </c>
      <c r="C8" s="11" t="s">
        <v>28</v>
      </c>
      <c r="D8" s="11" t="s">
        <v>31</v>
      </c>
      <c r="E8" s="11" t="s">
        <v>20</v>
      </c>
      <c r="F8" s="11" t="s">
        <v>32</v>
      </c>
      <c r="G8" s="11" t="s">
        <v>22</v>
      </c>
      <c r="H8" s="11" t="s">
        <v>23</v>
      </c>
      <c r="I8" s="24">
        <v>101</v>
      </c>
      <c r="J8" s="12">
        <v>15</v>
      </c>
      <c r="K8" s="27">
        <f>$I$8*J8</f>
        <v>1515</v>
      </c>
      <c r="L8" s="12">
        <v>30</v>
      </c>
      <c r="M8" s="27">
        <f>$I$8*L8</f>
        <v>3030</v>
      </c>
      <c r="N8" s="12">
        <v>80</v>
      </c>
      <c r="O8" s="27">
        <f>$I$8*N8</f>
        <v>8080</v>
      </c>
      <c r="P8" s="12">
        <v>100</v>
      </c>
      <c r="Q8" s="27">
        <f>$I$8*P8</f>
        <v>10100</v>
      </c>
      <c r="R8" s="12">
        <v>150</v>
      </c>
      <c r="S8" s="27">
        <f>$I$8*R8</f>
        <v>15150</v>
      </c>
      <c r="T8" s="12">
        <v>130</v>
      </c>
      <c r="U8" s="27">
        <f>$I$8*T8</f>
        <v>13130</v>
      </c>
      <c r="V8" s="12">
        <v>140</v>
      </c>
      <c r="W8" s="27">
        <f>$I$8*V8</f>
        <v>14140</v>
      </c>
      <c r="X8" s="12">
        <v>140</v>
      </c>
      <c r="Y8" s="27">
        <f>$I$8*X8</f>
        <v>14140</v>
      </c>
      <c r="Z8" s="12">
        <v>140</v>
      </c>
      <c r="AA8" s="27">
        <f>$I$8*Z8</f>
        <v>14140</v>
      </c>
      <c r="AB8" s="12">
        <v>140</v>
      </c>
      <c r="AC8" s="27">
        <f>$I$8*AB8</f>
        <v>14140</v>
      </c>
      <c r="AD8" s="12">
        <v>140</v>
      </c>
      <c r="AE8" s="27">
        <f>$I$8*AD8</f>
        <v>14140</v>
      </c>
      <c r="AF8" s="12">
        <v>140</v>
      </c>
      <c r="AG8" s="27">
        <f>$I$8*AF8</f>
        <v>14140</v>
      </c>
      <c r="AI8" s="11" t="s">
        <v>27</v>
      </c>
      <c r="AJ8" s="11" t="s">
        <v>28</v>
      </c>
      <c r="AK8" s="11" t="s">
        <v>31</v>
      </c>
      <c r="AL8" s="11" t="s">
        <v>20</v>
      </c>
      <c r="AM8" s="11" t="s">
        <v>32</v>
      </c>
      <c r="AN8" s="11" t="s">
        <v>22</v>
      </c>
      <c r="AO8" s="11" t="s">
        <v>23</v>
      </c>
      <c r="AP8" s="24">
        <v>109</v>
      </c>
      <c r="AQ8" s="12">
        <v>150</v>
      </c>
      <c r="AR8" s="27">
        <f>$I$8*AQ8</f>
        <v>15150</v>
      </c>
      <c r="AS8" s="12">
        <v>150</v>
      </c>
      <c r="AT8" s="27">
        <f>$I$8*AS8</f>
        <v>15150</v>
      </c>
      <c r="AU8" s="12">
        <v>150</v>
      </c>
      <c r="AV8" s="27">
        <f>$I$8*AU8</f>
        <v>15150</v>
      </c>
      <c r="AW8" s="12">
        <v>150</v>
      </c>
      <c r="AX8" s="27">
        <f>$I$8*AW8</f>
        <v>15150</v>
      </c>
      <c r="AY8" s="12">
        <v>150</v>
      </c>
      <c r="AZ8" s="27">
        <f>$I$8*AY8</f>
        <v>15150</v>
      </c>
      <c r="BA8" s="12">
        <v>130</v>
      </c>
      <c r="BB8" s="27">
        <f>$I$8*BA8</f>
        <v>13130</v>
      </c>
      <c r="BC8" s="12">
        <v>140</v>
      </c>
      <c r="BD8" s="27">
        <f>$I$8*BC8</f>
        <v>14140</v>
      </c>
      <c r="BE8" s="12">
        <v>140</v>
      </c>
      <c r="BF8" s="27">
        <f>$I$8*BE8</f>
        <v>14140</v>
      </c>
      <c r="BG8" s="12">
        <v>140</v>
      </c>
      <c r="BH8" s="27">
        <f>$I$8*BG8</f>
        <v>14140</v>
      </c>
      <c r="BI8" s="12">
        <v>140</v>
      </c>
      <c r="BJ8" s="27">
        <f>$I$8*BI8</f>
        <v>14140</v>
      </c>
      <c r="BK8" s="12">
        <v>140</v>
      </c>
      <c r="BL8" s="27">
        <f>$I$8*BK8</f>
        <v>14140</v>
      </c>
      <c r="BM8" s="12">
        <v>140</v>
      </c>
      <c r="BN8" s="27">
        <f>$I$8*BM8</f>
        <v>14140</v>
      </c>
      <c r="BP8" s="11" t="s">
        <v>27</v>
      </c>
      <c r="BQ8" s="11" t="s">
        <v>28</v>
      </c>
      <c r="BR8" s="11" t="s">
        <v>31</v>
      </c>
      <c r="BS8" s="11" t="s">
        <v>20</v>
      </c>
      <c r="BT8" s="11" t="s">
        <v>32</v>
      </c>
      <c r="BU8" s="11" t="s">
        <v>22</v>
      </c>
      <c r="BV8" s="11" t="s">
        <v>23</v>
      </c>
      <c r="BW8" s="24">
        <v>109</v>
      </c>
      <c r="BX8" s="12">
        <v>150</v>
      </c>
      <c r="BY8" s="27">
        <f>$I$8*BX8</f>
        <v>15150</v>
      </c>
      <c r="BZ8" s="12">
        <v>150</v>
      </c>
      <c r="CA8" s="27">
        <f>$I$8*BZ8</f>
        <v>15150</v>
      </c>
      <c r="CB8" s="12">
        <v>150</v>
      </c>
      <c r="CC8" s="27">
        <f>$I$8*CB8</f>
        <v>15150</v>
      </c>
      <c r="CD8" s="12">
        <v>150</v>
      </c>
      <c r="CE8" s="27">
        <f>$I$8*CD8</f>
        <v>15150</v>
      </c>
      <c r="CF8" s="12">
        <v>150</v>
      </c>
      <c r="CG8" s="27">
        <f>$I$8*CF8</f>
        <v>15150</v>
      </c>
      <c r="CH8" s="12">
        <v>130</v>
      </c>
      <c r="CI8" s="27">
        <f>$I$8*CH8</f>
        <v>13130</v>
      </c>
      <c r="CJ8" s="12">
        <v>140</v>
      </c>
      <c r="CK8" s="27">
        <f>$I$8*CJ8</f>
        <v>14140</v>
      </c>
      <c r="CL8" s="12">
        <v>140</v>
      </c>
      <c r="CM8" s="27">
        <f>$I$8*CL8</f>
        <v>14140</v>
      </c>
      <c r="CN8" s="12">
        <v>140</v>
      </c>
      <c r="CO8" s="27">
        <f>$I$8*CN8</f>
        <v>14140</v>
      </c>
      <c r="CP8" s="12">
        <v>140</v>
      </c>
      <c r="CQ8" s="27">
        <f>$I$8*CP8</f>
        <v>14140</v>
      </c>
      <c r="CR8" s="12">
        <v>140</v>
      </c>
      <c r="CS8" s="27">
        <f>$I$8*CR8</f>
        <v>14140</v>
      </c>
      <c r="CT8" s="12">
        <v>140</v>
      </c>
      <c r="CU8" s="27">
        <f>$I$8*CT8</f>
        <v>14140</v>
      </c>
      <c r="CW8" s="11" t="s">
        <v>27</v>
      </c>
      <c r="CX8" s="11" t="s">
        <v>28</v>
      </c>
      <c r="CY8" s="11" t="s">
        <v>31</v>
      </c>
      <c r="CZ8" s="11" t="s">
        <v>20</v>
      </c>
      <c r="DA8" s="11" t="s">
        <v>32</v>
      </c>
      <c r="DB8" s="11" t="s">
        <v>22</v>
      </c>
      <c r="DC8" s="11" t="s">
        <v>23</v>
      </c>
      <c r="DD8" s="24">
        <v>109</v>
      </c>
      <c r="DE8" s="12">
        <v>150</v>
      </c>
      <c r="DF8" s="27">
        <f>$I$8*DE8</f>
        <v>15150</v>
      </c>
      <c r="DG8" s="12">
        <v>150</v>
      </c>
      <c r="DH8" s="27">
        <f>$I$8*DG8</f>
        <v>15150</v>
      </c>
      <c r="DI8" s="12">
        <v>150</v>
      </c>
      <c r="DJ8" s="27">
        <f>$I$8*DI8</f>
        <v>15150</v>
      </c>
      <c r="DK8" s="12">
        <v>150</v>
      </c>
      <c r="DL8" s="27">
        <f>$I$8*DK8</f>
        <v>15150</v>
      </c>
      <c r="DM8" s="12">
        <v>150</v>
      </c>
      <c r="DN8" s="27">
        <f>$I$8*DM8</f>
        <v>15150</v>
      </c>
      <c r="DO8" s="12">
        <v>130</v>
      </c>
      <c r="DP8" s="27">
        <f>$I$8*DO8</f>
        <v>13130</v>
      </c>
      <c r="DQ8" s="12">
        <v>140</v>
      </c>
      <c r="DR8" s="27">
        <f>$I$8*DQ8</f>
        <v>14140</v>
      </c>
      <c r="DS8" s="12">
        <v>140</v>
      </c>
      <c r="DT8" s="27">
        <f>$I$8*DS8</f>
        <v>14140</v>
      </c>
      <c r="DU8" s="12">
        <v>140</v>
      </c>
      <c r="DV8" s="27">
        <f>$I$8*DU8</f>
        <v>14140</v>
      </c>
      <c r="DW8" s="12">
        <v>140</v>
      </c>
      <c r="DX8" s="27">
        <f>$I$8*DW8</f>
        <v>14140</v>
      </c>
      <c r="DY8" s="12">
        <v>140</v>
      </c>
      <c r="DZ8" s="27">
        <f>$I$8*DY8</f>
        <v>14140</v>
      </c>
      <c r="EA8" s="12">
        <v>140</v>
      </c>
      <c r="EB8" s="27">
        <f>$I$8*EA8</f>
        <v>14140</v>
      </c>
      <c r="ED8" s="11" t="s">
        <v>27</v>
      </c>
      <c r="EE8" s="11" t="s">
        <v>28</v>
      </c>
      <c r="EF8" s="11" t="s">
        <v>31</v>
      </c>
      <c r="EG8" s="11" t="s">
        <v>20</v>
      </c>
      <c r="EH8" s="11" t="s">
        <v>32</v>
      </c>
      <c r="EI8" s="11" t="s">
        <v>22</v>
      </c>
      <c r="EJ8" s="11" t="s">
        <v>23</v>
      </c>
      <c r="EK8" s="24">
        <v>109</v>
      </c>
      <c r="EL8" s="12">
        <v>150</v>
      </c>
      <c r="EM8" s="27">
        <f>$I$8*EL8</f>
        <v>15150</v>
      </c>
      <c r="EN8" s="12">
        <v>150</v>
      </c>
      <c r="EO8" s="27">
        <f>$I$8*EN8</f>
        <v>15150</v>
      </c>
      <c r="EP8" s="12">
        <v>150</v>
      </c>
      <c r="EQ8" s="27">
        <f>$I$8*EP8</f>
        <v>15150</v>
      </c>
      <c r="ER8" s="12">
        <v>150</v>
      </c>
      <c r="ES8" s="27">
        <f>$I$8*ER8</f>
        <v>15150</v>
      </c>
      <c r="ET8" s="12">
        <v>150</v>
      </c>
      <c r="EU8" s="27">
        <f>$I$8*ET8</f>
        <v>15150</v>
      </c>
      <c r="EV8" s="12">
        <v>130</v>
      </c>
      <c r="EW8" s="27">
        <f>$I$8*EV8</f>
        <v>13130</v>
      </c>
      <c r="EX8" s="12">
        <v>140</v>
      </c>
      <c r="EY8" s="27">
        <f>$I$8*EX8</f>
        <v>14140</v>
      </c>
      <c r="EZ8" s="12">
        <v>140</v>
      </c>
      <c r="FA8" s="27">
        <f>$I$8*EZ8</f>
        <v>14140</v>
      </c>
      <c r="FB8" s="12">
        <v>140</v>
      </c>
      <c r="FC8" s="27">
        <f>$I$8*FB8</f>
        <v>14140</v>
      </c>
      <c r="FD8" s="12">
        <v>140</v>
      </c>
      <c r="FE8" s="27">
        <f>$I$8*FD8</f>
        <v>14140</v>
      </c>
      <c r="FF8" s="12">
        <v>140</v>
      </c>
      <c r="FG8" s="27">
        <f>$I$8*FF8</f>
        <v>14140</v>
      </c>
      <c r="FH8" s="12">
        <v>140</v>
      </c>
      <c r="FI8" s="27">
        <f>$I$8*FH8</f>
        <v>14140</v>
      </c>
    </row>
    <row r="9" spans="1:165" ht="15" thickBot="1">
      <c r="B9" s="15"/>
      <c r="C9" s="15"/>
      <c r="D9" s="15"/>
      <c r="E9" s="15"/>
      <c r="F9" s="15"/>
      <c r="G9" s="15"/>
      <c r="H9" s="15"/>
      <c r="I9" s="16"/>
      <c r="J9" s="16"/>
      <c r="K9" s="17"/>
      <c r="L9" s="18"/>
      <c r="M9" s="19"/>
      <c r="N9" s="18"/>
      <c r="O9" s="19"/>
      <c r="P9" s="18"/>
      <c r="Q9" s="19"/>
      <c r="R9" s="18"/>
      <c r="S9" s="14"/>
      <c r="T9" s="18"/>
      <c r="U9" s="19"/>
      <c r="V9" s="18"/>
      <c r="W9" s="19"/>
      <c r="X9" s="18"/>
      <c r="Y9" s="19"/>
      <c r="Z9" s="18"/>
      <c r="AA9" s="19"/>
      <c r="AB9" s="18"/>
      <c r="AC9" s="19"/>
      <c r="AD9" s="18"/>
      <c r="AE9" s="19"/>
      <c r="AF9" s="18"/>
      <c r="AG9" s="19"/>
      <c r="AI9" s="15"/>
      <c r="AJ9" s="15"/>
      <c r="AK9" s="15"/>
      <c r="AL9" s="15"/>
      <c r="AM9" s="15"/>
      <c r="AN9" s="15"/>
      <c r="AO9" s="15"/>
      <c r="AP9" s="16"/>
      <c r="AQ9" s="16"/>
      <c r="AR9" s="17"/>
      <c r="AS9" s="18"/>
      <c r="AT9" s="19"/>
      <c r="AU9" s="18"/>
      <c r="AV9" s="19"/>
      <c r="AW9" s="18"/>
      <c r="AX9" s="19"/>
      <c r="AY9" s="18"/>
      <c r="AZ9" s="14"/>
      <c r="BA9" s="18"/>
      <c r="BB9" s="19"/>
      <c r="BC9" s="18"/>
      <c r="BD9" s="19"/>
      <c r="BE9" s="18"/>
      <c r="BF9" s="19"/>
      <c r="BG9" s="18"/>
      <c r="BH9" s="19"/>
      <c r="BI9" s="18"/>
      <c r="BJ9" s="19"/>
      <c r="BK9" s="18"/>
      <c r="BL9" s="19"/>
      <c r="BM9" s="18"/>
      <c r="BN9" s="19"/>
      <c r="BP9" s="15"/>
      <c r="BQ9" s="15"/>
      <c r="BR9" s="15"/>
      <c r="BS9" s="15"/>
      <c r="BT9" s="15"/>
      <c r="BU9" s="15"/>
      <c r="BV9" s="15"/>
      <c r="BW9" s="16"/>
      <c r="BX9" s="16"/>
      <c r="BY9" s="17"/>
      <c r="BZ9" s="18"/>
      <c r="CA9" s="19"/>
      <c r="CB9" s="18"/>
      <c r="CC9" s="19"/>
      <c r="CD9" s="18"/>
      <c r="CE9" s="19"/>
      <c r="CF9" s="18"/>
      <c r="CG9" s="14"/>
      <c r="CH9" s="18"/>
      <c r="CI9" s="19"/>
      <c r="CJ9" s="18"/>
      <c r="CK9" s="19"/>
      <c r="CL9" s="18"/>
      <c r="CM9" s="19"/>
      <c r="CN9" s="18"/>
      <c r="CO9" s="19"/>
      <c r="CP9" s="18"/>
      <c r="CQ9" s="19"/>
      <c r="CR9" s="18"/>
      <c r="CS9" s="19"/>
      <c r="CT9" s="18"/>
      <c r="CU9" s="19"/>
      <c r="CW9" s="15"/>
      <c r="CX9" s="15"/>
      <c r="CY9" s="15"/>
      <c r="CZ9" s="15"/>
      <c r="DA9" s="15"/>
      <c r="DB9" s="15"/>
      <c r="DC9" s="15"/>
      <c r="DD9" s="16"/>
      <c r="DE9" s="16"/>
      <c r="DF9" s="17"/>
      <c r="DG9" s="18"/>
      <c r="DH9" s="19"/>
      <c r="DI9" s="18"/>
      <c r="DJ9" s="19"/>
      <c r="DK9" s="18"/>
      <c r="DL9" s="19"/>
      <c r="DM9" s="18"/>
      <c r="DN9" s="14"/>
      <c r="DO9" s="18"/>
      <c r="DP9" s="19"/>
      <c r="DQ9" s="18"/>
      <c r="DR9" s="19"/>
      <c r="DS9" s="18"/>
      <c r="DT9" s="19"/>
      <c r="DU9" s="18"/>
      <c r="DV9" s="19"/>
      <c r="DW9" s="18"/>
      <c r="DX9" s="19"/>
      <c r="DY9" s="18"/>
      <c r="DZ9" s="19"/>
      <c r="EA9" s="18"/>
      <c r="EB9" s="19"/>
      <c r="ED9" s="15"/>
      <c r="EE9" s="15"/>
      <c r="EF9" s="15"/>
      <c r="EG9" s="15"/>
      <c r="EH9" s="15"/>
      <c r="EI9" s="15"/>
      <c r="EJ9" s="15"/>
      <c r="EK9" s="16"/>
      <c r="EL9" s="16"/>
      <c r="EM9" s="17"/>
      <c r="EN9" s="18"/>
      <c r="EO9" s="19"/>
      <c r="EP9" s="18"/>
      <c r="EQ9" s="19"/>
      <c r="ER9" s="18"/>
      <c r="ES9" s="19"/>
      <c r="ET9" s="18"/>
      <c r="EU9" s="14"/>
      <c r="EV9" s="18"/>
      <c r="EW9" s="19"/>
      <c r="EX9" s="18"/>
      <c r="EY9" s="19"/>
      <c r="EZ9" s="18"/>
      <c r="FA9" s="19"/>
      <c r="FB9" s="18"/>
      <c r="FC9" s="19"/>
      <c r="FD9" s="18"/>
      <c r="FE9" s="19"/>
      <c r="FF9" s="18"/>
      <c r="FG9" s="19"/>
      <c r="FH9" s="18"/>
      <c r="FI9" s="19"/>
    </row>
    <row r="10" spans="1:165" ht="15" thickBot="1">
      <c r="B10" s="371" t="s">
        <v>29</v>
      </c>
      <c r="C10" s="372"/>
      <c r="D10" s="372"/>
      <c r="E10" s="372"/>
      <c r="F10" s="372"/>
      <c r="G10" s="372"/>
      <c r="H10" s="372"/>
      <c r="I10" s="373"/>
      <c r="J10" s="20">
        <f t="shared" ref="J10:AG10" si="0">SUM(J6:J8)</f>
        <v>40</v>
      </c>
      <c r="K10" s="21">
        <f t="shared" si="0"/>
        <v>4030</v>
      </c>
      <c r="L10" s="20">
        <f t="shared" si="0"/>
        <v>80</v>
      </c>
      <c r="M10" s="21">
        <f t="shared" si="0"/>
        <v>8060</v>
      </c>
      <c r="N10" s="20">
        <f t="shared" si="0"/>
        <v>200</v>
      </c>
      <c r="O10" s="21">
        <f t="shared" si="0"/>
        <v>20160</v>
      </c>
      <c r="P10" s="20">
        <f t="shared" si="0"/>
        <v>290</v>
      </c>
      <c r="Q10" s="21">
        <f t="shared" si="0"/>
        <v>29200</v>
      </c>
      <c r="R10" s="20">
        <f t="shared" si="0"/>
        <v>445</v>
      </c>
      <c r="S10" s="21">
        <f t="shared" si="0"/>
        <v>44790</v>
      </c>
      <c r="T10" s="20">
        <f t="shared" si="0"/>
        <v>425</v>
      </c>
      <c r="U10" s="21">
        <f t="shared" si="0"/>
        <v>42770</v>
      </c>
      <c r="V10" s="20">
        <f t="shared" si="0"/>
        <v>435</v>
      </c>
      <c r="W10" s="21">
        <f t="shared" si="0"/>
        <v>43780</v>
      </c>
      <c r="X10" s="20">
        <f t="shared" si="0"/>
        <v>435</v>
      </c>
      <c r="Y10" s="21">
        <f t="shared" si="0"/>
        <v>43780</v>
      </c>
      <c r="Z10" s="20">
        <f t="shared" si="0"/>
        <v>435</v>
      </c>
      <c r="AA10" s="21">
        <f t="shared" si="0"/>
        <v>43780</v>
      </c>
      <c r="AB10" s="20">
        <f t="shared" si="0"/>
        <v>435</v>
      </c>
      <c r="AC10" s="21">
        <f t="shared" si="0"/>
        <v>43780</v>
      </c>
      <c r="AD10" s="20">
        <f t="shared" si="0"/>
        <v>435</v>
      </c>
      <c r="AE10" s="20">
        <f t="shared" si="0"/>
        <v>43780</v>
      </c>
      <c r="AF10" s="20">
        <f t="shared" si="0"/>
        <v>435</v>
      </c>
      <c r="AG10" s="22">
        <f t="shared" si="0"/>
        <v>43780</v>
      </c>
      <c r="AI10" s="371" t="s">
        <v>29</v>
      </c>
      <c r="AJ10" s="372"/>
      <c r="AK10" s="372"/>
      <c r="AL10" s="372"/>
      <c r="AM10" s="372"/>
      <c r="AN10" s="372"/>
      <c r="AO10" s="372"/>
      <c r="AP10" s="373"/>
      <c r="AQ10" s="20">
        <f t="shared" ref="AQ10:BN10" si="1">SUM(AQ6:AQ8)</f>
        <v>445</v>
      </c>
      <c r="AR10" s="21">
        <f t="shared" si="1"/>
        <v>44790</v>
      </c>
      <c r="AS10" s="20">
        <f t="shared" si="1"/>
        <v>445</v>
      </c>
      <c r="AT10" s="21">
        <f t="shared" si="1"/>
        <v>44790</v>
      </c>
      <c r="AU10" s="20">
        <f t="shared" si="1"/>
        <v>445</v>
      </c>
      <c r="AV10" s="21">
        <f t="shared" si="1"/>
        <v>44790</v>
      </c>
      <c r="AW10" s="20">
        <f t="shared" si="1"/>
        <v>445</v>
      </c>
      <c r="AX10" s="21">
        <f t="shared" si="1"/>
        <v>44790</v>
      </c>
      <c r="AY10" s="20">
        <f t="shared" si="1"/>
        <v>445</v>
      </c>
      <c r="AZ10" s="21">
        <f t="shared" si="1"/>
        <v>44790</v>
      </c>
      <c r="BA10" s="20">
        <f t="shared" si="1"/>
        <v>425</v>
      </c>
      <c r="BB10" s="21">
        <f t="shared" si="1"/>
        <v>42770</v>
      </c>
      <c r="BC10" s="20">
        <f t="shared" si="1"/>
        <v>435</v>
      </c>
      <c r="BD10" s="21">
        <f t="shared" si="1"/>
        <v>43780</v>
      </c>
      <c r="BE10" s="20">
        <f t="shared" si="1"/>
        <v>435</v>
      </c>
      <c r="BF10" s="21">
        <f t="shared" si="1"/>
        <v>43780</v>
      </c>
      <c r="BG10" s="20">
        <f t="shared" si="1"/>
        <v>435</v>
      </c>
      <c r="BH10" s="21">
        <f t="shared" si="1"/>
        <v>43780</v>
      </c>
      <c r="BI10" s="20">
        <f t="shared" si="1"/>
        <v>435</v>
      </c>
      <c r="BJ10" s="21">
        <f t="shared" si="1"/>
        <v>43780</v>
      </c>
      <c r="BK10" s="20">
        <f t="shared" si="1"/>
        <v>435</v>
      </c>
      <c r="BL10" s="20">
        <f t="shared" si="1"/>
        <v>43780</v>
      </c>
      <c r="BM10" s="20">
        <f t="shared" si="1"/>
        <v>435</v>
      </c>
      <c r="BN10" s="22">
        <f t="shared" si="1"/>
        <v>43780</v>
      </c>
      <c r="BP10" s="371" t="s">
        <v>29</v>
      </c>
      <c r="BQ10" s="372"/>
      <c r="BR10" s="372"/>
      <c r="BS10" s="372"/>
      <c r="BT10" s="372"/>
      <c r="BU10" s="372"/>
      <c r="BV10" s="372"/>
      <c r="BW10" s="373"/>
      <c r="BX10" s="20">
        <f t="shared" ref="BX10:CU10" si="2">SUM(BX6:BX8)</f>
        <v>445</v>
      </c>
      <c r="BY10" s="21">
        <f t="shared" si="2"/>
        <v>44790</v>
      </c>
      <c r="BZ10" s="20">
        <f t="shared" si="2"/>
        <v>445</v>
      </c>
      <c r="CA10" s="21">
        <f t="shared" si="2"/>
        <v>44790</v>
      </c>
      <c r="CB10" s="20">
        <f t="shared" si="2"/>
        <v>445</v>
      </c>
      <c r="CC10" s="21">
        <f t="shared" si="2"/>
        <v>44790</v>
      </c>
      <c r="CD10" s="20">
        <f t="shared" si="2"/>
        <v>445</v>
      </c>
      <c r="CE10" s="21">
        <f t="shared" si="2"/>
        <v>44790</v>
      </c>
      <c r="CF10" s="20">
        <f t="shared" si="2"/>
        <v>445</v>
      </c>
      <c r="CG10" s="21">
        <f t="shared" si="2"/>
        <v>44790</v>
      </c>
      <c r="CH10" s="20">
        <f t="shared" si="2"/>
        <v>425</v>
      </c>
      <c r="CI10" s="21">
        <f t="shared" si="2"/>
        <v>42770</v>
      </c>
      <c r="CJ10" s="20">
        <f t="shared" si="2"/>
        <v>435</v>
      </c>
      <c r="CK10" s="21">
        <f t="shared" si="2"/>
        <v>43780</v>
      </c>
      <c r="CL10" s="20">
        <f t="shared" si="2"/>
        <v>435</v>
      </c>
      <c r="CM10" s="21">
        <f t="shared" si="2"/>
        <v>43780</v>
      </c>
      <c r="CN10" s="20">
        <f t="shared" si="2"/>
        <v>435</v>
      </c>
      <c r="CO10" s="21">
        <f t="shared" si="2"/>
        <v>43780</v>
      </c>
      <c r="CP10" s="20">
        <f t="shared" si="2"/>
        <v>435</v>
      </c>
      <c r="CQ10" s="21">
        <f t="shared" si="2"/>
        <v>43780</v>
      </c>
      <c r="CR10" s="20">
        <f t="shared" si="2"/>
        <v>435</v>
      </c>
      <c r="CS10" s="20">
        <f t="shared" si="2"/>
        <v>43780</v>
      </c>
      <c r="CT10" s="20">
        <f t="shared" si="2"/>
        <v>435</v>
      </c>
      <c r="CU10" s="22">
        <f t="shared" si="2"/>
        <v>43780</v>
      </c>
      <c r="CW10" s="371" t="s">
        <v>29</v>
      </c>
      <c r="CX10" s="372"/>
      <c r="CY10" s="372"/>
      <c r="CZ10" s="372"/>
      <c r="DA10" s="372"/>
      <c r="DB10" s="372"/>
      <c r="DC10" s="372"/>
      <c r="DD10" s="373"/>
      <c r="DE10" s="20">
        <f t="shared" ref="DE10:EB10" si="3">SUM(DE6:DE8)</f>
        <v>445</v>
      </c>
      <c r="DF10" s="21">
        <f t="shared" si="3"/>
        <v>44790</v>
      </c>
      <c r="DG10" s="20">
        <f t="shared" si="3"/>
        <v>445</v>
      </c>
      <c r="DH10" s="21">
        <f t="shared" si="3"/>
        <v>44790</v>
      </c>
      <c r="DI10" s="20">
        <f t="shared" si="3"/>
        <v>445</v>
      </c>
      <c r="DJ10" s="21">
        <f t="shared" si="3"/>
        <v>44790</v>
      </c>
      <c r="DK10" s="20">
        <f t="shared" si="3"/>
        <v>445</v>
      </c>
      <c r="DL10" s="21">
        <f t="shared" si="3"/>
        <v>44790</v>
      </c>
      <c r="DM10" s="20">
        <f t="shared" si="3"/>
        <v>445</v>
      </c>
      <c r="DN10" s="21">
        <f t="shared" si="3"/>
        <v>44790</v>
      </c>
      <c r="DO10" s="20">
        <f t="shared" si="3"/>
        <v>425</v>
      </c>
      <c r="DP10" s="21">
        <f t="shared" si="3"/>
        <v>42770</v>
      </c>
      <c r="DQ10" s="20">
        <f t="shared" si="3"/>
        <v>435</v>
      </c>
      <c r="DR10" s="21">
        <f t="shared" si="3"/>
        <v>43780</v>
      </c>
      <c r="DS10" s="20">
        <f t="shared" si="3"/>
        <v>435</v>
      </c>
      <c r="DT10" s="21">
        <f t="shared" si="3"/>
        <v>43780</v>
      </c>
      <c r="DU10" s="20">
        <f t="shared" si="3"/>
        <v>435</v>
      </c>
      <c r="DV10" s="21">
        <f t="shared" si="3"/>
        <v>43780</v>
      </c>
      <c r="DW10" s="20">
        <f t="shared" si="3"/>
        <v>435</v>
      </c>
      <c r="DX10" s="21">
        <f t="shared" si="3"/>
        <v>43780</v>
      </c>
      <c r="DY10" s="20">
        <f t="shared" si="3"/>
        <v>435</v>
      </c>
      <c r="DZ10" s="20">
        <f t="shared" si="3"/>
        <v>43780</v>
      </c>
      <c r="EA10" s="20">
        <f t="shared" si="3"/>
        <v>435</v>
      </c>
      <c r="EB10" s="22">
        <f t="shared" si="3"/>
        <v>43780</v>
      </c>
      <c r="ED10" s="371" t="s">
        <v>29</v>
      </c>
      <c r="EE10" s="372"/>
      <c r="EF10" s="372"/>
      <c r="EG10" s="372"/>
      <c r="EH10" s="372"/>
      <c r="EI10" s="372"/>
      <c r="EJ10" s="372"/>
      <c r="EK10" s="373"/>
      <c r="EL10" s="20">
        <f t="shared" ref="EL10:FI10" si="4">SUM(EL6:EL8)</f>
        <v>445</v>
      </c>
      <c r="EM10" s="21">
        <f t="shared" si="4"/>
        <v>44790</v>
      </c>
      <c r="EN10" s="20">
        <f t="shared" si="4"/>
        <v>445</v>
      </c>
      <c r="EO10" s="21">
        <f t="shared" si="4"/>
        <v>44790</v>
      </c>
      <c r="EP10" s="20">
        <f t="shared" si="4"/>
        <v>445</v>
      </c>
      <c r="EQ10" s="21">
        <f t="shared" si="4"/>
        <v>44790</v>
      </c>
      <c r="ER10" s="20">
        <f t="shared" si="4"/>
        <v>445</v>
      </c>
      <c r="ES10" s="21">
        <f t="shared" si="4"/>
        <v>44790</v>
      </c>
      <c r="ET10" s="20">
        <f t="shared" si="4"/>
        <v>445</v>
      </c>
      <c r="EU10" s="21">
        <f t="shared" si="4"/>
        <v>44790</v>
      </c>
      <c r="EV10" s="20">
        <f t="shared" si="4"/>
        <v>425</v>
      </c>
      <c r="EW10" s="21">
        <f t="shared" si="4"/>
        <v>42770</v>
      </c>
      <c r="EX10" s="20">
        <f t="shared" si="4"/>
        <v>435</v>
      </c>
      <c r="EY10" s="21">
        <f t="shared" si="4"/>
        <v>43780</v>
      </c>
      <c r="EZ10" s="20">
        <f t="shared" si="4"/>
        <v>435</v>
      </c>
      <c r="FA10" s="21">
        <f t="shared" si="4"/>
        <v>43780</v>
      </c>
      <c r="FB10" s="20">
        <f t="shared" si="4"/>
        <v>435</v>
      </c>
      <c r="FC10" s="21">
        <f t="shared" si="4"/>
        <v>43780</v>
      </c>
      <c r="FD10" s="20">
        <f t="shared" si="4"/>
        <v>435</v>
      </c>
      <c r="FE10" s="21">
        <f t="shared" si="4"/>
        <v>43780</v>
      </c>
      <c r="FF10" s="20">
        <f t="shared" si="4"/>
        <v>435</v>
      </c>
      <c r="FG10" s="20">
        <f t="shared" si="4"/>
        <v>43780</v>
      </c>
      <c r="FH10" s="20">
        <f t="shared" si="4"/>
        <v>435</v>
      </c>
      <c r="FI10" s="22">
        <f t="shared" si="4"/>
        <v>43780</v>
      </c>
    </row>
    <row r="11" spans="1:165" ht="15" thickBot="1">
      <c r="B11" s="371" t="s">
        <v>30</v>
      </c>
      <c r="C11" s="372"/>
      <c r="D11" s="372"/>
      <c r="E11" s="372"/>
      <c r="F11" s="372"/>
      <c r="G11" s="372"/>
      <c r="H11" s="372"/>
      <c r="I11" s="373"/>
      <c r="J11" s="369">
        <f>K10</f>
        <v>4030</v>
      </c>
      <c r="K11" s="370"/>
      <c r="L11" s="369">
        <f>J11+M10</f>
        <v>12090</v>
      </c>
      <c r="M11" s="370"/>
      <c r="N11" s="369">
        <f>L11+O10</f>
        <v>32250</v>
      </c>
      <c r="O11" s="370"/>
      <c r="P11" s="369">
        <f>N11+Q10</f>
        <v>61450</v>
      </c>
      <c r="Q11" s="370"/>
      <c r="R11" s="369">
        <f>P11+S10</f>
        <v>106240</v>
      </c>
      <c r="S11" s="370"/>
      <c r="T11" s="369">
        <f>R11+U10</f>
        <v>149010</v>
      </c>
      <c r="U11" s="370"/>
      <c r="V11" s="369">
        <f>T11+W10</f>
        <v>192790</v>
      </c>
      <c r="W11" s="370"/>
      <c r="X11" s="369">
        <f>V11+Y10</f>
        <v>236570</v>
      </c>
      <c r="Y11" s="370"/>
      <c r="Z11" s="369">
        <f>X11+AA10</f>
        <v>280350</v>
      </c>
      <c r="AA11" s="370"/>
      <c r="AB11" s="369">
        <f>Z11+AC10</f>
        <v>324130</v>
      </c>
      <c r="AC11" s="370"/>
      <c r="AD11" s="369">
        <f>AB11+AE10</f>
        <v>367910</v>
      </c>
      <c r="AE11" s="370"/>
      <c r="AF11" s="369">
        <f>AD11+AG10</f>
        <v>411690</v>
      </c>
      <c r="AG11" s="370"/>
      <c r="AI11" s="371" t="s">
        <v>30</v>
      </c>
      <c r="AJ11" s="372"/>
      <c r="AK11" s="372"/>
      <c r="AL11" s="372"/>
      <c r="AM11" s="372"/>
      <c r="AN11" s="372"/>
      <c r="AO11" s="372"/>
      <c r="AP11" s="373"/>
      <c r="AQ11" s="369">
        <f>AR10</f>
        <v>44790</v>
      </c>
      <c r="AR11" s="370"/>
      <c r="AS11" s="369">
        <f>AQ11+AT10</f>
        <v>89580</v>
      </c>
      <c r="AT11" s="370"/>
      <c r="AU11" s="369">
        <f>AS11+AV10</f>
        <v>134370</v>
      </c>
      <c r="AV11" s="370"/>
      <c r="AW11" s="369">
        <f>AU11+AX10</f>
        <v>179160</v>
      </c>
      <c r="AX11" s="370"/>
      <c r="AY11" s="369">
        <f>AW11+AZ10</f>
        <v>223950</v>
      </c>
      <c r="AZ11" s="370"/>
      <c r="BA11" s="369">
        <f>AY11+BB10</f>
        <v>266720</v>
      </c>
      <c r="BB11" s="370"/>
      <c r="BC11" s="369">
        <f>BA11+BD10</f>
        <v>310500</v>
      </c>
      <c r="BD11" s="370"/>
      <c r="BE11" s="369">
        <f>BC11+BF10</f>
        <v>354280</v>
      </c>
      <c r="BF11" s="370"/>
      <c r="BG11" s="369">
        <f>BE11+BH10</f>
        <v>398060</v>
      </c>
      <c r="BH11" s="370"/>
      <c r="BI11" s="369">
        <f>BG11+BJ10</f>
        <v>441840</v>
      </c>
      <c r="BJ11" s="370"/>
      <c r="BK11" s="369">
        <f>BI11+BL10</f>
        <v>485620</v>
      </c>
      <c r="BL11" s="370"/>
      <c r="BM11" s="369">
        <f>BK11+BN10</f>
        <v>529400</v>
      </c>
      <c r="BN11" s="370"/>
      <c r="BP11" s="371" t="s">
        <v>30</v>
      </c>
      <c r="BQ11" s="372"/>
      <c r="BR11" s="372"/>
      <c r="BS11" s="372"/>
      <c r="BT11" s="372"/>
      <c r="BU11" s="372"/>
      <c r="BV11" s="372"/>
      <c r="BW11" s="373"/>
      <c r="BX11" s="369">
        <f>BY10</f>
        <v>44790</v>
      </c>
      <c r="BY11" s="370"/>
      <c r="BZ11" s="369">
        <f>BX11+CA10</f>
        <v>89580</v>
      </c>
      <c r="CA11" s="370"/>
      <c r="CB11" s="369">
        <f>BZ11+CC10</f>
        <v>134370</v>
      </c>
      <c r="CC11" s="370"/>
      <c r="CD11" s="369">
        <f>CB11+CE10</f>
        <v>179160</v>
      </c>
      <c r="CE11" s="370"/>
      <c r="CF11" s="369">
        <f>CD11+CG10</f>
        <v>223950</v>
      </c>
      <c r="CG11" s="370"/>
      <c r="CH11" s="369">
        <f>CF11+CI10</f>
        <v>266720</v>
      </c>
      <c r="CI11" s="370"/>
      <c r="CJ11" s="369">
        <f>CH11+CK10</f>
        <v>310500</v>
      </c>
      <c r="CK11" s="370"/>
      <c r="CL11" s="369">
        <f>CJ11+CM10</f>
        <v>354280</v>
      </c>
      <c r="CM11" s="370"/>
      <c r="CN11" s="369">
        <f>CL11+CO10</f>
        <v>398060</v>
      </c>
      <c r="CO11" s="370"/>
      <c r="CP11" s="369">
        <f>CN11+CQ10</f>
        <v>441840</v>
      </c>
      <c r="CQ11" s="370"/>
      <c r="CR11" s="369">
        <f>CP11+CS10</f>
        <v>485620</v>
      </c>
      <c r="CS11" s="370"/>
      <c r="CT11" s="369">
        <f>CR11+CU10</f>
        <v>529400</v>
      </c>
      <c r="CU11" s="370"/>
      <c r="CW11" s="371" t="s">
        <v>30</v>
      </c>
      <c r="CX11" s="372"/>
      <c r="CY11" s="372"/>
      <c r="CZ11" s="372"/>
      <c r="DA11" s="372"/>
      <c r="DB11" s="372"/>
      <c r="DC11" s="372"/>
      <c r="DD11" s="373"/>
      <c r="DE11" s="369">
        <f>DF10</f>
        <v>44790</v>
      </c>
      <c r="DF11" s="370"/>
      <c r="DG11" s="369">
        <f>DE11+DH10</f>
        <v>89580</v>
      </c>
      <c r="DH11" s="370"/>
      <c r="DI11" s="369">
        <f>DG11+DJ10</f>
        <v>134370</v>
      </c>
      <c r="DJ11" s="370"/>
      <c r="DK11" s="369">
        <f>DI11+DL10</f>
        <v>179160</v>
      </c>
      <c r="DL11" s="370"/>
      <c r="DM11" s="369">
        <f>DK11+DN10</f>
        <v>223950</v>
      </c>
      <c r="DN11" s="370"/>
      <c r="DO11" s="369">
        <f>DM11+DP10</f>
        <v>266720</v>
      </c>
      <c r="DP11" s="370"/>
      <c r="DQ11" s="369">
        <f>DO11+DR10</f>
        <v>310500</v>
      </c>
      <c r="DR11" s="370"/>
      <c r="DS11" s="369">
        <f>DQ11+DT10</f>
        <v>354280</v>
      </c>
      <c r="DT11" s="370"/>
      <c r="DU11" s="369">
        <f>DS11+DV10</f>
        <v>398060</v>
      </c>
      <c r="DV11" s="370"/>
      <c r="DW11" s="369">
        <f>DU11+DX10</f>
        <v>441840</v>
      </c>
      <c r="DX11" s="370"/>
      <c r="DY11" s="369">
        <f>DW11+DZ10</f>
        <v>485620</v>
      </c>
      <c r="DZ11" s="370"/>
      <c r="EA11" s="369">
        <f>DY11+EB10</f>
        <v>529400</v>
      </c>
      <c r="EB11" s="370"/>
      <c r="ED11" s="371" t="s">
        <v>30</v>
      </c>
      <c r="EE11" s="372"/>
      <c r="EF11" s="372"/>
      <c r="EG11" s="372"/>
      <c r="EH11" s="372"/>
      <c r="EI11" s="372"/>
      <c r="EJ11" s="372"/>
      <c r="EK11" s="373"/>
      <c r="EL11" s="369">
        <f>EM10</f>
        <v>44790</v>
      </c>
      <c r="EM11" s="370"/>
      <c r="EN11" s="369">
        <f>EL11+EO10</f>
        <v>89580</v>
      </c>
      <c r="EO11" s="370"/>
      <c r="EP11" s="369">
        <f>EN11+EQ10</f>
        <v>134370</v>
      </c>
      <c r="EQ11" s="370"/>
      <c r="ER11" s="369">
        <f>EP11+ES10</f>
        <v>179160</v>
      </c>
      <c r="ES11" s="370"/>
      <c r="ET11" s="369">
        <f>ER11+EU10</f>
        <v>223950</v>
      </c>
      <c r="EU11" s="370"/>
      <c r="EV11" s="369">
        <f>ET11+EW10</f>
        <v>266720</v>
      </c>
      <c r="EW11" s="370"/>
      <c r="EX11" s="369">
        <f>EV11+EY10</f>
        <v>310500</v>
      </c>
      <c r="EY11" s="370"/>
      <c r="EZ11" s="369">
        <f>EX11+FA10</f>
        <v>354280</v>
      </c>
      <c r="FA11" s="370"/>
      <c r="FB11" s="369">
        <f>EZ11+FC10</f>
        <v>398060</v>
      </c>
      <c r="FC11" s="370"/>
      <c r="FD11" s="369">
        <f>FB11+FE10</f>
        <v>441840</v>
      </c>
      <c r="FE11" s="370"/>
      <c r="FF11" s="369">
        <f>FD11+FG10</f>
        <v>485620</v>
      </c>
      <c r="FG11" s="370"/>
      <c r="FH11" s="369">
        <f>FF11+FI10</f>
        <v>529400</v>
      </c>
      <c r="FI11" s="370"/>
    </row>
    <row r="12" spans="1:165" ht="15" thickBot="1">
      <c r="B12" s="371" t="s">
        <v>35</v>
      </c>
      <c r="C12" s="372"/>
      <c r="D12" s="372"/>
      <c r="E12" s="372"/>
      <c r="F12" s="372"/>
      <c r="G12" s="372"/>
      <c r="H12" s="372"/>
      <c r="I12" s="373"/>
      <c r="J12" s="374">
        <f>J10/$E$3</f>
        <v>1.9230769230769232E-2</v>
      </c>
      <c r="K12" s="375"/>
      <c r="L12" s="31">
        <f>(L10/$E$3)+J12</f>
        <v>5.7692307692307696E-2</v>
      </c>
      <c r="M12" s="32"/>
      <c r="N12" s="31">
        <f t="shared" ref="N12" si="5">(N10/$E$3)+L12</f>
        <v>0.15384615384615385</v>
      </c>
      <c r="O12" s="32"/>
      <c r="P12" s="31">
        <f t="shared" ref="P12" si="6">(P10/$E$3)+N12</f>
        <v>0.29326923076923078</v>
      </c>
      <c r="Q12" s="32"/>
      <c r="R12" s="31">
        <f t="shared" ref="R12" si="7">(R10/$E$3)+P12</f>
        <v>0.50721153846153844</v>
      </c>
      <c r="S12" s="32"/>
      <c r="T12" s="31">
        <f t="shared" ref="T12" si="8">(T10/$E$3)+R12</f>
        <v>0.71153846153846145</v>
      </c>
      <c r="U12" s="32"/>
      <c r="V12" s="31">
        <f t="shared" ref="V12" si="9">(V10/$E$3)+T12</f>
        <v>0.92067307692307687</v>
      </c>
      <c r="W12" s="32"/>
      <c r="X12" s="31">
        <f t="shared" ref="X12" si="10">(X10/$E$3)+V12</f>
        <v>1.1298076923076923</v>
      </c>
      <c r="Y12" s="32"/>
      <c r="Z12" s="31">
        <f t="shared" ref="Z12" si="11">(Z10/$E$3)+X12</f>
        <v>1.3389423076923077</v>
      </c>
      <c r="AA12" s="32"/>
      <c r="AB12" s="31">
        <f t="shared" ref="AB12" si="12">(AB10/$E$3)+Z12</f>
        <v>1.5480769230769231</v>
      </c>
      <c r="AC12" s="32"/>
      <c r="AD12" s="31">
        <f t="shared" ref="AD12" si="13">(AD10/$E$3)+AB12</f>
        <v>1.7572115384615385</v>
      </c>
      <c r="AE12" s="32"/>
      <c r="AF12" s="31">
        <f t="shared" ref="AF12" si="14">(AF10/$E$3)+AD12</f>
        <v>1.966346153846154</v>
      </c>
      <c r="AG12" s="32"/>
      <c r="AI12" s="371" t="s">
        <v>35</v>
      </c>
      <c r="AJ12" s="372"/>
      <c r="AK12" s="372"/>
      <c r="AL12" s="372"/>
      <c r="AM12" s="372"/>
      <c r="AN12" s="372"/>
      <c r="AO12" s="372"/>
      <c r="AP12" s="373"/>
      <c r="AQ12" s="374">
        <f>AQ10/$AL$3</f>
        <v>0.21394230769230768</v>
      </c>
      <c r="AR12" s="375"/>
      <c r="AS12" s="31">
        <f>(AS10/$AL$3)+AQ12</f>
        <v>0.42788461538461536</v>
      </c>
      <c r="AT12" s="32"/>
      <c r="AU12" s="31">
        <f>(AU10/$AL$3)+AS12</f>
        <v>0.64182692307692302</v>
      </c>
      <c r="AV12" s="32"/>
      <c r="AW12" s="31">
        <f>(AW10/$AL$3)+AU12</f>
        <v>0.85576923076923073</v>
      </c>
      <c r="AX12" s="32"/>
      <c r="AY12" s="31">
        <f>(AY10/$AL$3)+AW12</f>
        <v>1.0697115384615383</v>
      </c>
      <c r="AZ12" s="32"/>
      <c r="BA12" s="31">
        <f>(BA10/$AL$3)+AY12</f>
        <v>1.2740384615384615</v>
      </c>
      <c r="BB12" s="32"/>
      <c r="BC12" s="31">
        <f>(BC10/$AL$3)+BA12</f>
        <v>1.4831730769230769</v>
      </c>
      <c r="BD12" s="32"/>
      <c r="BE12" s="31">
        <f>(BE10/$AL$3)+BC12</f>
        <v>1.6923076923076923</v>
      </c>
      <c r="BF12" s="32"/>
      <c r="BG12" s="31">
        <f>(BG10/$AL$3)+BE12</f>
        <v>1.9014423076923077</v>
      </c>
      <c r="BH12" s="32"/>
      <c r="BI12" s="31">
        <f>(BI10/$AL$3)+BG12</f>
        <v>2.1105769230769229</v>
      </c>
      <c r="BJ12" s="32"/>
      <c r="BK12" s="31">
        <f>(BK10/$AL$3)+BI12</f>
        <v>2.3197115384615383</v>
      </c>
      <c r="BL12" s="32"/>
      <c r="BM12" s="31">
        <f>(BM10/$AL$3)+BK12</f>
        <v>2.5288461538461537</v>
      </c>
      <c r="BN12" s="32"/>
      <c r="BP12" s="371" t="s">
        <v>35</v>
      </c>
      <c r="BQ12" s="372"/>
      <c r="BR12" s="372"/>
      <c r="BS12" s="372"/>
      <c r="BT12" s="372"/>
      <c r="BU12" s="372"/>
      <c r="BV12" s="372"/>
      <c r="BW12" s="373"/>
      <c r="BX12" s="374">
        <f>BX10/$AL$3</f>
        <v>0.21394230769230768</v>
      </c>
      <c r="BY12" s="375"/>
      <c r="BZ12" s="31">
        <f>(BZ10/$AL$3)+BX12</f>
        <v>0.42788461538461536</v>
      </c>
      <c r="CA12" s="32"/>
      <c r="CB12" s="31">
        <f>(CB10/$AL$3)+BZ12</f>
        <v>0.64182692307692302</v>
      </c>
      <c r="CC12" s="32"/>
      <c r="CD12" s="31">
        <f>(CD10/$AL$3)+CB12</f>
        <v>0.85576923076923073</v>
      </c>
      <c r="CE12" s="32"/>
      <c r="CF12" s="31">
        <f>(CF10/$AL$3)+CD12</f>
        <v>1.0697115384615383</v>
      </c>
      <c r="CG12" s="32"/>
      <c r="CH12" s="31">
        <f>(CH10/$AL$3)+CF12</f>
        <v>1.2740384615384615</v>
      </c>
      <c r="CI12" s="32"/>
      <c r="CJ12" s="31">
        <f>(CJ10/$AL$3)+CH12</f>
        <v>1.4831730769230769</v>
      </c>
      <c r="CK12" s="32"/>
      <c r="CL12" s="31">
        <f>(CL10/$AL$3)+CJ12</f>
        <v>1.6923076923076923</v>
      </c>
      <c r="CM12" s="32"/>
      <c r="CN12" s="31">
        <f>(CN10/$AL$3)+CL12</f>
        <v>1.9014423076923077</v>
      </c>
      <c r="CO12" s="32"/>
      <c r="CP12" s="31">
        <f>(CP10/$AL$3)+CN12</f>
        <v>2.1105769230769229</v>
      </c>
      <c r="CQ12" s="32"/>
      <c r="CR12" s="31">
        <f>(CR10/$AL$3)+CP12</f>
        <v>2.3197115384615383</v>
      </c>
      <c r="CS12" s="32"/>
      <c r="CT12" s="31">
        <f>(CT10/$AL$3)+CR12</f>
        <v>2.5288461538461537</v>
      </c>
      <c r="CU12" s="32"/>
      <c r="CW12" s="371" t="s">
        <v>35</v>
      </c>
      <c r="CX12" s="372"/>
      <c r="CY12" s="372"/>
      <c r="CZ12" s="372"/>
      <c r="DA12" s="372"/>
      <c r="DB12" s="372"/>
      <c r="DC12" s="372"/>
      <c r="DD12" s="373"/>
      <c r="DE12" s="374">
        <f>DE10/$AL$3</f>
        <v>0.21394230769230768</v>
      </c>
      <c r="DF12" s="375"/>
      <c r="DG12" s="31">
        <f>(DG10/$AL$3)+DE12</f>
        <v>0.42788461538461536</v>
      </c>
      <c r="DH12" s="32"/>
      <c r="DI12" s="31">
        <f>(DI10/$AL$3)+DG12</f>
        <v>0.64182692307692302</v>
      </c>
      <c r="DJ12" s="32"/>
      <c r="DK12" s="31">
        <f>(DK10/$AL$3)+DI12</f>
        <v>0.85576923076923073</v>
      </c>
      <c r="DL12" s="32"/>
      <c r="DM12" s="31">
        <f>(DM10/$AL$3)+DK12</f>
        <v>1.0697115384615383</v>
      </c>
      <c r="DN12" s="32"/>
      <c r="DO12" s="31">
        <f>(DO10/$AL$3)+DM12</f>
        <v>1.2740384615384615</v>
      </c>
      <c r="DP12" s="32"/>
      <c r="DQ12" s="31">
        <f>(DQ10/$AL$3)+DO12</f>
        <v>1.4831730769230769</v>
      </c>
      <c r="DR12" s="32"/>
      <c r="DS12" s="31">
        <f>(DS10/$AL$3)+DQ12</f>
        <v>1.6923076923076923</v>
      </c>
      <c r="DT12" s="32"/>
      <c r="DU12" s="31">
        <f>(DU10/$AL$3)+DS12</f>
        <v>1.9014423076923077</v>
      </c>
      <c r="DV12" s="32"/>
      <c r="DW12" s="31">
        <f>(DW10/$AL$3)+DU12</f>
        <v>2.1105769230769229</v>
      </c>
      <c r="DX12" s="32"/>
      <c r="DY12" s="31">
        <f>(DY10/$AL$3)+DW12</f>
        <v>2.3197115384615383</v>
      </c>
      <c r="DZ12" s="32"/>
      <c r="EA12" s="31">
        <f>(EA10/$AL$3)+DY12</f>
        <v>2.5288461538461537</v>
      </c>
      <c r="EB12" s="32"/>
      <c r="ED12" s="371" t="s">
        <v>35</v>
      </c>
      <c r="EE12" s="372"/>
      <c r="EF12" s="372"/>
      <c r="EG12" s="372"/>
      <c r="EH12" s="372"/>
      <c r="EI12" s="372"/>
      <c r="EJ12" s="372"/>
      <c r="EK12" s="373"/>
      <c r="EL12" s="374">
        <f>EL10/$AL$3</f>
        <v>0.21394230769230768</v>
      </c>
      <c r="EM12" s="375"/>
      <c r="EN12" s="31">
        <f>(EN10/$AL$3)+EL12</f>
        <v>0.42788461538461536</v>
      </c>
      <c r="EO12" s="32"/>
      <c r="EP12" s="31">
        <f>(EP10/$AL$3)+EN12</f>
        <v>0.64182692307692302</v>
      </c>
      <c r="EQ12" s="32"/>
      <c r="ER12" s="31">
        <f>(ER10/$AL$3)+EP12</f>
        <v>0.85576923076923073</v>
      </c>
      <c r="ES12" s="32"/>
      <c r="ET12" s="31">
        <f>(ET10/$AL$3)+ER12</f>
        <v>1.0697115384615383</v>
      </c>
      <c r="EU12" s="32"/>
      <c r="EV12" s="31">
        <f>(EV10/$AL$3)+ET12</f>
        <v>1.2740384615384615</v>
      </c>
      <c r="EW12" s="32"/>
      <c r="EX12" s="31">
        <f>(EX10/$AL$3)+EV12</f>
        <v>1.4831730769230769</v>
      </c>
      <c r="EY12" s="32"/>
      <c r="EZ12" s="31">
        <f>(EZ10/$AL$3)+EX12</f>
        <v>1.6923076923076923</v>
      </c>
      <c r="FA12" s="32"/>
      <c r="FB12" s="31">
        <f>(FB10/$AL$3)+EZ12</f>
        <v>1.9014423076923077</v>
      </c>
      <c r="FC12" s="32"/>
      <c r="FD12" s="31">
        <f>(FD10/$AL$3)+FB12</f>
        <v>2.1105769230769229</v>
      </c>
      <c r="FE12" s="32"/>
      <c r="FF12" s="31">
        <f>(FF10/$AL$3)+FD12</f>
        <v>2.3197115384615383</v>
      </c>
      <c r="FG12" s="32"/>
      <c r="FH12" s="31">
        <f>(FH10/$AL$3)+FF12</f>
        <v>2.5288461538461537</v>
      </c>
      <c r="FI12" s="32"/>
    </row>
    <row r="14" spans="1:165" ht="15" thickBot="1"/>
    <row r="15" spans="1:165" ht="15" thickBot="1">
      <c r="B15" s="381" t="s">
        <v>42</v>
      </c>
      <c r="C15" s="382"/>
      <c r="D15" s="382"/>
      <c r="E15" s="382"/>
      <c r="F15" s="382"/>
      <c r="G15" s="382"/>
      <c r="H15" s="382"/>
      <c r="I15" s="382"/>
      <c r="J15" s="382"/>
      <c r="K15" s="382"/>
      <c r="L15" s="382"/>
      <c r="M15" s="382"/>
      <c r="N15" s="382"/>
      <c r="O15" s="382"/>
      <c r="P15" s="382"/>
      <c r="Q15" s="382"/>
      <c r="R15" s="382"/>
      <c r="S15" s="382"/>
      <c r="T15" s="382"/>
      <c r="U15" s="382"/>
      <c r="V15" s="382"/>
      <c r="W15" s="382"/>
      <c r="X15" s="382"/>
      <c r="Y15" s="382"/>
      <c r="Z15" s="382"/>
      <c r="AA15" s="382"/>
      <c r="AB15" s="382"/>
      <c r="AC15" s="382"/>
      <c r="AD15" s="382"/>
      <c r="AE15" s="382"/>
      <c r="AF15" s="382"/>
      <c r="AG15" s="383"/>
    </row>
    <row r="16" spans="1:165">
      <c r="B16" s="29"/>
      <c r="C16" s="5"/>
      <c r="D16" s="5" t="s">
        <v>36</v>
      </c>
      <c r="E16" s="5">
        <v>1880</v>
      </c>
      <c r="F16" s="5"/>
      <c r="G16" s="5"/>
      <c r="H16" s="5"/>
      <c r="I16" s="5"/>
      <c r="J16" s="377" t="s">
        <v>9</v>
      </c>
      <c r="K16" s="378"/>
      <c r="L16" s="377" t="s">
        <v>9</v>
      </c>
      <c r="M16" s="378"/>
      <c r="N16" s="377" t="s">
        <v>9</v>
      </c>
      <c r="O16" s="378"/>
      <c r="P16" s="377" t="s">
        <v>9</v>
      </c>
      <c r="Q16" s="378"/>
      <c r="R16" s="377" t="s">
        <v>9</v>
      </c>
      <c r="S16" s="378"/>
      <c r="T16" s="377" t="s">
        <v>9</v>
      </c>
      <c r="U16" s="378"/>
      <c r="V16" s="377" t="s">
        <v>9</v>
      </c>
      <c r="W16" s="378"/>
      <c r="X16" s="377" t="s">
        <v>9</v>
      </c>
      <c r="Y16" s="378"/>
      <c r="Z16" s="377" t="s">
        <v>9</v>
      </c>
      <c r="AA16" s="378"/>
      <c r="AB16" s="377" t="s">
        <v>9</v>
      </c>
      <c r="AC16" s="378"/>
      <c r="AD16" s="377" t="s">
        <v>9</v>
      </c>
      <c r="AE16" s="378"/>
      <c r="AF16" s="377" t="s">
        <v>9</v>
      </c>
      <c r="AG16" s="378"/>
    </row>
    <row r="17" spans="2:33" ht="15" thickBot="1">
      <c r="B17" s="29"/>
      <c r="C17" s="5"/>
      <c r="D17" s="5"/>
      <c r="E17" s="5"/>
      <c r="F17" s="5"/>
      <c r="G17" s="5"/>
      <c r="H17" s="5"/>
      <c r="I17" s="5"/>
      <c r="J17" s="379">
        <v>45658</v>
      </c>
      <c r="K17" s="380"/>
      <c r="L17" s="25">
        <f>J17+31</f>
        <v>45689</v>
      </c>
      <c r="M17" s="26"/>
      <c r="N17" s="25">
        <f>L17+31</f>
        <v>45720</v>
      </c>
      <c r="O17" s="26"/>
      <c r="P17" s="25">
        <f>N17+31</f>
        <v>45751</v>
      </c>
      <c r="Q17" s="26"/>
      <c r="R17" s="25">
        <f>P17+31</f>
        <v>45782</v>
      </c>
      <c r="S17" s="26"/>
      <c r="T17" s="25">
        <f>R17+31</f>
        <v>45813</v>
      </c>
      <c r="U17" s="26"/>
      <c r="V17" s="25">
        <f>T17+31</f>
        <v>45844</v>
      </c>
      <c r="W17" s="26"/>
      <c r="X17" s="25">
        <f>V17+31</f>
        <v>45875</v>
      </c>
      <c r="Y17" s="26"/>
      <c r="Z17" s="25">
        <f>X17+31</f>
        <v>45906</v>
      </c>
      <c r="AA17" s="26"/>
      <c r="AB17" s="25">
        <f>Z17+31</f>
        <v>45937</v>
      </c>
      <c r="AC17" s="26"/>
      <c r="AD17" s="25">
        <f>AB17+31</f>
        <v>45968</v>
      </c>
      <c r="AE17" s="26"/>
      <c r="AF17" s="25">
        <f>AD17+31</f>
        <v>45999</v>
      </c>
      <c r="AG17" s="26"/>
    </row>
    <row r="18" spans="2:33" ht="15" thickBot="1">
      <c r="B18" s="6" t="s">
        <v>10</v>
      </c>
      <c r="C18" s="7" t="s">
        <v>11</v>
      </c>
      <c r="D18" s="7" t="s">
        <v>12</v>
      </c>
      <c r="E18" s="6" t="s">
        <v>13</v>
      </c>
      <c r="F18" s="6" t="s">
        <v>14</v>
      </c>
      <c r="G18" s="6" t="s">
        <v>15</v>
      </c>
      <c r="H18" s="6" t="s">
        <v>16</v>
      </c>
      <c r="I18" s="8" t="s">
        <v>17</v>
      </c>
      <c r="J18" s="8" t="s">
        <v>18</v>
      </c>
      <c r="K18" s="9" t="s">
        <v>19</v>
      </c>
      <c r="L18" s="8" t="s">
        <v>18</v>
      </c>
      <c r="M18" s="9" t="s">
        <v>19</v>
      </c>
      <c r="N18" s="8" t="s">
        <v>18</v>
      </c>
      <c r="O18" s="9" t="s">
        <v>19</v>
      </c>
      <c r="P18" s="8" t="s">
        <v>18</v>
      </c>
      <c r="Q18" s="9" t="s">
        <v>19</v>
      </c>
      <c r="R18" s="8" t="s">
        <v>18</v>
      </c>
      <c r="S18" s="10" t="s">
        <v>19</v>
      </c>
      <c r="T18" s="8" t="s">
        <v>18</v>
      </c>
      <c r="U18" s="9" t="s">
        <v>19</v>
      </c>
      <c r="V18" s="8" t="s">
        <v>18</v>
      </c>
      <c r="W18" s="9" t="s">
        <v>19</v>
      </c>
      <c r="X18" s="8" t="s">
        <v>18</v>
      </c>
      <c r="Y18" s="9" t="s">
        <v>19</v>
      </c>
      <c r="Z18" s="8" t="s">
        <v>18</v>
      </c>
      <c r="AA18" s="9" t="s">
        <v>19</v>
      </c>
      <c r="AB18" s="8" t="s">
        <v>18</v>
      </c>
      <c r="AC18" s="9" t="s">
        <v>19</v>
      </c>
      <c r="AD18" s="8" t="s">
        <v>18</v>
      </c>
      <c r="AE18" s="9" t="s">
        <v>19</v>
      </c>
      <c r="AF18" s="8" t="s">
        <v>18</v>
      </c>
      <c r="AG18" s="9" t="s">
        <v>19</v>
      </c>
    </row>
    <row r="19" spans="2:33">
      <c r="B19" s="11" t="s">
        <v>34</v>
      </c>
      <c r="C19" s="11" t="s">
        <v>25</v>
      </c>
      <c r="D19" s="11" t="s">
        <v>8</v>
      </c>
      <c r="E19" s="11" t="s">
        <v>48</v>
      </c>
      <c r="F19" s="11" t="s">
        <v>21</v>
      </c>
      <c r="G19" s="11" t="s">
        <v>22</v>
      </c>
      <c r="H19" s="11" t="s">
        <v>23</v>
      </c>
      <c r="I19" s="23">
        <v>100</v>
      </c>
      <c r="J19" s="12">
        <v>10</v>
      </c>
      <c r="K19" s="13">
        <f>$I$6*J19</f>
        <v>1000</v>
      </c>
      <c r="L19" s="12">
        <v>20</v>
      </c>
      <c r="M19" s="13">
        <f>$I$6*L19</f>
        <v>2000</v>
      </c>
      <c r="N19" s="12">
        <v>40</v>
      </c>
      <c r="O19" s="13">
        <f>$I$6*N19</f>
        <v>4000</v>
      </c>
      <c r="P19" s="12">
        <v>90</v>
      </c>
      <c r="Q19" s="13">
        <f>$I$6*P19</f>
        <v>9000</v>
      </c>
      <c r="R19" s="12">
        <v>155</v>
      </c>
      <c r="S19" s="13">
        <f>$I$6*R19</f>
        <v>15500</v>
      </c>
      <c r="T19" s="12">
        <v>155</v>
      </c>
      <c r="U19" s="13">
        <f>$I$6*T19</f>
        <v>15500</v>
      </c>
      <c r="V19" s="12">
        <v>155</v>
      </c>
      <c r="W19" s="13">
        <f>$I$6*V19</f>
        <v>15500</v>
      </c>
      <c r="X19" s="12">
        <v>155</v>
      </c>
      <c r="Y19" s="13">
        <f>$I$6*X19</f>
        <v>15500</v>
      </c>
      <c r="Z19" s="12">
        <v>155</v>
      </c>
      <c r="AA19" s="13">
        <f>$I$6*Z19</f>
        <v>15500</v>
      </c>
      <c r="AB19" s="12">
        <v>155</v>
      </c>
      <c r="AC19" s="13">
        <f>$I$6*AB19</f>
        <v>15500</v>
      </c>
      <c r="AD19" s="12">
        <v>155</v>
      </c>
      <c r="AE19" s="13">
        <f>$I$6*AD19</f>
        <v>15500</v>
      </c>
      <c r="AF19" s="12">
        <v>155</v>
      </c>
      <c r="AG19" s="13">
        <f>$I$6*AF19</f>
        <v>15500</v>
      </c>
    </row>
    <row r="20" spans="2:33">
      <c r="B20" s="11" t="s">
        <v>24</v>
      </c>
      <c r="C20" s="11" t="s">
        <v>25</v>
      </c>
      <c r="D20" s="11" t="s">
        <v>8</v>
      </c>
      <c r="E20" s="11" t="s">
        <v>48</v>
      </c>
      <c r="F20" s="11" t="s">
        <v>26</v>
      </c>
      <c r="G20" s="11" t="s">
        <v>22</v>
      </c>
      <c r="H20" s="11" t="s">
        <v>23</v>
      </c>
      <c r="I20" s="23">
        <v>101</v>
      </c>
      <c r="J20" s="12">
        <v>30</v>
      </c>
      <c r="K20" s="13">
        <f>$I$7*J20</f>
        <v>3030</v>
      </c>
      <c r="L20" s="12">
        <v>30</v>
      </c>
      <c r="M20" s="13">
        <f>$I$7*L20</f>
        <v>3030</v>
      </c>
      <c r="N20" s="12">
        <v>80</v>
      </c>
      <c r="O20" s="13">
        <f>$I$7*N20</f>
        <v>8080</v>
      </c>
      <c r="P20" s="12">
        <v>100</v>
      </c>
      <c r="Q20" s="13">
        <f>$I$7*P20</f>
        <v>10100</v>
      </c>
      <c r="R20" s="12">
        <v>140</v>
      </c>
      <c r="S20" s="13">
        <f>$I$7*R20</f>
        <v>14140</v>
      </c>
      <c r="T20" s="12">
        <v>140</v>
      </c>
      <c r="U20" s="13">
        <f>$I$7*T20</f>
        <v>14140</v>
      </c>
      <c r="V20" s="12">
        <v>140</v>
      </c>
      <c r="W20" s="13">
        <f>$I$7*V20</f>
        <v>14140</v>
      </c>
      <c r="X20" s="12">
        <v>140</v>
      </c>
      <c r="Y20" s="13">
        <f>$I$7*X20</f>
        <v>14140</v>
      </c>
      <c r="Z20" s="12">
        <v>140</v>
      </c>
      <c r="AA20" s="13">
        <f>$I$7*Z20</f>
        <v>14140</v>
      </c>
      <c r="AB20" s="12">
        <v>140</v>
      </c>
      <c r="AC20" s="13">
        <f>$I$7*AB20</f>
        <v>14140</v>
      </c>
      <c r="AD20" s="12">
        <v>140</v>
      </c>
      <c r="AE20" s="13">
        <f>$I$7*AD20</f>
        <v>14140</v>
      </c>
      <c r="AF20" s="12">
        <v>140</v>
      </c>
      <c r="AG20" s="13">
        <f>$I$7*AF20</f>
        <v>14140</v>
      </c>
    </row>
    <row r="21" spans="2:33">
      <c r="B21" s="11" t="s">
        <v>27</v>
      </c>
      <c r="C21" s="11" t="s">
        <v>28</v>
      </c>
      <c r="D21" s="11" t="s">
        <v>8</v>
      </c>
      <c r="E21" s="11" t="s">
        <v>48</v>
      </c>
      <c r="F21" s="11" t="s">
        <v>32</v>
      </c>
      <c r="G21" s="11" t="s">
        <v>22</v>
      </c>
      <c r="H21" s="11" t="s">
        <v>23</v>
      </c>
      <c r="I21" s="24">
        <v>101</v>
      </c>
      <c r="J21" s="12">
        <v>15</v>
      </c>
      <c r="K21" s="27">
        <f>$I$8*J21</f>
        <v>1515</v>
      </c>
      <c r="L21" s="12">
        <v>30</v>
      </c>
      <c r="M21" s="27">
        <f>$I$8*L21</f>
        <v>3030</v>
      </c>
      <c r="N21" s="12">
        <v>80</v>
      </c>
      <c r="O21" s="27">
        <f>$I$8*N21</f>
        <v>8080</v>
      </c>
      <c r="P21" s="12">
        <v>100</v>
      </c>
      <c r="Q21" s="27">
        <f>$I$8*P21</f>
        <v>10100</v>
      </c>
      <c r="R21" s="12">
        <v>150</v>
      </c>
      <c r="S21" s="27">
        <f>$I$8*R21</f>
        <v>15150</v>
      </c>
      <c r="T21" s="12">
        <v>130</v>
      </c>
      <c r="U21" s="27">
        <f>$I$8*T21</f>
        <v>13130</v>
      </c>
      <c r="V21" s="12">
        <v>140</v>
      </c>
      <c r="W21" s="27">
        <f>$I$8*V21</f>
        <v>14140</v>
      </c>
      <c r="X21" s="12">
        <v>140</v>
      </c>
      <c r="Y21" s="27">
        <f>$I$8*X21</f>
        <v>14140</v>
      </c>
      <c r="Z21" s="12">
        <v>140</v>
      </c>
      <c r="AA21" s="27">
        <f>$I$8*Z21</f>
        <v>14140</v>
      </c>
      <c r="AB21" s="12">
        <v>140</v>
      </c>
      <c r="AC21" s="27">
        <f>$I$8*AB21</f>
        <v>14140</v>
      </c>
      <c r="AD21" s="12">
        <v>140</v>
      </c>
      <c r="AE21" s="27">
        <f>$I$8*AD21</f>
        <v>14140</v>
      </c>
      <c r="AF21" s="12">
        <v>140</v>
      </c>
      <c r="AG21" s="27">
        <f>$I$8*AF21</f>
        <v>14140</v>
      </c>
    </row>
    <row r="22" spans="2:33" ht="15" thickBot="1">
      <c r="B22" s="15"/>
      <c r="C22" s="15"/>
      <c r="D22" s="15"/>
      <c r="E22" s="15"/>
      <c r="F22" s="15"/>
      <c r="G22" s="15"/>
      <c r="H22" s="15"/>
      <c r="I22" s="16"/>
      <c r="J22" s="16"/>
      <c r="K22" s="17"/>
      <c r="L22" s="18"/>
      <c r="M22" s="19"/>
      <c r="N22" s="18"/>
      <c r="O22" s="19"/>
      <c r="P22" s="18"/>
      <c r="Q22" s="19"/>
      <c r="R22" s="18"/>
      <c r="S22" s="14"/>
      <c r="T22" s="18"/>
      <c r="U22" s="19"/>
      <c r="V22" s="18"/>
      <c r="W22" s="19"/>
      <c r="X22" s="18"/>
      <c r="Y22" s="19"/>
      <c r="Z22" s="18"/>
      <c r="AA22" s="19"/>
      <c r="AB22" s="18"/>
      <c r="AC22" s="19"/>
      <c r="AD22" s="18"/>
      <c r="AE22" s="19"/>
      <c r="AF22" s="18"/>
      <c r="AG22" s="19"/>
    </row>
    <row r="23" spans="2:33" ht="15" thickBot="1">
      <c r="B23" s="371" t="s">
        <v>29</v>
      </c>
      <c r="C23" s="372"/>
      <c r="D23" s="372"/>
      <c r="E23" s="372"/>
      <c r="F23" s="372"/>
      <c r="G23" s="372"/>
      <c r="H23" s="372"/>
      <c r="I23" s="373"/>
      <c r="J23" s="20">
        <f t="shared" ref="J23:AG23" si="15">SUM(J19:J21)</f>
        <v>55</v>
      </c>
      <c r="K23" s="21">
        <f t="shared" si="15"/>
        <v>5545</v>
      </c>
      <c r="L23" s="20">
        <f t="shared" si="15"/>
        <v>80</v>
      </c>
      <c r="M23" s="21">
        <f t="shared" si="15"/>
        <v>8060</v>
      </c>
      <c r="N23" s="20">
        <f t="shared" si="15"/>
        <v>200</v>
      </c>
      <c r="O23" s="21">
        <f t="shared" si="15"/>
        <v>20160</v>
      </c>
      <c r="P23" s="20">
        <f t="shared" si="15"/>
        <v>290</v>
      </c>
      <c r="Q23" s="21">
        <f t="shared" si="15"/>
        <v>29200</v>
      </c>
      <c r="R23" s="20">
        <f t="shared" si="15"/>
        <v>445</v>
      </c>
      <c r="S23" s="21">
        <f t="shared" si="15"/>
        <v>44790</v>
      </c>
      <c r="T23" s="20">
        <f t="shared" si="15"/>
        <v>425</v>
      </c>
      <c r="U23" s="21">
        <f t="shared" si="15"/>
        <v>42770</v>
      </c>
      <c r="V23" s="20">
        <f t="shared" si="15"/>
        <v>435</v>
      </c>
      <c r="W23" s="21">
        <f t="shared" si="15"/>
        <v>43780</v>
      </c>
      <c r="X23" s="20">
        <f t="shared" si="15"/>
        <v>435</v>
      </c>
      <c r="Y23" s="21">
        <f t="shared" si="15"/>
        <v>43780</v>
      </c>
      <c r="Z23" s="20">
        <f t="shared" si="15"/>
        <v>435</v>
      </c>
      <c r="AA23" s="21">
        <f t="shared" si="15"/>
        <v>43780</v>
      </c>
      <c r="AB23" s="20">
        <f t="shared" si="15"/>
        <v>435</v>
      </c>
      <c r="AC23" s="21">
        <f t="shared" si="15"/>
        <v>43780</v>
      </c>
      <c r="AD23" s="20">
        <f t="shared" si="15"/>
        <v>435</v>
      </c>
      <c r="AE23" s="20">
        <f t="shared" si="15"/>
        <v>43780</v>
      </c>
      <c r="AF23" s="20">
        <f t="shared" si="15"/>
        <v>435</v>
      </c>
      <c r="AG23" s="22">
        <f t="shared" si="15"/>
        <v>43780</v>
      </c>
    </row>
    <row r="24" spans="2:33" ht="15" thickBot="1">
      <c r="B24" s="371" t="s">
        <v>30</v>
      </c>
      <c r="C24" s="372"/>
      <c r="D24" s="372"/>
      <c r="E24" s="372"/>
      <c r="F24" s="372"/>
      <c r="G24" s="372"/>
      <c r="H24" s="372"/>
      <c r="I24" s="373"/>
      <c r="J24" s="369">
        <f>K23</f>
        <v>5545</v>
      </c>
      <c r="K24" s="370"/>
      <c r="L24" s="369">
        <f>J24+M23</f>
        <v>13605</v>
      </c>
      <c r="M24" s="370"/>
      <c r="N24" s="369">
        <f>L24+O23</f>
        <v>33765</v>
      </c>
      <c r="O24" s="370"/>
      <c r="P24" s="369">
        <f>N24+Q23</f>
        <v>62965</v>
      </c>
      <c r="Q24" s="370"/>
      <c r="R24" s="369">
        <f>P24+S23</f>
        <v>107755</v>
      </c>
      <c r="S24" s="370"/>
      <c r="T24" s="369">
        <f>R24+U23</f>
        <v>150525</v>
      </c>
      <c r="U24" s="370"/>
      <c r="V24" s="369">
        <f>T24+W23</f>
        <v>194305</v>
      </c>
      <c r="W24" s="370"/>
      <c r="X24" s="369">
        <f>V24+Y23</f>
        <v>238085</v>
      </c>
      <c r="Y24" s="370"/>
      <c r="Z24" s="369">
        <f>X24+AA23</f>
        <v>281865</v>
      </c>
      <c r="AA24" s="370"/>
      <c r="AB24" s="369">
        <f>Z24+AC23</f>
        <v>325645</v>
      </c>
      <c r="AC24" s="370"/>
      <c r="AD24" s="369">
        <f>AB24+AE23</f>
        <v>369425</v>
      </c>
      <c r="AE24" s="370"/>
      <c r="AF24" s="369">
        <f>AD24+AG23</f>
        <v>413205</v>
      </c>
      <c r="AG24" s="370"/>
    </row>
    <row r="25" spans="2:33" ht="15" thickBot="1">
      <c r="B25" s="371" t="s">
        <v>35</v>
      </c>
      <c r="C25" s="372"/>
      <c r="D25" s="372"/>
      <c r="E25" s="372"/>
      <c r="F25" s="372"/>
      <c r="G25" s="372"/>
      <c r="H25" s="372"/>
      <c r="I25" s="373"/>
      <c r="J25" s="374">
        <f>J23/$E$16</f>
        <v>2.9255319148936171E-2</v>
      </c>
      <c r="K25" s="375"/>
      <c r="L25" s="31">
        <f>(L23/$E$16)+J25</f>
        <v>7.1808510638297879E-2</v>
      </c>
      <c r="M25" s="32"/>
      <c r="N25" s="31">
        <f>(N23/$E$16)+L25</f>
        <v>0.17819148936170215</v>
      </c>
      <c r="O25" s="32"/>
      <c r="P25" s="31">
        <f>(P23/$E$16)+N25</f>
        <v>0.33244680851063835</v>
      </c>
      <c r="Q25" s="32"/>
      <c r="R25" s="31">
        <f>(R23/$E$16)+P25</f>
        <v>0.56914893617021278</v>
      </c>
      <c r="S25" s="32"/>
      <c r="T25" s="31">
        <f>(T23/$E$16)+R25</f>
        <v>0.79521276595744683</v>
      </c>
      <c r="U25" s="32"/>
      <c r="V25" s="31">
        <f>(V23/$E$16)+T25</f>
        <v>1.0265957446808511</v>
      </c>
      <c r="W25" s="32"/>
      <c r="X25" s="31">
        <f>(X23/$E$16)+V25</f>
        <v>1.2579787234042554</v>
      </c>
      <c r="Y25" s="32"/>
      <c r="Z25" s="31">
        <f>(Z23/$E$16)+X25</f>
        <v>1.4893617021276597</v>
      </c>
      <c r="AA25" s="32"/>
      <c r="AB25" s="31">
        <f>(AB23/$E$16)+Z25</f>
        <v>1.720744680851064</v>
      </c>
      <c r="AC25" s="32"/>
      <c r="AD25" s="31">
        <f>(AD23/$E$16)+AB25</f>
        <v>1.9521276595744683</v>
      </c>
      <c r="AE25" s="32"/>
      <c r="AF25" s="31">
        <f>(AF23/$E$16)+AD25</f>
        <v>2.1835106382978724</v>
      </c>
      <c r="AG25" s="32"/>
    </row>
    <row r="27" spans="2:33" ht="15" thickBot="1"/>
    <row r="28" spans="2:33" ht="15" thickBot="1">
      <c r="B28" s="381" t="s">
        <v>43</v>
      </c>
      <c r="C28" s="382"/>
      <c r="D28" s="382"/>
      <c r="E28" s="382"/>
      <c r="F28" s="382"/>
      <c r="G28" s="382"/>
      <c r="H28" s="382"/>
      <c r="I28" s="382"/>
      <c r="J28" s="382"/>
      <c r="K28" s="382"/>
      <c r="L28" s="382"/>
      <c r="M28" s="382"/>
      <c r="N28" s="382"/>
      <c r="O28" s="382"/>
      <c r="P28" s="382"/>
      <c r="Q28" s="382"/>
      <c r="R28" s="382"/>
      <c r="S28" s="382"/>
      <c r="T28" s="382"/>
      <c r="U28" s="382"/>
      <c r="V28" s="382"/>
      <c r="W28" s="382"/>
      <c r="X28" s="382"/>
      <c r="Y28" s="382"/>
      <c r="Z28" s="382"/>
      <c r="AA28" s="382"/>
      <c r="AB28" s="382"/>
      <c r="AC28" s="382"/>
      <c r="AD28" s="382"/>
      <c r="AE28" s="382"/>
      <c r="AF28" s="382"/>
      <c r="AG28" s="383"/>
    </row>
    <row r="29" spans="2:33">
      <c r="B29" s="29"/>
      <c r="C29" s="5"/>
      <c r="D29" s="5" t="s">
        <v>36</v>
      </c>
      <c r="E29" s="5">
        <v>1926</v>
      </c>
      <c r="F29" s="5"/>
      <c r="G29" s="5"/>
      <c r="H29" s="5"/>
      <c r="I29" s="5"/>
      <c r="J29" s="377" t="s">
        <v>9</v>
      </c>
      <c r="K29" s="378"/>
      <c r="L29" s="377" t="s">
        <v>9</v>
      </c>
      <c r="M29" s="378"/>
      <c r="N29" s="377" t="s">
        <v>9</v>
      </c>
      <c r="O29" s="378"/>
      <c r="P29" s="377" t="s">
        <v>9</v>
      </c>
      <c r="Q29" s="378"/>
      <c r="R29" s="377" t="s">
        <v>9</v>
      </c>
      <c r="S29" s="378"/>
      <c r="T29" s="377" t="s">
        <v>9</v>
      </c>
      <c r="U29" s="378"/>
      <c r="V29" s="377" t="s">
        <v>9</v>
      </c>
      <c r="W29" s="378"/>
      <c r="X29" s="377" t="s">
        <v>9</v>
      </c>
      <c r="Y29" s="378"/>
      <c r="Z29" s="377" t="s">
        <v>9</v>
      </c>
      <c r="AA29" s="378"/>
      <c r="AB29" s="377" t="s">
        <v>9</v>
      </c>
      <c r="AC29" s="378"/>
      <c r="AD29" s="377" t="s">
        <v>9</v>
      </c>
      <c r="AE29" s="378"/>
      <c r="AF29" s="377" t="s">
        <v>9</v>
      </c>
      <c r="AG29" s="378"/>
    </row>
    <row r="30" spans="2:33" ht="15" thickBot="1">
      <c r="B30" s="29"/>
      <c r="C30" s="5"/>
      <c r="D30" s="5"/>
      <c r="E30" s="5"/>
      <c r="F30" s="5"/>
      <c r="G30" s="5"/>
      <c r="H30" s="5"/>
      <c r="I30" s="5"/>
      <c r="J30" s="379">
        <v>45658</v>
      </c>
      <c r="K30" s="380"/>
      <c r="L30" s="25">
        <f>J30+31</f>
        <v>45689</v>
      </c>
      <c r="M30" s="26"/>
      <c r="N30" s="25">
        <f>L30+31</f>
        <v>45720</v>
      </c>
      <c r="O30" s="26"/>
      <c r="P30" s="25">
        <f>N30+31</f>
        <v>45751</v>
      </c>
      <c r="Q30" s="26"/>
      <c r="R30" s="25">
        <f>P30+31</f>
        <v>45782</v>
      </c>
      <c r="S30" s="26"/>
      <c r="T30" s="25">
        <f>R30+31</f>
        <v>45813</v>
      </c>
      <c r="U30" s="26"/>
      <c r="V30" s="25">
        <f>T30+31</f>
        <v>45844</v>
      </c>
      <c r="W30" s="26"/>
      <c r="X30" s="25">
        <f>V30+31</f>
        <v>45875</v>
      </c>
      <c r="Y30" s="26"/>
      <c r="Z30" s="25">
        <f>X30+31</f>
        <v>45906</v>
      </c>
      <c r="AA30" s="26"/>
      <c r="AB30" s="25">
        <f>Z30+31</f>
        <v>45937</v>
      </c>
      <c r="AC30" s="26"/>
      <c r="AD30" s="25">
        <f>AB30+31</f>
        <v>45968</v>
      </c>
      <c r="AE30" s="26"/>
      <c r="AF30" s="25">
        <f>AD30+31</f>
        <v>45999</v>
      </c>
      <c r="AG30" s="26"/>
    </row>
    <row r="31" spans="2:33" ht="15" thickBot="1">
      <c r="B31" s="6" t="s">
        <v>10</v>
      </c>
      <c r="C31" s="7" t="s">
        <v>11</v>
      </c>
      <c r="D31" s="7" t="s">
        <v>12</v>
      </c>
      <c r="E31" s="6" t="s">
        <v>13</v>
      </c>
      <c r="F31" s="6" t="s">
        <v>14</v>
      </c>
      <c r="G31" s="6" t="s">
        <v>15</v>
      </c>
      <c r="H31" s="6" t="s">
        <v>16</v>
      </c>
      <c r="I31" s="8" t="s">
        <v>17</v>
      </c>
      <c r="J31" s="8" t="s">
        <v>18</v>
      </c>
      <c r="K31" s="9" t="s">
        <v>19</v>
      </c>
      <c r="L31" s="8" t="s">
        <v>18</v>
      </c>
      <c r="M31" s="9" t="s">
        <v>19</v>
      </c>
      <c r="N31" s="8" t="s">
        <v>18</v>
      </c>
      <c r="O31" s="9" t="s">
        <v>19</v>
      </c>
      <c r="P31" s="8" t="s">
        <v>18</v>
      </c>
      <c r="Q31" s="9" t="s">
        <v>19</v>
      </c>
      <c r="R31" s="8" t="s">
        <v>18</v>
      </c>
      <c r="S31" s="10" t="s">
        <v>19</v>
      </c>
      <c r="T31" s="8" t="s">
        <v>18</v>
      </c>
      <c r="U31" s="9" t="s">
        <v>19</v>
      </c>
      <c r="V31" s="8" t="s">
        <v>18</v>
      </c>
      <c r="W31" s="9" t="s">
        <v>19</v>
      </c>
      <c r="X31" s="8" t="s">
        <v>18</v>
      </c>
      <c r="Y31" s="9" t="s">
        <v>19</v>
      </c>
      <c r="Z31" s="8" t="s">
        <v>18</v>
      </c>
      <c r="AA31" s="9" t="s">
        <v>19</v>
      </c>
      <c r="AB31" s="8" t="s">
        <v>18</v>
      </c>
      <c r="AC31" s="9" t="s">
        <v>19</v>
      </c>
      <c r="AD31" s="8" t="s">
        <v>18</v>
      </c>
      <c r="AE31" s="9" t="s">
        <v>19</v>
      </c>
      <c r="AF31" s="8" t="s">
        <v>18</v>
      </c>
      <c r="AG31" s="9" t="s">
        <v>19</v>
      </c>
    </row>
    <row r="32" spans="2:33">
      <c r="B32" s="11" t="s">
        <v>44</v>
      </c>
      <c r="C32" s="11" t="s">
        <v>47</v>
      </c>
      <c r="D32" s="11" t="s">
        <v>78</v>
      </c>
      <c r="E32" s="11" t="s">
        <v>49</v>
      </c>
      <c r="F32" s="11" t="s">
        <v>21</v>
      </c>
      <c r="G32" s="11" t="s">
        <v>22</v>
      </c>
      <c r="H32" s="11" t="s">
        <v>23</v>
      </c>
      <c r="I32" s="23">
        <v>100</v>
      </c>
      <c r="J32" s="12">
        <v>10</v>
      </c>
      <c r="K32" s="13">
        <f>$I$6*J32</f>
        <v>1000</v>
      </c>
      <c r="L32" s="12">
        <v>20</v>
      </c>
      <c r="M32" s="13">
        <f>$I$6*L32</f>
        <v>2000</v>
      </c>
      <c r="N32" s="12">
        <v>40</v>
      </c>
      <c r="O32" s="13">
        <f>$I$6*N32</f>
        <v>4000</v>
      </c>
      <c r="P32" s="12">
        <v>90</v>
      </c>
      <c r="Q32" s="13">
        <f>$I$6*P32</f>
        <v>9000</v>
      </c>
      <c r="R32" s="12">
        <v>155</v>
      </c>
      <c r="S32" s="13">
        <f>$I$6*R32</f>
        <v>15500</v>
      </c>
      <c r="T32" s="12">
        <v>155</v>
      </c>
      <c r="U32" s="13">
        <f>$I$6*T32</f>
        <v>15500</v>
      </c>
      <c r="V32" s="12">
        <v>155</v>
      </c>
      <c r="W32" s="13">
        <f>$I$6*V32</f>
        <v>15500</v>
      </c>
      <c r="X32" s="12">
        <v>155</v>
      </c>
      <c r="Y32" s="13">
        <f>$I$6*X32</f>
        <v>15500</v>
      </c>
      <c r="Z32" s="12">
        <v>155</v>
      </c>
      <c r="AA32" s="13">
        <f>$I$6*Z32</f>
        <v>15500</v>
      </c>
      <c r="AB32" s="12">
        <v>155</v>
      </c>
      <c r="AC32" s="13">
        <f>$I$6*AB32</f>
        <v>15500</v>
      </c>
      <c r="AD32" s="12">
        <v>155</v>
      </c>
      <c r="AE32" s="13">
        <f>$I$6*AD32</f>
        <v>15500</v>
      </c>
      <c r="AF32" s="12">
        <v>155</v>
      </c>
      <c r="AG32" s="13">
        <f>$I$6*AF32</f>
        <v>15500</v>
      </c>
    </row>
    <row r="33" spans="2:33">
      <c r="B33" s="11" t="s">
        <v>45</v>
      </c>
      <c r="C33" s="11" t="s">
        <v>47</v>
      </c>
      <c r="D33" s="11" t="s">
        <v>78</v>
      </c>
      <c r="E33" s="11" t="s">
        <v>49</v>
      </c>
      <c r="F33" s="11" t="s">
        <v>26</v>
      </c>
      <c r="G33" s="11" t="s">
        <v>22</v>
      </c>
      <c r="H33" s="11" t="s">
        <v>23</v>
      </c>
      <c r="I33" s="23">
        <v>101</v>
      </c>
      <c r="J33" s="12">
        <v>30</v>
      </c>
      <c r="K33" s="13">
        <f>$I$7*J33</f>
        <v>3030</v>
      </c>
      <c r="L33" s="12">
        <v>30</v>
      </c>
      <c r="M33" s="13">
        <f>$I$7*L33</f>
        <v>3030</v>
      </c>
      <c r="N33" s="12">
        <v>80</v>
      </c>
      <c r="O33" s="13">
        <f>$I$7*N33</f>
        <v>8080</v>
      </c>
      <c r="P33" s="12">
        <v>100</v>
      </c>
      <c r="Q33" s="13">
        <f>$I$7*P33</f>
        <v>10100</v>
      </c>
      <c r="R33" s="12">
        <v>140</v>
      </c>
      <c r="S33" s="13">
        <f>$I$7*R33</f>
        <v>14140</v>
      </c>
      <c r="T33" s="12">
        <v>140</v>
      </c>
      <c r="U33" s="13">
        <f>$I$7*T33</f>
        <v>14140</v>
      </c>
      <c r="V33" s="12">
        <v>140</v>
      </c>
      <c r="W33" s="13">
        <f>$I$7*V33</f>
        <v>14140</v>
      </c>
      <c r="X33" s="12">
        <v>140</v>
      </c>
      <c r="Y33" s="13">
        <f>$I$7*X33</f>
        <v>14140</v>
      </c>
      <c r="Z33" s="12">
        <v>140</v>
      </c>
      <c r="AA33" s="13">
        <f>$I$7*Z33</f>
        <v>14140</v>
      </c>
      <c r="AB33" s="12">
        <v>140</v>
      </c>
      <c r="AC33" s="13">
        <f>$I$7*AB33</f>
        <v>14140</v>
      </c>
      <c r="AD33" s="12">
        <v>140</v>
      </c>
      <c r="AE33" s="13">
        <f>$I$7*AD33</f>
        <v>14140</v>
      </c>
      <c r="AF33" s="12">
        <v>140</v>
      </c>
      <c r="AG33" s="13">
        <f>$I$7*AF33</f>
        <v>14140</v>
      </c>
    </row>
    <row r="34" spans="2:33">
      <c r="B34" s="11" t="s">
        <v>46</v>
      </c>
      <c r="C34" s="11" t="s">
        <v>47</v>
      </c>
      <c r="D34" s="11" t="s">
        <v>78</v>
      </c>
      <c r="E34" s="11" t="s">
        <v>49</v>
      </c>
      <c r="F34" s="11" t="s">
        <v>32</v>
      </c>
      <c r="G34" s="11" t="s">
        <v>22</v>
      </c>
      <c r="H34" s="11" t="s">
        <v>23</v>
      </c>
      <c r="I34" s="24">
        <v>101</v>
      </c>
      <c r="J34" s="12">
        <v>15</v>
      </c>
      <c r="K34" s="27">
        <f>$I$8*J34</f>
        <v>1515</v>
      </c>
      <c r="L34" s="12">
        <v>30</v>
      </c>
      <c r="M34" s="27">
        <f>$I$8*L34</f>
        <v>3030</v>
      </c>
      <c r="N34" s="12">
        <v>80</v>
      </c>
      <c r="O34" s="27">
        <f>$I$8*N34</f>
        <v>8080</v>
      </c>
      <c r="P34" s="12">
        <v>100</v>
      </c>
      <c r="Q34" s="27">
        <f>$I$8*P34</f>
        <v>10100</v>
      </c>
      <c r="R34" s="12">
        <v>150</v>
      </c>
      <c r="S34" s="27">
        <f>$I$8*R34</f>
        <v>15150</v>
      </c>
      <c r="T34" s="12">
        <v>130</v>
      </c>
      <c r="U34" s="27">
        <f>$I$8*T34</f>
        <v>13130</v>
      </c>
      <c r="V34" s="12">
        <v>140</v>
      </c>
      <c r="W34" s="27">
        <f>$I$8*V34</f>
        <v>14140</v>
      </c>
      <c r="X34" s="12">
        <v>140</v>
      </c>
      <c r="Y34" s="27">
        <f>$I$8*X34</f>
        <v>14140</v>
      </c>
      <c r="Z34" s="12">
        <v>140</v>
      </c>
      <c r="AA34" s="27">
        <f>$I$8*Z34</f>
        <v>14140</v>
      </c>
      <c r="AB34" s="12">
        <v>140</v>
      </c>
      <c r="AC34" s="27">
        <f>$I$8*AB34</f>
        <v>14140</v>
      </c>
      <c r="AD34" s="12">
        <v>140</v>
      </c>
      <c r="AE34" s="27">
        <f>$I$8*AD34</f>
        <v>14140</v>
      </c>
      <c r="AF34" s="12">
        <v>140</v>
      </c>
      <c r="AG34" s="27">
        <f>$I$8*AF34</f>
        <v>14140</v>
      </c>
    </row>
    <row r="35" spans="2:33" ht="15" thickBot="1">
      <c r="B35" s="15"/>
      <c r="C35" s="15"/>
      <c r="D35" s="15"/>
      <c r="E35" s="15"/>
      <c r="F35" s="15"/>
      <c r="G35" s="15"/>
      <c r="H35" s="15"/>
      <c r="I35" s="16"/>
      <c r="J35" s="16"/>
      <c r="K35" s="17"/>
      <c r="L35" s="18"/>
      <c r="M35" s="19"/>
      <c r="N35" s="18"/>
      <c r="O35" s="19"/>
      <c r="P35" s="18"/>
      <c r="Q35" s="19"/>
      <c r="R35" s="18"/>
      <c r="S35" s="14"/>
      <c r="T35" s="18"/>
      <c r="U35" s="19"/>
      <c r="V35" s="18"/>
      <c r="W35" s="19"/>
      <c r="X35" s="18"/>
      <c r="Y35" s="19"/>
      <c r="Z35" s="18"/>
      <c r="AA35" s="19"/>
      <c r="AB35" s="18"/>
      <c r="AC35" s="19"/>
      <c r="AD35" s="18"/>
      <c r="AE35" s="19"/>
      <c r="AF35" s="18"/>
      <c r="AG35" s="19"/>
    </row>
    <row r="36" spans="2:33" ht="15" thickBot="1">
      <c r="B36" s="371" t="s">
        <v>29</v>
      </c>
      <c r="C36" s="372"/>
      <c r="D36" s="372"/>
      <c r="E36" s="372"/>
      <c r="F36" s="372"/>
      <c r="G36" s="372"/>
      <c r="H36" s="372"/>
      <c r="I36" s="373"/>
      <c r="J36" s="20">
        <f t="shared" ref="J36:AG36" si="16">SUM(J32:J34)</f>
        <v>55</v>
      </c>
      <c r="K36" s="21">
        <f t="shared" si="16"/>
        <v>5545</v>
      </c>
      <c r="L36" s="20">
        <f t="shared" si="16"/>
        <v>80</v>
      </c>
      <c r="M36" s="21">
        <f t="shared" si="16"/>
        <v>8060</v>
      </c>
      <c r="N36" s="20">
        <f t="shared" si="16"/>
        <v>200</v>
      </c>
      <c r="O36" s="21">
        <f t="shared" si="16"/>
        <v>20160</v>
      </c>
      <c r="P36" s="20">
        <f t="shared" si="16"/>
        <v>290</v>
      </c>
      <c r="Q36" s="21">
        <f t="shared" si="16"/>
        <v>29200</v>
      </c>
      <c r="R36" s="20">
        <f t="shared" si="16"/>
        <v>445</v>
      </c>
      <c r="S36" s="21">
        <f t="shared" si="16"/>
        <v>44790</v>
      </c>
      <c r="T36" s="20">
        <f t="shared" si="16"/>
        <v>425</v>
      </c>
      <c r="U36" s="21">
        <f t="shared" si="16"/>
        <v>42770</v>
      </c>
      <c r="V36" s="20">
        <f t="shared" si="16"/>
        <v>435</v>
      </c>
      <c r="W36" s="21">
        <f t="shared" si="16"/>
        <v>43780</v>
      </c>
      <c r="X36" s="20">
        <f t="shared" si="16"/>
        <v>435</v>
      </c>
      <c r="Y36" s="21">
        <f t="shared" si="16"/>
        <v>43780</v>
      </c>
      <c r="Z36" s="20">
        <f t="shared" si="16"/>
        <v>435</v>
      </c>
      <c r="AA36" s="21">
        <f t="shared" si="16"/>
        <v>43780</v>
      </c>
      <c r="AB36" s="20">
        <f t="shared" si="16"/>
        <v>435</v>
      </c>
      <c r="AC36" s="21">
        <f t="shared" si="16"/>
        <v>43780</v>
      </c>
      <c r="AD36" s="20">
        <f t="shared" si="16"/>
        <v>435</v>
      </c>
      <c r="AE36" s="20">
        <f t="shared" si="16"/>
        <v>43780</v>
      </c>
      <c r="AF36" s="20">
        <f t="shared" si="16"/>
        <v>435</v>
      </c>
      <c r="AG36" s="22">
        <f t="shared" si="16"/>
        <v>43780</v>
      </c>
    </row>
    <row r="37" spans="2:33" ht="15" thickBot="1">
      <c r="B37" s="371" t="s">
        <v>30</v>
      </c>
      <c r="C37" s="372"/>
      <c r="D37" s="372"/>
      <c r="E37" s="372"/>
      <c r="F37" s="372"/>
      <c r="G37" s="372"/>
      <c r="H37" s="372"/>
      <c r="I37" s="373"/>
      <c r="J37" s="369">
        <f>K36</f>
        <v>5545</v>
      </c>
      <c r="K37" s="370"/>
      <c r="L37" s="369">
        <f>J37+M36</f>
        <v>13605</v>
      </c>
      <c r="M37" s="370"/>
      <c r="N37" s="369">
        <f>L37+O36</f>
        <v>33765</v>
      </c>
      <c r="O37" s="370"/>
      <c r="P37" s="369">
        <f>N37+Q36</f>
        <v>62965</v>
      </c>
      <c r="Q37" s="370"/>
      <c r="R37" s="369">
        <f>P37+S36</f>
        <v>107755</v>
      </c>
      <c r="S37" s="370"/>
      <c r="T37" s="369">
        <f>R37+U36</f>
        <v>150525</v>
      </c>
      <c r="U37" s="370"/>
      <c r="V37" s="369">
        <f>T37+W36</f>
        <v>194305</v>
      </c>
      <c r="W37" s="370"/>
      <c r="X37" s="369">
        <f>V37+Y36</f>
        <v>238085</v>
      </c>
      <c r="Y37" s="370"/>
      <c r="Z37" s="369">
        <f>X37+AA36</f>
        <v>281865</v>
      </c>
      <c r="AA37" s="370"/>
      <c r="AB37" s="369">
        <f>Z37+AC36</f>
        <v>325645</v>
      </c>
      <c r="AC37" s="370"/>
      <c r="AD37" s="369">
        <f>AB37+AE36</f>
        <v>369425</v>
      </c>
      <c r="AE37" s="370"/>
      <c r="AF37" s="369">
        <f>AD37+AG36</f>
        <v>413205</v>
      </c>
      <c r="AG37" s="370"/>
    </row>
    <row r="38" spans="2:33" ht="15" thickBot="1">
      <c r="B38" s="371" t="s">
        <v>35</v>
      </c>
      <c r="C38" s="372"/>
      <c r="D38" s="372"/>
      <c r="E38" s="372"/>
      <c r="F38" s="372"/>
      <c r="G38" s="372"/>
      <c r="H38" s="372"/>
      <c r="I38" s="373"/>
      <c r="J38" s="374">
        <f>J36/$E$29</f>
        <v>2.8556593977154723E-2</v>
      </c>
      <c r="K38" s="375"/>
      <c r="L38" s="31">
        <f>(L36/$E$29)+J38</f>
        <v>7.0093457943925241E-2</v>
      </c>
      <c r="M38" s="32"/>
      <c r="N38" s="31">
        <f>(N36/$E$29)+L38</f>
        <v>0.17393561786085152</v>
      </c>
      <c r="O38" s="32"/>
      <c r="P38" s="31">
        <f>(P36/$E$29)+N38</f>
        <v>0.32450674974039462</v>
      </c>
      <c r="Q38" s="32"/>
      <c r="R38" s="31">
        <f>(R36/$E$29)+P38</f>
        <v>0.55555555555555558</v>
      </c>
      <c r="S38" s="32"/>
      <c r="T38" s="31">
        <f>(T36/$E$29)+R38</f>
        <v>0.77622014537902384</v>
      </c>
      <c r="U38" s="32"/>
      <c r="V38" s="31">
        <f>(V36/$E$29)+T38</f>
        <v>1.0020768431983385</v>
      </c>
      <c r="W38" s="32"/>
      <c r="X38" s="31">
        <f>(X36/$E$29)+V38</f>
        <v>1.2279335410176531</v>
      </c>
      <c r="Y38" s="32"/>
      <c r="Z38" s="31">
        <f>(Z36/$E$29)+X38</f>
        <v>1.4537902388369677</v>
      </c>
      <c r="AA38" s="32"/>
      <c r="AB38" s="31">
        <f>(AB36/$E$29)+Z38</f>
        <v>1.6796469366562823</v>
      </c>
      <c r="AC38" s="32"/>
      <c r="AD38" s="31">
        <f>(AD36/$E$29)+AB38</f>
        <v>1.9055036344755969</v>
      </c>
      <c r="AE38" s="32"/>
      <c r="AF38" s="31">
        <f>(AF36/$E$29)+AD38</f>
        <v>2.1313603322949115</v>
      </c>
      <c r="AG38" s="32"/>
    </row>
    <row r="40" spans="2:33" ht="15" thickBot="1"/>
    <row r="41" spans="2:33" ht="15" thickBot="1">
      <c r="B41" s="381" t="s">
        <v>40</v>
      </c>
      <c r="C41" s="382"/>
      <c r="D41" s="382"/>
      <c r="E41" s="382"/>
      <c r="F41" s="382"/>
      <c r="G41" s="382"/>
      <c r="H41" s="382"/>
      <c r="I41" s="382"/>
      <c r="J41" s="382"/>
      <c r="K41" s="382"/>
      <c r="L41" s="382"/>
      <c r="M41" s="382"/>
      <c r="N41" s="382"/>
      <c r="O41" s="382"/>
      <c r="P41" s="382"/>
      <c r="Q41" s="382"/>
      <c r="R41" s="382"/>
      <c r="S41" s="382"/>
      <c r="T41" s="382"/>
      <c r="U41" s="382"/>
      <c r="V41" s="382"/>
      <c r="W41" s="382"/>
      <c r="X41" s="382"/>
      <c r="Y41" s="382"/>
      <c r="Z41" s="382"/>
      <c r="AA41" s="382"/>
      <c r="AB41" s="382"/>
      <c r="AC41" s="382"/>
      <c r="AD41" s="382"/>
      <c r="AE41" s="382"/>
      <c r="AF41" s="382"/>
      <c r="AG41" s="383"/>
    </row>
    <row r="42" spans="2:33">
      <c r="B42" s="29"/>
      <c r="C42" s="5"/>
      <c r="D42" s="5" t="s">
        <v>36</v>
      </c>
      <c r="E42" s="5">
        <v>2200</v>
      </c>
      <c r="F42" s="5"/>
      <c r="G42" s="5"/>
      <c r="H42" s="5"/>
      <c r="I42" s="5"/>
      <c r="J42" s="377" t="s">
        <v>9</v>
      </c>
      <c r="K42" s="378"/>
      <c r="L42" s="377" t="s">
        <v>9</v>
      </c>
      <c r="M42" s="378"/>
      <c r="N42" s="377" t="s">
        <v>9</v>
      </c>
      <c r="O42" s="378"/>
      <c r="P42" s="377" t="s">
        <v>9</v>
      </c>
      <c r="Q42" s="378"/>
      <c r="R42" s="377" t="s">
        <v>9</v>
      </c>
      <c r="S42" s="378"/>
      <c r="T42" s="377" t="s">
        <v>9</v>
      </c>
      <c r="U42" s="378"/>
      <c r="V42" s="377" t="s">
        <v>9</v>
      </c>
      <c r="W42" s="378"/>
      <c r="X42" s="377" t="s">
        <v>9</v>
      </c>
      <c r="Y42" s="378"/>
      <c r="Z42" s="377" t="s">
        <v>9</v>
      </c>
      <c r="AA42" s="378"/>
      <c r="AB42" s="377" t="s">
        <v>9</v>
      </c>
      <c r="AC42" s="378"/>
      <c r="AD42" s="377" t="s">
        <v>9</v>
      </c>
      <c r="AE42" s="378"/>
      <c r="AF42" s="377" t="s">
        <v>9</v>
      </c>
      <c r="AG42" s="378"/>
    </row>
    <row r="43" spans="2:33" ht="15" thickBot="1">
      <c r="B43" s="29"/>
      <c r="C43" s="5"/>
      <c r="D43" s="5"/>
      <c r="E43" s="5"/>
      <c r="F43" s="5"/>
      <c r="G43" s="5"/>
      <c r="H43" s="5"/>
      <c r="I43" s="5"/>
      <c r="J43" s="379">
        <v>45658</v>
      </c>
      <c r="K43" s="380"/>
      <c r="L43" s="25">
        <f>J43+31</f>
        <v>45689</v>
      </c>
      <c r="M43" s="26"/>
      <c r="N43" s="25">
        <f>L43+31</f>
        <v>45720</v>
      </c>
      <c r="O43" s="26"/>
      <c r="P43" s="25">
        <f>N43+31</f>
        <v>45751</v>
      </c>
      <c r="Q43" s="26"/>
      <c r="R43" s="25">
        <f>P43+31</f>
        <v>45782</v>
      </c>
      <c r="S43" s="26"/>
      <c r="T43" s="25">
        <f>R43+31</f>
        <v>45813</v>
      </c>
      <c r="U43" s="26"/>
      <c r="V43" s="25">
        <f>T43+31</f>
        <v>45844</v>
      </c>
      <c r="W43" s="26"/>
      <c r="X43" s="25">
        <f>V43+31</f>
        <v>45875</v>
      </c>
      <c r="Y43" s="26"/>
      <c r="Z43" s="25">
        <f>X43+31</f>
        <v>45906</v>
      </c>
      <c r="AA43" s="26"/>
      <c r="AB43" s="25">
        <f>Z43+31</f>
        <v>45937</v>
      </c>
      <c r="AC43" s="26"/>
      <c r="AD43" s="25">
        <f>AB43+31</f>
        <v>45968</v>
      </c>
      <c r="AE43" s="26"/>
      <c r="AF43" s="25">
        <f>AD43+31</f>
        <v>45999</v>
      </c>
      <c r="AG43" s="26"/>
    </row>
    <row r="44" spans="2:33" ht="15" thickBot="1">
      <c r="B44" s="6" t="s">
        <v>10</v>
      </c>
      <c r="C44" s="7" t="s">
        <v>11</v>
      </c>
      <c r="D44" s="7" t="s">
        <v>12</v>
      </c>
      <c r="E44" s="6" t="s">
        <v>13</v>
      </c>
      <c r="F44" s="6" t="s">
        <v>14</v>
      </c>
      <c r="G44" s="6" t="s">
        <v>15</v>
      </c>
      <c r="H44" s="6" t="s">
        <v>16</v>
      </c>
      <c r="I44" s="8" t="s">
        <v>17</v>
      </c>
      <c r="J44" s="8" t="s">
        <v>18</v>
      </c>
      <c r="K44" s="9" t="s">
        <v>19</v>
      </c>
      <c r="L44" s="8" t="s">
        <v>18</v>
      </c>
      <c r="M44" s="9" t="s">
        <v>19</v>
      </c>
      <c r="N44" s="8" t="s">
        <v>18</v>
      </c>
      <c r="O44" s="9" t="s">
        <v>19</v>
      </c>
      <c r="P44" s="8" t="s">
        <v>18</v>
      </c>
      <c r="Q44" s="9" t="s">
        <v>19</v>
      </c>
      <c r="R44" s="8" t="s">
        <v>18</v>
      </c>
      <c r="S44" s="10" t="s">
        <v>19</v>
      </c>
      <c r="T44" s="8" t="s">
        <v>18</v>
      </c>
      <c r="U44" s="9" t="s">
        <v>19</v>
      </c>
      <c r="V44" s="8" t="s">
        <v>18</v>
      </c>
      <c r="W44" s="9" t="s">
        <v>19</v>
      </c>
      <c r="X44" s="8" t="s">
        <v>18</v>
      </c>
      <c r="Y44" s="9" t="s">
        <v>19</v>
      </c>
      <c r="Z44" s="8" t="s">
        <v>18</v>
      </c>
      <c r="AA44" s="9" t="s">
        <v>19</v>
      </c>
      <c r="AB44" s="8" t="s">
        <v>18</v>
      </c>
      <c r="AC44" s="9" t="s">
        <v>19</v>
      </c>
      <c r="AD44" s="8" t="s">
        <v>18</v>
      </c>
      <c r="AE44" s="9" t="s">
        <v>19</v>
      </c>
      <c r="AF44" s="8" t="s">
        <v>18</v>
      </c>
      <c r="AG44" s="9" t="s">
        <v>19</v>
      </c>
    </row>
    <row r="45" spans="2:33">
      <c r="B45" s="11" t="s">
        <v>73</v>
      </c>
      <c r="C45" s="11" t="s">
        <v>25</v>
      </c>
      <c r="D45" s="11" t="s">
        <v>79</v>
      </c>
      <c r="E45" s="11" t="s">
        <v>72</v>
      </c>
      <c r="F45" s="11" t="s">
        <v>21</v>
      </c>
      <c r="G45" s="11" t="s">
        <v>22</v>
      </c>
      <c r="H45" s="11" t="s">
        <v>23</v>
      </c>
      <c r="I45" s="23">
        <v>100</v>
      </c>
      <c r="J45" s="12">
        <v>10</v>
      </c>
      <c r="K45" s="13">
        <f>$I$6*J45</f>
        <v>1000</v>
      </c>
      <c r="L45" s="12">
        <v>20</v>
      </c>
      <c r="M45" s="13">
        <f>$I$6*L45</f>
        <v>2000</v>
      </c>
      <c r="N45" s="12">
        <v>40</v>
      </c>
      <c r="O45" s="13">
        <f>$I$6*N45</f>
        <v>4000</v>
      </c>
      <c r="P45" s="12">
        <v>90</v>
      </c>
      <c r="Q45" s="13">
        <f>$I$6*P45</f>
        <v>9000</v>
      </c>
      <c r="R45" s="12">
        <v>155</v>
      </c>
      <c r="S45" s="13">
        <f>$I$6*R45</f>
        <v>15500</v>
      </c>
      <c r="T45" s="12">
        <v>155</v>
      </c>
      <c r="U45" s="13">
        <f>$I$6*T45</f>
        <v>15500</v>
      </c>
      <c r="V45" s="12">
        <v>155</v>
      </c>
      <c r="W45" s="13">
        <f>$I$6*V45</f>
        <v>15500</v>
      </c>
      <c r="X45" s="12">
        <v>155</v>
      </c>
      <c r="Y45" s="13">
        <f>$I$6*X45</f>
        <v>15500</v>
      </c>
      <c r="Z45" s="12">
        <v>155</v>
      </c>
      <c r="AA45" s="13">
        <f>$I$6*Z45</f>
        <v>15500</v>
      </c>
      <c r="AB45" s="12">
        <v>155</v>
      </c>
      <c r="AC45" s="13">
        <f>$I$6*AB45</f>
        <v>15500</v>
      </c>
      <c r="AD45" s="12">
        <v>155</v>
      </c>
      <c r="AE45" s="13">
        <f>$I$6*AD45</f>
        <v>15500</v>
      </c>
      <c r="AF45" s="12">
        <v>155</v>
      </c>
      <c r="AG45" s="13">
        <f>$I$6*AF45</f>
        <v>15500</v>
      </c>
    </row>
    <row r="46" spans="2:33">
      <c r="B46" s="11" t="s">
        <v>74</v>
      </c>
      <c r="C46" s="11" t="s">
        <v>25</v>
      </c>
      <c r="D46" s="11" t="s">
        <v>79</v>
      </c>
      <c r="E46" s="11" t="s">
        <v>72</v>
      </c>
      <c r="F46" s="11" t="s">
        <v>26</v>
      </c>
      <c r="G46" s="11" t="s">
        <v>22</v>
      </c>
      <c r="H46" s="11" t="s">
        <v>23</v>
      </c>
      <c r="I46" s="23">
        <v>101</v>
      </c>
      <c r="J46" s="12">
        <v>30</v>
      </c>
      <c r="K46" s="13">
        <f>$I$7*J46</f>
        <v>3030</v>
      </c>
      <c r="L46" s="12">
        <v>30</v>
      </c>
      <c r="M46" s="13">
        <f>$I$7*L46</f>
        <v>3030</v>
      </c>
      <c r="N46" s="12">
        <v>80</v>
      </c>
      <c r="O46" s="13">
        <f>$I$7*N46</f>
        <v>8080</v>
      </c>
      <c r="P46" s="12">
        <v>100</v>
      </c>
      <c r="Q46" s="13">
        <f>$I$7*P46</f>
        <v>10100</v>
      </c>
      <c r="R46" s="12">
        <v>140</v>
      </c>
      <c r="S46" s="13">
        <f>$I$7*R46</f>
        <v>14140</v>
      </c>
      <c r="T46" s="12">
        <v>140</v>
      </c>
      <c r="U46" s="13">
        <f>$I$7*T46</f>
        <v>14140</v>
      </c>
      <c r="V46" s="12">
        <v>140</v>
      </c>
      <c r="W46" s="13">
        <f>$I$7*V46</f>
        <v>14140</v>
      </c>
      <c r="X46" s="12">
        <v>140</v>
      </c>
      <c r="Y46" s="13">
        <f>$I$7*X46</f>
        <v>14140</v>
      </c>
      <c r="Z46" s="12">
        <v>140</v>
      </c>
      <c r="AA46" s="13">
        <f>$I$7*Z46</f>
        <v>14140</v>
      </c>
      <c r="AB46" s="12">
        <v>140</v>
      </c>
      <c r="AC46" s="13">
        <f>$I$7*AB46</f>
        <v>14140</v>
      </c>
      <c r="AD46" s="12">
        <v>140</v>
      </c>
      <c r="AE46" s="13">
        <f>$I$7*AD46</f>
        <v>14140</v>
      </c>
      <c r="AF46" s="12">
        <v>140</v>
      </c>
      <c r="AG46" s="13">
        <f>$I$7*AF46</f>
        <v>14140</v>
      </c>
    </row>
    <row r="47" spans="2:33">
      <c r="B47" s="11" t="s">
        <v>73</v>
      </c>
      <c r="C47" s="11" t="s">
        <v>28</v>
      </c>
      <c r="D47" s="11" t="s">
        <v>79</v>
      </c>
      <c r="E47" s="11" t="s">
        <v>72</v>
      </c>
      <c r="F47" s="11" t="s">
        <v>32</v>
      </c>
      <c r="G47" s="11" t="s">
        <v>22</v>
      </c>
      <c r="H47" s="11" t="s">
        <v>23</v>
      </c>
      <c r="I47" s="24">
        <v>101</v>
      </c>
      <c r="J47" s="12">
        <v>15</v>
      </c>
      <c r="K47" s="27">
        <f>$I$8*J47</f>
        <v>1515</v>
      </c>
      <c r="L47" s="12">
        <v>30</v>
      </c>
      <c r="M47" s="27">
        <f>$I$8*L47</f>
        <v>3030</v>
      </c>
      <c r="N47" s="12">
        <v>80</v>
      </c>
      <c r="O47" s="27">
        <f>$I$8*N47</f>
        <v>8080</v>
      </c>
      <c r="P47" s="12">
        <v>100</v>
      </c>
      <c r="Q47" s="27">
        <f>$I$8*P47</f>
        <v>10100</v>
      </c>
      <c r="R47" s="12">
        <v>150</v>
      </c>
      <c r="S47" s="27">
        <f>$I$8*R47</f>
        <v>15150</v>
      </c>
      <c r="T47" s="12">
        <v>130</v>
      </c>
      <c r="U47" s="27">
        <f>$I$8*T47</f>
        <v>13130</v>
      </c>
      <c r="V47" s="12">
        <v>140</v>
      </c>
      <c r="W47" s="27">
        <f>$I$8*V47</f>
        <v>14140</v>
      </c>
      <c r="X47" s="12">
        <v>140</v>
      </c>
      <c r="Y47" s="27">
        <f>$I$8*X47</f>
        <v>14140</v>
      </c>
      <c r="Z47" s="12">
        <v>140</v>
      </c>
      <c r="AA47" s="27">
        <f>$I$8*Z47</f>
        <v>14140</v>
      </c>
      <c r="AB47" s="12">
        <v>140</v>
      </c>
      <c r="AC47" s="27">
        <f>$I$8*AB47</f>
        <v>14140</v>
      </c>
      <c r="AD47" s="12">
        <v>140</v>
      </c>
      <c r="AE47" s="27">
        <f>$I$8*AD47</f>
        <v>14140</v>
      </c>
      <c r="AF47" s="12">
        <v>140</v>
      </c>
      <c r="AG47" s="27">
        <f>$I$8*AF47</f>
        <v>14140</v>
      </c>
    </row>
    <row r="48" spans="2:33" ht="15" thickBot="1">
      <c r="B48" s="15"/>
      <c r="C48" s="15"/>
      <c r="D48" s="15"/>
      <c r="E48" s="15"/>
      <c r="F48" s="15"/>
      <c r="G48" s="15"/>
      <c r="H48" s="15"/>
      <c r="I48" s="16"/>
      <c r="J48" s="16"/>
      <c r="K48" s="17"/>
      <c r="L48" s="18"/>
      <c r="M48" s="19"/>
      <c r="N48" s="18"/>
      <c r="O48" s="19"/>
      <c r="P48" s="18"/>
      <c r="Q48" s="19"/>
      <c r="R48" s="18"/>
      <c r="S48" s="14"/>
      <c r="T48" s="18"/>
      <c r="U48" s="19"/>
      <c r="V48" s="18"/>
      <c r="W48" s="19"/>
      <c r="X48" s="18"/>
      <c r="Y48" s="19"/>
      <c r="Z48" s="18"/>
      <c r="AA48" s="19"/>
      <c r="AB48" s="18"/>
      <c r="AC48" s="19"/>
      <c r="AD48" s="18"/>
      <c r="AE48" s="19"/>
      <c r="AF48" s="18"/>
      <c r="AG48" s="19"/>
    </row>
    <row r="49" spans="2:33" ht="15" thickBot="1">
      <c r="B49" s="371" t="s">
        <v>29</v>
      </c>
      <c r="C49" s="372"/>
      <c r="D49" s="372"/>
      <c r="E49" s="372"/>
      <c r="F49" s="372"/>
      <c r="G49" s="372"/>
      <c r="H49" s="372"/>
      <c r="I49" s="373"/>
      <c r="J49" s="20">
        <f t="shared" ref="J49:AG49" si="17">SUM(J45:J47)</f>
        <v>55</v>
      </c>
      <c r="K49" s="21">
        <f t="shared" si="17"/>
        <v>5545</v>
      </c>
      <c r="L49" s="20">
        <f t="shared" si="17"/>
        <v>80</v>
      </c>
      <c r="M49" s="21">
        <f t="shared" si="17"/>
        <v>8060</v>
      </c>
      <c r="N49" s="20">
        <f t="shared" si="17"/>
        <v>200</v>
      </c>
      <c r="O49" s="21">
        <f t="shared" si="17"/>
        <v>20160</v>
      </c>
      <c r="P49" s="20">
        <f t="shared" si="17"/>
        <v>290</v>
      </c>
      <c r="Q49" s="21">
        <f t="shared" si="17"/>
        <v>29200</v>
      </c>
      <c r="R49" s="20">
        <f t="shared" si="17"/>
        <v>445</v>
      </c>
      <c r="S49" s="21">
        <f t="shared" si="17"/>
        <v>44790</v>
      </c>
      <c r="T49" s="20">
        <f t="shared" si="17"/>
        <v>425</v>
      </c>
      <c r="U49" s="21">
        <f t="shared" si="17"/>
        <v>42770</v>
      </c>
      <c r="V49" s="20">
        <f t="shared" si="17"/>
        <v>435</v>
      </c>
      <c r="W49" s="21">
        <f t="shared" si="17"/>
        <v>43780</v>
      </c>
      <c r="X49" s="20">
        <f t="shared" si="17"/>
        <v>435</v>
      </c>
      <c r="Y49" s="21">
        <f t="shared" si="17"/>
        <v>43780</v>
      </c>
      <c r="Z49" s="20">
        <f t="shared" si="17"/>
        <v>435</v>
      </c>
      <c r="AA49" s="21">
        <f t="shared" si="17"/>
        <v>43780</v>
      </c>
      <c r="AB49" s="20">
        <f t="shared" si="17"/>
        <v>435</v>
      </c>
      <c r="AC49" s="21">
        <f t="shared" si="17"/>
        <v>43780</v>
      </c>
      <c r="AD49" s="20">
        <f t="shared" si="17"/>
        <v>435</v>
      </c>
      <c r="AE49" s="20">
        <f t="shared" si="17"/>
        <v>43780</v>
      </c>
      <c r="AF49" s="20">
        <f t="shared" si="17"/>
        <v>435</v>
      </c>
      <c r="AG49" s="22">
        <f t="shared" si="17"/>
        <v>43780</v>
      </c>
    </row>
    <row r="50" spans="2:33" ht="15" thickBot="1">
      <c r="B50" s="371" t="s">
        <v>30</v>
      </c>
      <c r="C50" s="372"/>
      <c r="D50" s="372"/>
      <c r="E50" s="372"/>
      <c r="F50" s="372"/>
      <c r="G50" s="372"/>
      <c r="H50" s="372"/>
      <c r="I50" s="373"/>
      <c r="J50" s="369">
        <f>K49</f>
        <v>5545</v>
      </c>
      <c r="K50" s="370"/>
      <c r="L50" s="369">
        <f>J50+M49</f>
        <v>13605</v>
      </c>
      <c r="M50" s="370"/>
      <c r="N50" s="369">
        <f>L50+O49</f>
        <v>33765</v>
      </c>
      <c r="O50" s="370"/>
      <c r="P50" s="369">
        <f>N50+Q49</f>
        <v>62965</v>
      </c>
      <c r="Q50" s="370"/>
      <c r="R50" s="369">
        <f>P50+S49</f>
        <v>107755</v>
      </c>
      <c r="S50" s="370"/>
      <c r="T50" s="369">
        <f>R50+U49</f>
        <v>150525</v>
      </c>
      <c r="U50" s="370"/>
      <c r="V50" s="369">
        <f>T50+W49</f>
        <v>194305</v>
      </c>
      <c r="W50" s="370"/>
      <c r="X50" s="369">
        <f>V50+Y49</f>
        <v>238085</v>
      </c>
      <c r="Y50" s="370"/>
      <c r="Z50" s="369">
        <f>X50+AA49</f>
        <v>281865</v>
      </c>
      <c r="AA50" s="370"/>
      <c r="AB50" s="369">
        <f>Z50+AC49</f>
        <v>325645</v>
      </c>
      <c r="AC50" s="370"/>
      <c r="AD50" s="369">
        <f>AB50+AE49</f>
        <v>369425</v>
      </c>
      <c r="AE50" s="370"/>
      <c r="AF50" s="369">
        <f>AD50+AG49</f>
        <v>413205</v>
      </c>
      <c r="AG50" s="370"/>
    </row>
    <row r="51" spans="2:33" ht="15" thickBot="1">
      <c r="B51" s="371" t="s">
        <v>35</v>
      </c>
      <c r="C51" s="372"/>
      <c r="D51" s="372"/>
      <c r="E51" s="372"/>
      <c r="F51" s="372"/>
      <c r="G51" s="372"/>
      <c r="H51" s="372"/>
      <c r="I51" s="373"/>
      <c r="J51" s="374">
        <f>J49/$E$42</f>
        <v>2.5000000000000001E-2</v>
      </c>
      <c r="K51" s="375"/>
      <c r="L51" s="31">
        <f>(L49/$E$42)+J51</f>
        <v>6.1363636363636363E-2</v>
      </c>
      <c r="M51" s="32"/>
      <c r="N51" s="31">
        <f>(N49/$E$42)+L51</f>
        <v>0.15227272727272728</v>
      </c>
      <c r="O51" s="32"/>
      <c r="P51" s="31">
        <f>(P49/$E$42)+N51</f>
        <v>0.28409090909090906</v>
      </c>
      <c r="Q51" s="32"/>
      <c r="R51" s="31">
        <f>(R49/$E$42)+P51</f>
        <v>0.48636363636363633</v>
      </c>
      <c r="S51" s="32"/>
      <c r="T51" s="31">
        <f>(T49/$E$42)+R51</f>
        <v>0.67954545454545445</v>
      </c>
      <c r="U51" s="32"/>
      <c r="V51" s="31">
        <f>(V49/$E$42)+T51</f>
        <v>0.8772727272727272</v>
      </c>
      <c r="W51" s="32"/>
      <c r="X51" s="31">
        <f>(X49/$E$42)+V51</f>
        <v>1.075</v>
      </c>
      <c r="Y51" s="32"/>
      <c r="Z51" s="31">
        <f>(Z49/$E$42)+X51</f>
        <v>1.2727272727272727</v>
      </c>
      <c r="AA51" s="32"/>
      <c r="AB51" s="31">
        <f>(AB49/$E$42)+Z51</f>
        <v>1.4704545454545455</v>
      </c>
      <c r="AC51" s="32"/>
      <c r="AD51" s="31">
        <f>(AD49/$E$42)+AB51</f>
        <v>1.6681818181818182</v>
      </c>
      <c r="AE51" s="32"/>
      <c r="AF51" s="31">
        <f>(AF49/$E$42)+AD51</f>
        <v>1.865909090909091</v>
      </c>
      <c r="AG51" s="32"/>
    </row>
    <row r="53" spans="2:33" ht="15" thickBot="1"/>
    <row r="54" spans="2:33" ht="15" thickBot="1">
      <c r="B54" s="381" t="s">
        <v>39</v>
      </c>
      <c r="C54" s="382"/>
      <c r="D54" s="382"/>
      <c r="E54" s="382"/>
      <c r="F54" s="382"/>
      <c r="G54" s="382"/>
      <c r="H54" s="382"/>
      <c r="I54" s="382"/>
      <c r="J54" s="382"/>
      <c r="K54" s="382"/>
      <c r="L54" s="382"/>
      <c r="M54" s="382"/>
      <c r="N54" s="382"/>
      <c r="O54" s="382"/>
      <c r="P54" s="382"/>
      <c r="Q54" s="382"/>
      <c r="R54" s="382"/>
      <c r="S54" s="382"/>
      <c r="T54" s="382"/>
      <c r="U54" s="382"/>
      <c r="V54" s="382"/>
      <c r="W54" s="382"/>
      <c r="X54" s="382"/>
      <c r="Y54" s="382"/>
      <c r="Z54" s="382"/>
      <c r="AA54" s="382"/>
      <c r="AB54" s="382"/>
      <c r="AC54" s="382"/>
      <c r="AD54" s="382"/>
      <c r="AE54" s="382"/>
      <c r="AF54" s="382"/>
      <c r="AG54" s="383"/>
    </row>
    <row r="55" spans="2:33">
      <c r="B55" s="29"/>
      <c r="C55" s="5"/>
      <c r="D55" s="5" t="s">
        <v>36</v>
      </c>
      <c r="E55" s="5">
        <v>1776</v>
      </c>
      <c r="F55" s="5"/>
      <c r="G55" s="5"/>
      <c r="H55" s="5"/>
      <c r="I55" s="5"/>
      <c r="J55" s="377" t="s">
        <v>9</v>
      </c>
      <c r="K55" s="378"/>
      <c r="L55" s="377" t="s">
        <v>9</v>
      </c>
      <c r="M55" s="378"/>
      <c r="N55" s="377" t="s">
        <v>9</v>
      </c>
      <c r="O55" s="378"/>
      <c r="P55" s="377" t="s">
        <v>9</v>
      </c>
      <c r="Q55" s="378"/>
      <c r="R55" s="377" t="s">
        <v>9</v>
      </c>
      <c r="S55" s="378"/>
      <c r="T55" s="377" t="s">
        <v>9</v>
      </c>
      <c r="U55" s="378"/>
      <c r="V55" s="377" t="s">
        <v>9</v>
      </c>
      <c r="W55" s="378"/>
      <c r="X55" s="377" t="s">
        <v>9</v>
      </c>
      <c r="Y55" s="378"/>
      <c r="Z55" s="377" t="s">
        <v>9</v>
      </c>
      <c r="AA55" s="378"/>
      <c r="AB55" s="377" t="s">
        <v>9</v>
      </c>
      <c r="AC55" s="378"/>
      <c r="AD55" s="377" t="s">
        <v>9</v>
      </c>
      <c r="AE55" s="378"/>
      <c r="AF55" s="377" t="s">
        <v>9</v>
      </c>
      <c r="AG55" s="378"/>
    </row>
    <row r="56" spans="2:33" ht="15" thickBot="1">
      <c r="B56" s="29"/>
      <c r="C56" s="5"/>
      <c r="D56" s="5"/>
      <c r="E56" s="5"/>
      <c r="F56" s="5"/>
      <c r="G56" s="5"/>
      <c r="H56" s="5"/>
      <c r="I56" s="5"/>
      <c r="J56" s="379">
        <v>45658</v>
      </c>
      <c r="K56" s="380"/>
      <c r="L56" s="25">
        <f>J56+31</f>
        <v>45689</v>
      </c>
      <c r="M56" s="26"/>
      <c r="N56" s="25">
        <f>L56+31</f>
        <v>45720</v>
      </c>
      <c r="O56" s="26"/>
      <c r="P56" s="25">
        <f>N56+31</f>
        <v>45751</v>
      </c>
      <c r="Q56" s="26"/>
      <c r="R56" s="25">
        <f>P56+31</f>
        <v>45782</v>
      </c>
      <c r="S56" s="26"/>
      <c r="T56" s="25">
        <f>R56+31</f>
        <v>45813</v>
      </c>
      <c r="U56" s="26"/>
      <c r="V56" s="25">
        <f>T56+31</f>
        <v>45844</v>
      </c>
      <c r="W56" s="26"/>
      <c r="X56" s="25">
        <f>V56+31</f>
        <v>45875</v>
      </c>
      <c r="Y56" s="26"/>
      <c r="Z56" s="25">
        <f>X56+31</f>
        <v>45906</v>
      </c>
      <c r="AA56" s="26"/>
      <c r="AB56" s="25">
        <f>Z56+31</f>
        <v>45937</v>
      </c>
      <c r="AC56" s="26"/>
      <c r="AD56" s="25">
        <f>AB56+31</f>
        <v>45968</v>
      </c>
      <c r="AE56" s="26"/>
      <c r="AF56" s="25">
        <f>AD56+31</f>
        <v>45999</v>
      </c>
      <c r="AG56" s="26"/>
    </row>
    <row r="57" spans="2:33" ht="15" thickBot="1">
      <c r="B57" s="6" t="s">
        <v>10</v>
      </c>
      <c r="C57" s="7" t="s">
        <v>11</v>
      </c>
      <c r="D57" s="7" t="s">
        <v>12</v>
      </c>
      <c r="E57" s="6" t="s">
        <v>13</v>
      </c>
      <c r="F57" s="6" t="s">
        <v>14</v>
      </c>
      <c r="G57" s="6" t="s">
        <v>15</v>
      </c>
      <c r="H57" s="6" t="s">
        <v>16</v>
      </c>
      <c r="I57" s="8" t="s">
        <v>17</v>
      </c>
      <c r="J57" s="8" t="s">
        <v>18</v>
      </c>
      <c r="K57" s="9" t="s">
        <v>19</v>
      </c>
      <c r="L57" s="8" t="s">
        <v>18</v>
      </c>
      <c r="M57" s="9" t="s">
        <v>19</v>
      </c>
      <c r="N57" s="8" t="s">
        <v>18</v>
      </c>
      <c r="O57" s="9" t="s">
        <v>19</v>
      </c>
      <c r="P57" s="8" t="s">
        <v>18</v>
      </c>
      <c r="Q57" s="9" t="s">
        <v>19</v>
      </c>
      <c r="R57" s="8" t="s">
        <v>18</v>
      </c>
      <c r="S57" s="10" t="s">
        <v>19</v>
      </c>
      <c r="T57" s="8" t="s">
        <v>18</v>
      </c>
      <c r="U57" s="9" t="s">
        <v>19</v>
      </c>
      <c r="V57" s="8" t="s">
        <v>18</v>
      </c>
      <c r="W57" s="9" t="s">
        <v>19</v>
      </c>
      <c r="X57" s="8" t="s">
        <v>18</v>
      </c>
      <c r="Y57" s="9" t="s">
        <v>19</v>
      </c>
      <c r="Z57" s="8" t="s">
        <v>18</v>
      </c>
      <c r="AA57" s="9" t="s">
        <v>19</v>
      </c>
      <c r="AB57" s="8" t="s">
        <v>18</v>
      </c>
      <c r="AC57" s="9" t="s">
        <v>19</v>
      </c>
      <c r="AD57" s="8" t="s">
        <v>18</v>
      </c>
      <c r="AE57" s="9" t="s">
        <v>19</v>
      </c>
      <c r="AF57" s="8" t="s">
        <v>18</v>
      </c>
      <c r="AG57" s="9" t="s">
        <v>19</v>
      </c>
    </row>
    <row r="58" spans="2:33">
      <c r="B58" s="11" t="s">
        <v>75</v>
      </c>
      <c r="C58" s="11" t="s">
        <v>25</v>
      </c>
      <c r="D58" s="11" t="s">
        <v>80</v>
      </c>
      <c r="E58" s="11" t="s">
        <v>81</v>
      </c>
      <c r="F58" s="11" t="s">
        <v>21</v>
      </c>
      <c r="G58" s="11" t="s">
        <v>22</v>
      </c>
      <c r="H58" s="11" t="s">
        <v>23</v>
      </c>
      <c r="I58" s="23">
        <v>100</v>
      </c>
      <c r="J58" s="12">
        <v>10</v>
      </c>
      <c r="K58" s="13">
        <f>$I$6*J58</f>
        <v>1000</v>
      </c>
      <c r="L58" s="12">
        <v>20</v>
      </c>
      <c r="M58" s="13">
        <f>$I$6*L58</f>
        <v>2000</v>
      </c>
      <c r="N58" s="12">
        <v>40</v>
      </c>
      <c r="O58" s="13">
        <f>$I$6*N58</f>
        <v>4000</v>
      </c>
      <c r="P58" s="12">
        <v>90</v>
      </c>
      <c r="Q58" s="13">
        <f>$I$6*P58</f>
        <v>9000</v>
      </c>
      <c r="R58" s="12">
        <v>155</v>
      </c>
      <c r="S58" s="13">
        <f>$I$6*R58</f>
        <v>15500</v>
      </c>
      <c r="T58" s="12">
        <v>155</v>
      </c>
      <c r="U58" s="13">
        <f>$I$6*T58</f>
        <v>15500</v>
      </c>
      <c r="V58" s="12">
        <v>155</v>
      </c>
      <c r="W58" s="13">
        <f>$I$6*V58</f>
        <v>15500</v>
      </c>
      <c r="X58" s="12">
        <v>155</v>
      </c>
      <c r="Y58" s="13">
        <f>$I$6*X58</f>
        <v>15500</v>
      </c>
      <c r="Z58" s="12">
        <v>155</v>
      </c>
      <c r="AA58" s="13">
        <f>$I$6*Z58</f>
        <v>15500</v>
      </c>
      <c r="AB58" s="12">
        <v>155</v>
      </c>
      <c r="AC58" s="13">
        <f>$I$6*AB58</f>
        <v>15500</v>
      </c>
      <c r="AD58" s="12">
        <v>155</v>
      </c>
      <c r="AE58" s="13">
        <f>$I$6*AD58</f>
        <v>15500</v>
      </c>
      <c r="AF58" s="12">
        <v>155</v>
      </c>
      <c r="AG58" s="13">
        <f>$I$6*AF58</f>
        <v>15500</v>
      </c>
    </row>
    <row r="59" spans="2:33">
      <c r="B59" s="11" t="s">
        <v>76</v>
      </c>
      <c r="C59" s="11" t="s">
        <v>25</v>
      </c>
      <c r="D59" s="11" t="s">
        <v>80</v>
      </c>
      <c r="E59" s="11" t="s">
        <v>81</v>
      </c>
      <c r="F59" s="11" t="s">
        <v>26</v>
      </c>
      <c r="G59" s="11" t="s">
        <v>22</v>
      </c>
      <c r="H59" s="11" t="s">
        <v>23</v>
      </c>
      <c r="I59" s="23">
        <v>101</v>
      </c>
      <c r="J59" s="12">
        <v>30</v>
      </c>
      <c r="K59" s="13">
        <f>$I$7*J59</f>
        <v>3030</v>
      </c>
      <c r="L59" s="12">
        <v>30</v>
      </c>
      <c r="M59" s="13">
        <f>$I$7*L59</f>
        <v>3030</v>
      </c>
      <c r="N59" s="12">
        <v>80</v>
      </c>
      <c r="O59" s="13">
        <f>$I$7*N59</f>
        <v>8080</v>
      </c>
      <c r="P59" s="12">
        <v>100</v>
      </c>
      <c r="Q59" s="13">
        <f>$I$7*P59</f>
        <v>10100</v>
      </c>
      <c r="R59" s="12">
        <v>140</v>
      </c>
      <c r="S59" s="13">
        <f>$I$7*R59</f>
        <v>14140</v>
      </c>
      <c r="T59" s="12">
        <v>140</v>
      </c>
      <c r="U59" s="13">
        <f>$I$7*T59</f>
        <v>14140</v>
      </c>
      <c r="V59" s="12">
        <v>140</v>
      </c>
      <c r="W59" s="13">
        <f>$I$7*V59</f>
        <v>14140</v>
      </c>
      <c r="X59" s="12">
        <v>140</v>
      </c>
      <c r="Y59" s="13">
        <f>$I$7*X59</f>
        <v>14140</v>
      </c>
      <c r="Z59" s="12">
        <v>140</v>
      </c>
      <c r="AA59" s="13">
        <f>$I$7*Z59</f>
        <v>14140</v>
      </c>
      <c r="AB59" s="12">
        <v>140</v>
      </c>
      <c r="AC59" s="13">
        <f>$I$7*AB59</f>
        <v>14140</v>
      </c>
      <c r="AD59" s="12">
        <v>140</v>
      </c>
      <c r="AE59" s="13">
        <f>$I$7*AD59</f>
        <v>14140</v>
      </c>
      <c r="AF59" s="12">
        <v>140</v>
      </c>
      <c r="AG59" s="13">
        <f>$I$7*AF59</f>
        <v>14140</v>
      </c>
    </row>
    <row r="60" spans="2:33">
      <c r="B60" s="11" t="s">
        <v>77</v>
      </c>
      <c r="C60" s="11" t="s">
        <v>28</v>
      </c>
      <c r="D60" s="11" t="s">
        <v>80</v>
      </c>
      <c r="E60" s="11" t="s">
        <v>81</v>
      </c>
      <c r="F60" s="11" t="s">
        <v>32</v>
      </c>
      <c r="G60" s="11" t="s">
        <v>22</v>
      </c>
      <c r="H60" s="11" t="s">
        <v>23</v>
      </c>
      <c r="I60" s="24">
        <v>101</v>
      </c>
      <c r="J60" s="12">
        <v>15</v>
      </c>
      <c r="K60" s="27">
        <f>$I$8*J60</f>
        <v>1515</v>
      </c>
      <c r="L60" s="12">
        <v>30</v>
      </c>
      <c r="M60" s="27">
        <f>$I$8*L60</f>
        <v>3030</v>
      </c>
      <c r="N60" s="12">
        <v>80</v>
      </c>
      <c r="O60" s="27">
        <f>$I$8*N60</f>
        <v>8080</v>
      </c>
      <c r="P60" s="12">
        <v>100</v>
      </c>
      <c r="Q60" s="27">
        <f>$I$8*P60</f>
        <v>10100</v>
      </c>
      <c r="R60" s="12">
        <v>150</v>
      </c>
      <c r="S60" s="27">
        <f>$I$8*R60</f>
        <v>15150</v>
      </c>
      <c r="T60" s="12">
        <v>130</v>
      </c>
      <c r="U60" s="27">
        <f>$I$8*T60</f>
        <v>13130</v>
      </c>
      <c r="V60" s="12">
        <v>140</v>
      </c>
      <c r="W60" s="27">
        <f>$I$8*V60</f>
        <v>14140</v>
      </c>
      <c r="X60" s="12">
        <v>140</v>
      </c>
      <c r="Y60" s="27">
        <f>$I$8*X60</f>
        <v>14140</v>
      </c>
      <c r="Z60" s="12">
        <v>140</v>
      </c>
      <c r="AA60" s="27">
        <f>$I$8*Z60</f>
        <v>14140</v>
      </c>
      <c r="AB60" s="12">
        <v>140</v>
      </c>
      <c r="AC60" s="27">
        <f>$I$8*AB60</f>
        <v>14140</v>
      </c>
      <c r="AD60" s="12">
        <v>140</v>
      </c>
      <c r="AE60" s="27">
        <f>$I$8*AD60</f>
        <v>14140</v>
      </c>
      <c r="AF60" s="12">
        <v>140</v>
      </c>
      <c r="AG60" s="27">
        <f>$I$8*AF60</f>
        <v>14140</v>
      </c>
    </row>
    <row r="61" spans="2:33" ht="15" thickBot="1">
      <c r="B61" s="15"/>
      <c r="C61" s="15"/>
      <c r="D61" s="15"/>
      <c r="E61" s="15"/>
      <c r="F61" s="15"/>
      <c r="G61" s="15"/>
      <c r="H61" s="15"/>
      <c r="I61" s="16"/>
      <c r="J61" s="16"/>
      <c r="K61" s="17"/>
      <c r="L61" s="18"/>
      <c r="M61" s="19"/>
      <c r="N61" s="18"/>
      <c r="O61" s="19"/>
      <c r="P61" s="18"/>
      <c r="Q61" s="19"/>
      <c r="R61" s="18"/>
      <c r="S61" s="14"/>
      <c r="T61" s="18"/>
      <c r="U61" s="19"/>
      <c r="V61" s="18"/>
      <c r="W61" s="19"/>
      <c r="X61" s="18"/>
      <c r="Y61" s="19"/>
      <c r="Z61" s="18"/>
      <c r="AA61" s="19"/>
      <c r="AB61" s="18"/>
      <c r="AC61" s="19"/>
      <c r="AD61" s="18"/>
      <c r="AE61" s="19"/>
      <c r="AF61" s="18"/>
      <c r="AG61" s="19"/>
    </row>
    <row r="62" spans="2:33" ht="15" thickBot="1">
      <c r="B62" s="371" t="s">
        <v>29</v>
      </c>
      <c r="C62" s="372"/>
      <c r="D62" s="372"/>
      <c r="E62" s="372"/>
      <c r="F62" s="372"/>
      <c r="G62" s="372"/>
      <c r="H62" s="372"/>
      <c r="I62" s="373"/>
      <c r="J62" s="20">
        <f t="shared" ref="J62:AG62" si="18">SUM(J58:J60)</f>
        <v>55</v>
      </c>
      <c r="K62" s="21">
        <f t="shared" si="18"/>
        <v>5545</v>
      </c>
      <c r="L62" s="20">
        <f t="shared" si="18"/>
        <v>80</v>
      </c>
      <c r="M62" s="21">
        <f t="shared" si="18"/>
        <v>8060</v>
      </c>
      <c r="N62" s="20">
        <f t="shared" si="18"/>
        <v>200</v>
      </c>
      <c r="O62" s="21">
        <f t="shared" si="18"/>
        <v>20160</v>
      </c>
      <c r="P62" s="20">
        <f t="shared" si="18"/>
        <v>290</v>
      </c>
      <c r="Q62" s="21">
        <f t="shared" si="18"/>
        <v>29200</v>
      </c>
      <c r="R62" s="20">
        <f t="shared" si="18"/>
        <v>445</v>
      </c>
      <c r="S62" s="21">
        <f t="shared" si="18"/>
        <v>44790</v>
      </c>
      <c r="T62" s="20">
        <f t="shared" si="18"/>
        <v>425</v>
      </c>
      <c r="U62" s="21">
        <f t="shared" si="18"/>
        <v>42770</v>
      </c>
      <c r="V62" s="20">
        <f t="shared" si="18"/>
        <v>435</v>
      </c>
      <c r="W62" s="21">
        <f t="shared" si="18"/>
        <v>43780</v>
      </c>
      <c r="X62" s="20">
        <f t="shared" si="18"/>
        <v>435</v>
      </c>
      <c r="Y62" s="21">
        <f t="shared" si="18"/>
        <v>43780</v>
      </c>
      <c r="Z62" s="20">
        <f t="shared" si="18"/>
        <v>435</v>
      </c>
      <c r="AA62" s="21">
        <f t="shared" si="18"/>
        <v>43780</v>
      </c>
      <c r="AB62" s="20">
        <f t="shared" si="18"/>
        <v>435</v>
      </c>
      <c r="AC62" s="21">
        <f t="shared" si="18"/>
        <v>43780</v>
      </c>
      <c r="AD62" s="20">
        <f t="shared" si="18"/>
        <v>435</v>
      </c>
      <c r="AE62" s="20">
        <f t="shared" si="18"/>
        <v>43780</v>
      </c>
      <c r="AF62" s="20">
        <f t="shared" si="18"/>
        <v>435</v>
      </c>
      <c r="AG62" s="22">
        <f t="shared" si="18"/>
        <v>43780</v>
      </c>
    </row>
    <row r="63" spans="2:33" ht="15" thickBot="1">
      <c r="B63" s="371" t="s">
        <v>30</v>
      </c>
      <c r="C63" s="372"/>
      <c r="D63" s="372"/>
      <c r="E63" s="372"/>
      <c r="F63" s="372"/>
      <c r="G63" s="372"/>
      <c r="H63" s="372"/>
      <c r="I63" s="373"/>
      <c r="J63" s="369">
        <f>K62</f>
        <v>5545</v>
      </c>
      <c r="K63" s="370"/>
      <c r="L63" s="369">
        <f>J63+M62</f>
        <v>13605</v>
      </c>
      <c r="M63" s="370"/>
      <c r="N63" s="369">
        <f>L63+O62</f>
        <v>33765</v>
      </c>
      <c r="O63" s="370"/>
      <c r="P63" s="369">
        <f>N63+Q62</f>
        <v>62965</v>
      </c>
      <c r="Q63" s="370"/>
      <c r="R63" s="369">
        <f>P63+S62</f>
        <v>107755</v>
      </c>
      <c r="S63" s="370"/>
      <c r="T63" s="369">
        <f>R63+U62</f>
        <v>150525</v>
      </c>
      <c r="U63" s="370"/>
      <c r="V63" s="369">
        <f>T63+W62</f>
        <v>194305</v>
      </c>
      <c r="W63" s="370"/>
      <c r="X63" s="369">
        <f>V63+Y62</f>
        <v>238085</v>
      </c>
      <c r="Y63" s="370"/>
      <c r="Z63" s="369">
        <f>X63+AA62</f>
        <v>281865</v>
      </c>
      <c r="AA63" s="370"/>
      <c r="AB63" s="369">
        <f>Z63+AC62</f>
        <v>325645</v>
      </c>
      <c r="AC63" s="370"/>
      <c r="AD63" s="369">
        <f>AB63+AE62</f>
        <v>369425</v>
      </c>
      <c r="AE63" s="370"/>
      <c r="AF63" s="369">
        <f>AD63+AG62</f>
        <v>413205</v>
      </c>
      <c r="AG63" s="370"/>
    </row>
    <row r="64" spans="2:33" ht="15" thickBot="1">
      <c r="B64" s="371" t="s">
        <v>35</v>
      </c>
      <c r="C64" s="372"/>
      <c r="D64" s="372"/>
      <c r="E64" s="372"/>
      <c r="F64" s="372"/>
      <c r="G64" s="372"/>
      <c r="H64" s="372"/>
      <c r="I64" s="373"/>
      <c r="J64" s="374">
        <f>J62/$E$55</f>
        <v>3.0968468468468468E-2</v>
      </c>
      <c r="K64" s="375"/>
      <c r="L64" s="31">
        <f>(L62/$E$55)+J64</f>
        <v>7.6013513513513514E-2</v>
      </c>
      <c r="M64" s="32"/>
      <c r="N64" s="31">
        <f>(N62/$E$55)+L64</f>
        <v>0.18862612612612611</v>
      </c>
      <c r="O64" s="32"/>
      <c r="P64" s="31">
        <f>(P62/$E$55)+N64</f>
        <v>0.3519144144144144</v>
      </c>
      <c r="Q64" s="32"/>
      <c r="R64" s="31">
        <f>(R62/$E$55)+P64</f>
        <v>0.60247747747747749</v>
      </c>
      <c r="S64" s="32"/>
      <c r="T64" s="31">
        <f>(T62/$E$55)+R64</f>
        <v>0.84177927927927931</v>
      </c>
      <c r="U64" s="32"/>
      <c r="V64" s="31">
        <f>(V62/$E$55)+T64</f>
        <v>1.0867117117117118</v>
      </c>
      <c r="W64" s="32"/>
      <c r="X64" s="31">
        <f>(X62/$E$55)+V64</f>
        <v>1.3316441441441442</v>
      </c>
      <c r="Y64" s="32"/>
      <c r="Z64" s="31">
        <f>(Z62/$E$55)+X64</f>
        <v>1.5765765765765767</v>
      </c>
      <c r="AA64" s="32"/>
      <c r="AB64" s="31">
        <f>(AB62/$E$55)+Z64</f>
        <v>1.8215090090090091</v>
      </c>
      <c r="AC64" s="32"/>
      <c r="AD64" s="31">
        <f>(AD62/$E$55)+AB64</f>
        <v>2.0664414414414414</v>
      </c>
      <c r="AE64" s="32"/>
      <c r="AF64" s="31">
        <f>(AF62/$E$55)+AD64</f>
        <v>2.3113738738738738</v>
      </c>
      <c r="AG64" s="32"/>
    </row>
  </sheetData>
  <mergeCells count="271">
    <mergeCell ref="EL12:EM12"/>
    <mergeCell ref="ER11:ES11"/>
    <mergeCell ref="ET11:EU11"/>
    <mergeCell ref="EV11:EW11"/>
    <mergeCell ref="EX11:EY11"/>
    <mergeCell ref="EZ11:FA11"/>
    <mergeCell ref="FB11:FC11"/>
    <mergeCell ref="FD11:FE11"/>
    <mergeCell ref="EN11:EO11"/>
    <mergeCell ref="EP11:EQ11"/>
    <mergeCell ref="FH11:FI11"/>
    <mergeCell ref="DW11:DX11"/>
    <mergeCell ref="DY11:DZ11"/>
    <mergeCell ref="EA11:EB11"/>
    <mergeCell ref="CW12:DD12"/>
    <mergeCell ref="DE12:DF12"/>
    <mergeCell ref="ED2:FI2"/>
    <mergeCell ref="EL3:EM3"/>
    <mergeCell ref="EN3:EO3"/>
    <mergeCell ref="EP3:EQ3"/>
    <mergeCell ref="ER3:ES3"/>
    <mergeCell ref="ET3:EU3"/>
    <mergeCell ref="EV3:EW3"/>
    <mergeCell ref="EX3:EY3"/>
    <mergeCell ref="EZ3:FA3"/>
    <mergeCell ref="FB3:FC3"/>
    <mergeCell ref="FD3:FE3"/>
    <mergeCell ref="FF3:FG3"/>
    <mergeCell ref="FH3:FI3"/>
    <mergeCell ref="EL4:EM4"/>
    <mergeCell ref="ED10:EK10"/>
    <mergeCell ref="ED11:EK11"/>
    <mergeCell ref="EL11:EM11"/>
    <mergeCell ref="ED12:EK12"/>
    <mergeCell ref="DG11:DH11"/>
    <mergeCell ref="DI11:DJ11"/>
    <mergeCell ref="DK11:DL11"/>
    <mergeCell ref="DM11:DN11"/>
    <mergeCell ref="DO11:DP11"/>
    <mergeCell ref="DQ11:DR11"/>
    <mergeCell ref="DS11:DT11"/>
    <mergeCell ref="DU11:DV11"/>
    <mergeCell ref="FF11:FG11"/>
    <mergeCell ref="CL11:CM11"/>
    <mergeCell ref="CN11:CO11"/>
    <mergeCell ref="CP11:CQ11"/>
    <mergeCell ref="CR11:CS11"/>
    <mergeCell ref="CT11:CU11"/>
    <mergeCell ref="BP12:BW12"/>
    <mergeCell ref="BX12:BY12"/>
    <mergeCell ref="CW2:EB2"/>
    <mergeCell ref="DE3:DF3"/>
    <mergeCell ref="DG3:DH3"/>
    <mergeCell ref="DI3:DJ3"/>
    <mergeCell ref="DK3:DL3"/>
    <mergeCell ref="DM3:DN3"/>
    <mergeCell ref="DO3:DP3"/>
    <mergeCell ref="DQ3:DR3"/>
    <mergeCell ref="DS3:DT3"/>
    <mergeCell ref="DU3:DV3"/>
    <mergeCell ref="DW3:DX3"/>
    <mergeCell ref="DY3:DZ3"/>
    <mergeCell ref="EA3:EB3"/>
    <mergeCell ref="DE4:DF4"/>
    <mergeCell ref="CW10:DD10"/>
    <mergeCell ref="CW11:DD11"/>
    <mergeCell ref="DE11:DF11"/>
    <mergeCell ref="AB11:AC11"/>
    <mergeCell ref="BP2:CU2"/>
    <mergeCell ref="BX3:BY3"/>
    <mergeCell ref="BZ3:CA3"/>
    <mergeCell ref="CB3:CC3"/>
    <mergeCell ref="CD3:CE3"/>
    <mergeCell ref="CF3:CG3"/>
    <mergeCell ref="CH3:CI3"/>
    <mergeCell ref="CJ3:CK3"/>
    <mergeCell ref="CL3:CM3"/>
    <mergeCell ref="CN3:CO3"/>
    <mergeCell ref="CP3:CQ3"/>
    <mergeCell ref="CR3:CS3"/>
    <mergeCell ref="CT3:CU3"/>
    <mergeCell ref="BX4:BY4"/>
    <mergeCell ref="BP10:BW10"/>
    <mergeCell ref="BP11:BW11"/>
    <mergeCell ref="BX11:BY11"/>
    <mergeCell ref="BZ11:CA11"/>
    <mergeCell ref="CB11:CC11"/>
    <mergeCell ref="CD11:CE11"/>
    <mergeCell ref="CF11:CG11"/>
    <mergeCell ref="CH11:CI11"/>
    <mergeCell ref="CJ11:CK11"/>
    <mergeCell ref="AD3:AE3"/>
    <mergeCell ref="AF3:AG3"/>
    <mergeCell ref="J4:K4"/>
    <mergeCell ref="B2:AG2"/>
    <mergeCell ref="J3:K3"/>
    <mergeCell ref="L3:M3"/>
    <mergeCell ref="N3:O3"/>
    <mergeCell ref="P3:Q3"/>
    <mergeCell ref="R3:S3"/>
    <mergeCell ref="T3:U3"/>
    <mergeCell ref="X3:Y3"/>
    <mergeCell ref="Z3:AA3"/>
    <mergeCell ref="AB3:AC3"/>
    <mergeCell ref="V3:W3"/>
    <mergeCell ref="AI2:BN2"/>
    <mergeCell ref="AQ3:AR3"/>
    <mergeCell ref="AS3:AT3"/>
    <mergeCell ref="AU3:AV3"/>
    <mergeCell ref="AW3:AX3"/>
    <mergeCell ref="AY3:AZ3"/>
    <mergeCell ref="BA3:BB3"/>
    <mergeCell ref="BC3:BD3"/>
    <mergeCell ref="BE3:BF3"/>
    <mergeCell ref="BG3:BH3"/>
    <mergeCell ref="BI3:BJ3"/>
    <mergeCell ref="BK3:BL3"/>
    <mergeCell ref="BM3:BN3"/>
    <mergeCell ref="AQ4:AR4"/>
    <mergeCell ref="AI10:AP10"/>
    <mergeCell ref="AI11:AP11"/>
    <mergeCell ref="AQ11:AR11"/>
    <mergeCell ref="AS11:AT11"/>
    <mergeCell ref="AU11:AV11"/>
    <mergeCell ref="AW11:AX11"/>
    <mergeCell ref="B15:AG15"/>
    <mergeCell ref="BK11:BL11"/>
    <mergeCell ref="R11:S11"/>
    <mergeCell ref="T11:U11"/>
    <mergeCell ref="V11:W11"/>
    <mergeCell ref="AD11:AE11"/>
    <mergeCell ref="AF11:AG11"/>
    <mergeCell ref="B12:I12"/>
    <mergeCell ref="J12:K12"/>
    <mergeCell ref="B10:I10"/>
    <mergeCell ref="B11:I11"/>
    <mergeCell ref="J11:K11"/>
    <mergeCell ref="L11:M11"/>
    <mergeCell ref="N11:O11"/>
    <mergeCell ref="P11:Q11"/>
    <mergeCell ref="X11:Y11"/>
    <mergeCell ref="Z11:AA11"/>
    <mergeCell ref="BM11:BN11"/>
    <mergeCell ref="AI12:AP12"/>
    <mergeCell ref="AQ12:AR12"/>
    <mergeCell ref="AY11:AZ11"/>
    <mergeCell ref="BA11:BB11"/>
    <mergeCell ref="BC11:BD11"/>
    <mergeCell ref="BE11:BF11"/>
    <mergeCell ref="BG11:BH11"/>
    <mergeCell ref="BI11:BJ11"/>
    <mergeCell ref="AB16:AC16"/>
    <mergeCell ref="AD16:AE16"/>
    <mergeCell ref="AF16:AG16"/>
    <mergeCell ref="J16:K16"/>
    <mergeCell ref="L16:M16"/>
    <mergeCell ref="N16:O16"/>
    <mergeCell ref="P16:Q16"/>
    <mergeCell ref="R16:S16"/>
    <mergeCell ref="T16:U16"/>
    <mergeCell ref="J17:K17"/>
    <mergeCell ref="B23:I23"/>
    <mergeCell ref="B24:I24"/>
    <mergeCell ref="J24:K24"/>
    <mergeCell ref="L24:M24"/>
    <mergeCell ref="N24:O24"/>
    <mergeCell ref="V16:W16"/>
    <mergeCell ref="X16:Y16"/>
    <mergeCell ref="Z16:AA16"/>
    <mergeCell ref="AD24:AE24"/>
    <mergeCell ref="AF24:AG24"/>
    <mergeCell ref="B25:I25"/>
    <mergeCell ref="J25:K25"/>
    <mergeCell ref="P24:Q24"/>
    <mergeCell ref="R24:S24"/>
    <mergeCell ref="T24:U24"/>
    <mergeCell ref="V24:W24"/>
    <mergeCell ref="X24:Y24"/>
    <mergeCell ref="Z24:AA24"/>
    <mergeCell ref="B41:AG41"/>
    <mergeCell ref="J42:K42"/>
    <mergeCell ref="L42:M42"/>
    <mergeCell ref="N42:O42"/>
    <mergeCell ref="P42:Q42"/>
    <mergeCell ref="R42:S42"/>
    <mergeCell ref="T42:U42"/>
    <mergeCell ref="V42:W42"/>
    <mergeCell ref="X42:Y42"/>
    <mergeCell ref="Z42:AA42"/>
    <mergeCell ref="AB42:AC42"/>
    <mergeCell ref="AD42:AE42"/>
    <mergeCell ref="AF42:AG42"/>
    <mergeCell ref="J43:K43"/>
    <mergeCell ref="B49:I49"/>
    <mergeCell ref="B50:I50"/>
    <mergeCell ref="J50:K50"/>
    <mergeCell ref="L50:M50"/>
    <mergeCell ref="N50:O50"/>
    <mergeCell ref="P50:Q50"/>
    <mergeCell ref="AF50:AG50"/>
    <mergeCell ref="B51:I51"/>
    <mergeCell ref="J51:K51"/>
    <mergeCell ref="R63:S63"/>
    <mergeCell ref="T63:U63"/>
    <mergeCell ref="T55:U55"/>
    <mergeCell ref="V55:W55"/>
    <mergeCell ref="X55:Y55"/>
    <mergeCell ref="Z55:AA55"/>
    <mergeCell ref="AB55:AC55"/>
    <mergeCell ref="AD55:AE55"/>
    <mergeCell ref="AD50:AE50"/>
    <mergeCell ref="B54:AG54"/>
    <mergeCell ref="J55:K55"/>
    <mergeCell ref="L55:M55"/>
    <mergeCell ref="N55:O55"/>
    <mergeCell ref="P55:Q55"/>
    <mergeCell ref="R55:S55"/>
    <mergeCell ref="R50:S50"/>
    <mergeCell ref="T50:U50"/>
    <mergeCell ref="V50:W50"/>
    <mergeCell ref="X50:Y50"/>
    <mergeCell ref="Z50:AA50"/>
    <mergeCell ref="AB50:AC50"/>
    <mergeCell ref="B64:I64"/>
    <mergeCell ref="J64:K64"/>
    <mergeCell ref="B28:AG28"/>
    <mergeCell ref="J29:K29"/>
    <mergeCell ref="L29:M29"/>
    <mergeCell ref="N29:O29"/>
    <mergeCell ref="P29:Q29"/>
    <mergeCell ref="R29:S29"/>
    <mergeCell ref="T29:U29"/>
    <mergeCell ref="V29:W29"/>
    <mergeCell ref="V63:W63"/>
    <mergeCell ref="X63:Y63"/>
    <mergeCell ref="Z63:AA63"/>
    <mergeCell ref="AB63:AC63"/>
    <mergeCell ref="AD63:AE63"/>
    <mergeCell ref="AF63:AG63"/>
    <mergeCell ref="AF55:AG55"/>
    <mergeCell ref="J56:K56"/>
    <mergeCell ref="B62:I62"/>
    <mergeCell ref="B63:I63"/>
    <mergeCell ref="J63:K63"/>
    <mergeCell ref="L63:M63"/>
    <mergeCell ref="N63:O63"/>
    <mergeCell ref="P63:Q63"/>
    <mergeCell ref="AD37:AE37"/>
    <mergeCell ref="AF37:AG37"/>
    <mergeCell ref="B38:I38"/>
    <mergeCell ref="J38:K38"/>
    <mergeCell ref="B1:N1"/>
    <mergeCell ref="R37:S37"/>
    <mergeCell ref="T37:U37"/>
    <mergeCell ref="V37:W37"/>
    <mergeCell ref="X37:Y37"/>
    <mergeCell ref="Z37:AA37"/>
    <mergeCell ref="AB37:AC37"/>
    <mergeCell ref="B36:I36"/>
    <mergeCell ref="B37:I37"/>
    <mergeCell ref="J37:K37"/>
    <mergeCell ref="L37:M37"/>
    <mergeCell ref="N37:O37"/>
    <mergeCell ref="P37:Q37"/>
    <mergeCell ref="X29:Y29"/>
    <mergeCell ref="Z29:AA29"/>
    <mergeCell ref="AB29:AC29"/>
    <mergeCell ref="AD29:AE29"/>
    <mergeCell ref="AF29:AG29"/>
    <mergeCell ref="J30:K30"/>
    <mergeCell ref="AB24:AC2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362E7-E8BC-4E81-96CF-0947D99D873A}">
  <dimension ref="A1:N26"/>
  <sheetViews>
    <sheetView workbookViewId="0">
      <selection activeCell="C30" sqref="C30"/>
    </sheetView>
  </sheetViews>
  <sheetFormatPr defaultRowHeight="14.25"/>
  <cols>
    <col min="1" max="1" width="39.625" customWidth="1"/>
    <col min="9" max="9" width="28.625" bestFit="1" customWidth="1"/>
    <col min="11" max="11" width="13.25" customWidth="1"/>
    <col min="15" max="15" width="11.875" customWidth="1"/>
    <col min="17" max="17" width="11.75" bestFit="1" customWidth="1"/>
    <col min="19" max="19" width="11" customWidth="1"/>
    <col min="21" max="21" width="10.375" customWidth="1"/>
    <col min="23" max="23" width="13.25" customWidth="1"/>
    <col min="25" max="25" width="12.25" customWidth="1"/>
    <col min="27" max="27" width="11.875" customWidth="1"/>
    <col min="29" max="29" width="13" customWidth="1"/>
    <col min="31" max="31" width="12.25" customWidth="1"/>
    <col min="33" max="33" width="11.625" customWidth="1"/>
    <col min="35" max="35" width="12.875" customWidth="1"/>
    <col min="37" max="37" width="12.875" customWidth="1"/>
    <col min="39" max="39" width="12.375" customWidth="1"/>
  </cols>
  <sheetData>
    <row r="1" spans="1:14" ht="71.25" customHeight="1">
      <c r="A1" s="316" t="s">
        <v>186</v>
      </c>
      <c r="B1" s="316"/>
      <c r="C1" s="316"/>
      <c r="D1" s="316"/>
      <c r="E1" s="316"/>
      <c r="F1" s="316"/>
      <c r="G1" s="316"/>
      <c r="H1" s="316"/>
    </row>
    <row r="3" spans="1:14" ht="15">
      <c r="A3" s="384" t="s">
        <v>88</v>
      </c>
      <c r="B3" s="384" t="s">
        <v>0</v>
      </c>
      <c r="C3" s="384"/>
      <c r="D3" s="384"/>
      <c r="E3" s="384"/>
      <c r="F3" s="384"/>
      <c r="I3" s="384" t="s">
        <v>88</v>
      </c>
      <c r="J3" s="385" t="s">
        <v>0</v>
      </c>
      <c r="K3" s="386"/>
      <c r="L3" s="386"/>
      <c r="M3" s="386"/>
      <c r="N3" s="387"/>
    </row>
    <row r="4" spans="1:14" ht="15">
      <c r="A4" s="384"/>
      <c r="B4" s="1" t="s">
        <v>1</v>
      </c>
      <c r="C4" s="1" t="s">
        <v>2</v>
      </c>
      <c r="D4" s="1" t="s">
        <v>3</v>
      </c>
      <c r="E4" s="1" t="s">
        <v>4</v>
      </c>
      <c r="F4" s="1" t="s">
        <v>5</v>
      </c>
      <c r="I4" s="384"/>
      <c r="J4" s="1" t="s">
        <v>83</v>
      </c>
      <c r="K4" s="1" t="s">
        <v>84</v>
      </c>
      <c r="L4" s="1" t="s">
        <v>85</v>
      </c>
      <c r="M4" s="1" t="s">
        <v>86</v>
      </c>
      <c r="N4" s="1" t="s">
        <v>87</v>
      </c>
    </row>
    <row r="5" spans="1:14" ht="15">
      <c r="A5" s="302" t="s">
        <v>220</v>
      </c>
      <c r="B5" s="3">
        <v>4</v>
      </c>
      <c r="C5" s="3">
        <v>4</v>
      </c>
      <c r="D5" s="3">
        <v>4</v>
      </c>
      <c r="E5" s="3">
        <v>4</v>
      </c>
      <c r="F5" s="3">
        <v>4</v>
      </c>
      <c r="I5" s="302" t="s">
        <v>220</v>
      </c>
      <c r="J5" s="3">
        <v>4</v>
      </c>
      <c r="K5" s="3">
        <v>4</v>
      </c>
      <c r="L5" s="3">
        <v>4</v>
      </c>
      <c r="M5" s="3">
        <v>4</v>
      </c>
      <c r="N5" s="3">
        <v>4</v>
      </c>
    </row>
    <row r="6" spans="1:14" ht="15">
      <c r="A6" s="302" t="s">
        <v>221</v>
      </c>
      <c r="B6" s="3">
        <v>4</v>
      </c>
      <c r="C6" s="3">
        <v>4</v>
      </c>
      <c r="D6" s="3">
        <v>4</v>
      </c>
      <c r="E6" s="3">
        <v>4</v>
      </c>
      <c r="F6" s="3">
        <v>4</v>
      </c>
      <c r="I6" s="302" t="s">
        <v>221</v>
      </c>
      <c r="J6" s="3">
        <v>4</v>
      </c>
      <c r="K6" s="3">
        <v>4</v>
      </c>
      <c r="L6" s="3">
        <v>4</v>
      </c>
      <c r="M6" s="3">
        <v>4</v>
      </c>
      <c r="N6" s="3">
        <v>4</v>
      </c>
    </row>
    <row r="7" spans="1:14" ht="15">
      <c r="A7" s="303" t="s">
        <v>219</v>
      </c>
      <c r="B7" s="3">
        <v>3</v>
      </c>
      <c r="C7" s="3">
        <v>3</v>
      </c>
      <c r="D7" s="3">
        <v>3</v>
      </c>
      <c r="E7" s="3">
        <v>3</v>
      </c>
      <c r="F7" s="3">
        <v>3</v>
      </c>
      <c r="I7" s="303" t="s">
        <v>219</v>
      </c>
      <c r="J7" s="3">
        <v>3</v>
      </c>
      <c r="K7" s="3">
        <v>3</v>
      </c>
      <c r="L7" s="3">
        <v>3</v>
      </c>
      <c r="M7" s="3">
        <v>3</v>
      </c>
      <c r="N7" s="3">
        <v>3</v>
      </c>
    </row>
    <row r="8" spans="1:14" ht="15">
      <c r="A8" s="303" t="s">
        <v>218</v>
      </c>
      <c r="B8" s="3">
        <v>1</v>
      </c>
      <c r="C8" s="3">
        <v>1</v>
      </c>
      <c r="D8" s="3">
        <v>1</v>
      </c>
      <c r="E8" s="3">
        <v>1</v>
      </c>
      <c r="F8" s="3">
        <v>1</v>
      </c>
      <c r="I8" s="303" t="s">
        <v>218</v>
      </c>
      <c r="J8" s="3">
        <v>1</v>
      </c>
      <c r="K8" s="3">
        <v>1</v>
      </c>
      <c r="L8" s="3">
        <v>1</v>
      </c>
      <c r="M8" s="3">
        <v>1</v>
      </c>
      <c r="N8" s="3">
        <v>1</v>
      </c>
    </row>
    <row r="9" spans="1:14" ht="15">
      <c r="A9" s="2"/>
      <c r="B9" s="3"/>
      <c r="C9" s="3"/>
      <c r="D9" s="3"/>
      <c r="E9" s="3"/>
      <c r="F9" s="3"/>
      <c r="I9" s="2"/>
      <c r="J9" s="3"/>
      <c r="K9" s="3"/>
      <c r="L9" s="3"/>
      <c r="M9" s="3"/>
      <c r="N9" s="3"/>
    </row>
    <row r="10" spans="1:14" ht="15">
      <c r="A10" s="2"/>
      <c r="B10" s="3"/>
      <c r="C10" s="3"/>
      <c r="D10" s="3"/>
      <c r="E10" s="3"/>
      <c r="F10" s="3"/>
      <c r="I10" s="2"/>
      <c r="J10" s="3"/>
      <c r="K10" s="3"/>
      <c r="L10" s="3"/>
      <c r="M10" s="3"/>
      <c r="N10" s="3"/>
    </row>
    <row r="11" spans="1:14" ht="15">
      <c r="A11" s="2"/>
      <c r="B11" s="3"/>
      <c r="C11" s="3"/>
      <c r="D11" s="3"/>
      <c r="E11" s="3"/>
      <c r="F11" s="3"/>
      <c r="I11" s="2"/>
      <c r="J11" s="3"/>
      <c r="K11" s="3"/>
      <c r="L11" s="3"/>
      <c r="M11" s="3"/>
      <c r="N11" s="3"/>
    </row>
    <row r="12" spans="1:14" ht="15">
      <c r="A12" s="2"/>
      <c r="B12" s="3"/>
      <c r="C12" s="3"/>
      <c r="D12" s="3"/>
      <c r="E12" s="3"/>
      <c r="F12" s="3"/>
      <c r="I12" s="2"/>
      <c r="J12" s="3"/>
      <c r="K12" s="3"/>
      <c r="L12" s="3"/>
      <c r="M12" s="3"/>
      <c r="N12" s="3"/>
    </row>
    <row r="13" spans="1:14" ht="15">
      <c r="A13" s="4" t="s">
        <v>7</v>
      </c>
      <c r="B13" s="28">
        <f t="shared" ref="B13:F13" si="0">SUM(B5:B12)</f>
        <v>12</v>
      </c>
      <c r="C13" s="28">
        <f t="shared" si="0"/>
        <v>12</v>
      </c>
      <c r="D13" s="28">
        <f t="shared" si="0"/>
        <v>12</v>
      </c>
      <c r="E13" s="28">
        <f t="shared" si="0"/>
        <v>12</v>
      </c>
      <c r="F13" s="28">
        <f t="shared" si="0"/>
        <v>12</v>
      </c>
      <c r="I13" s="4" t="s">
        <v>7</v>
      </c>
      <c r="J13" s="28">
        <f>SUM(J5:J12)</f>
        <v>12</v>
      </c>
      <c r="K13" s="28">
        <f>SUM(K5:K12)</f>
        <v>12</v>
      </c>
      <c r="L13" s="28">
        <f>SUM(L5:L12)</f>
        <v>12</v>
      </c>
      <c r="M13" s="28">
        <f>SUM(M5:M12)</f>
        <v>12</v>
      </c>
      <c r="N13" s="28">
        <f>SUM(N5:N12)</f>
        <v>12</v>
      </c>
    </row>
    <row r="16" spans="1:14" ht="15">
      <c r="A16" s="384" t="s">
        <v>105</v>
      </c>
      <c r="B16" s="384" t="s">
        <v>0</v>
      </c>
      <c r="C16" s="384"/>
      <c r="D16" s="384"/>
      <c r="E16" s="384"/>
      <c r="F16" s="384"/>
      <c r="I16" s="384" t="s">
        <v>105</v>
      </c>
      <c r="J16" s="385" t="s">
        <v>0</v>
      </c>
      <c r="K16" s="386"/>
      <c r="L16" s="386"/>
      <c r="M16" s="386"/>
      <c r="N16" s="387"/>
    </row>
    <row r="17" spans="1:14" ht="15">
      <c r="A17" s="384"/>
      <c r="B17" s="1" t="s">
        <v>1</v>
      </c>
      <c r="C17" s="1" t="s">
        <v>2</v>
      </c>
      <c r="D17" s="1" t="s">
        <v>3</v>
      </c>
      <c r="E17" s="1" t="s">
        <v>4</v>
      </c>
      <c r="F17" s="1" t="s">
        <v>5</v>
      </c>
      <c r="I17" s="384"/>
      <c r="J17" s="1" t="s">
        <v>83</v>
      </c>
      <c r="K17" s="1" t="s">
        <v>84</v>
      </c>
      <c r="L17" s="1" t="s">
        <v>85</v>
      </c>
      <c r="M17" s="1" t="s">
        <v>86</v>
      </c>
      <c r="N17" s="1" t="s">
        <v>87</v>
      </c>
    </row>
    <row r="18" spans="1:14" ht="15">
      <c r="A18" s="303" t="s">
        <v>218</v>
      </c>
      <c r="B18" s="3">
        <v>1</v>
      </c>
      <c r="C18" s="3">
        <v>1</v>
      </c>
      <c r="D18" s="3">
        <v>1</v>
      </c>
      <c r="E18" s="3">
        <v>1</v>
      </c>
      <c r="F18" s="3">
        <v>1</v>
      </c>
      <c r="I18" s="303" t="s">
        <v>218</v>
      </c>
      <c r="J18" s="3">
        <v>1</v>
      </c>
      <c r="K18" s="3">
        <v>1</v>
      </c>
      <c r="L18" s="3">
        <v>1</v>
      </c>
      <c r="M18" s="3">
        <v>1</v>
      </c>
      <c r="N18" s="3">
        <v>1</v>
      </c>
    </row>
    <row r="19" spans="1:14" ht="15">
      <c r="A19" s="2"/>
      <c r="B19" s="3"/>
      <c r="C19" s="3"/>
      <c r="D19" s="3"/>
      <c r="E19" s="3"/>
      <c r="F19" s="3"/>
      <c r="I19" s="2"/>
      <c r="J19" s="3"/>
      <c r="K19" s="3"/>
      <c r="L19" s="3"/>
      <c r="M19" s="3"/>
      <c r="N19" s="3"/>
    </row>
    <row r="20" spans="1:14" ht="15">
      <c r="A20" s="2"/>
      <c r="B20" s="3"/>
      <c r="C20" s="3"/>
      <c r="D20" s="3"/>
      <c r="E20" s="3"/>
      <c r="F20" s="3"/>
      <c r="I20" s="2"/>
      <c r="J20" s="3"/>
      <c r="K20" s="3"/>
      <c r="L20" s="3"/>
      <c r="M20" s="3"/>
      <c r="N20" s="3"/>
    </row>
    <row r="21" spans="1:14" ht="15">
      <c r="A21" s="2"/>
      <c r="B21" s="3"/>
      <c r="C21" s="3"/>
      <c r="D21" s="3"/>
      <c r="E21" s="3"/>
      <c r="F21" s="3"/>
      <c r="I21" s="2"/>
      <c r="J21" s="3"/>
      <c r="K21" s="3"/>
      <c r="L21" s="3"/>
      <c r="M21" s="3"/>
      <c r="N21" s="3"/>
    </row>
    <row r="22" spans="1:14" ht="15">
      <c r="A22" s="2"/>
      <c r="B22" s="3"/>
      <c r="C22" s="3"/>
      <c r="D22" s="3"/>
      <c r="E22" s="3"/>
      <c r="F22" s="3"/>
      <c r="I22" s="2"/>
      <c r="J22" s="3"/>
      <c r="K22" s="3"/>
      <c r="L22" s="3"/>
      <c r="M22" s="3"/>
      <c r="N22" s="3"/>
    </row>
    <row r="23" spans="1:14" ht="15">
      <c r="A23" s="2"/>
      <c r="B23" s="3"/>
      <c r="C23" s="3"/>
      <c r="D23" s="3"/>
      <c r="E23" s="3"/>
      <c r="F23" s="3"/>
      <c r="I23" s="2"/>
      <c r="J23" s="3"/>
      <c r="K23" s="3"/>
      <c r="L23" s="3"/>
      <c r="M23" s="3"/>
      <c r="N23" s="3"/>
    </row>
    <row r="24" spans="1:14" ht="15">
      <c r="A24" s="2"/>
      <c r="B24" s="3"/>
      <c r="C24" s="3"/>
      <c r="D24" s="3"/>
      <c r="E24" s="3"/>
      <c r="F24" s="3"/>
      <c r="I24" s="2"/>
      <c r="J24" s="3"/>
      <c r="K24" s="3"/>
      <c r="L24" s="3"/>
      <c r="M24" s="3"/>
      <c r="N24" s="3"/>
    </row>
    <row r="25" spans="1:14" ht="15">
      <c r="A25" s="2"/>
      <c r="B25" s="3"/>
      <c r="C25" s="3"/>
      <c r="D25" s="3"/>
      <c r="E25" s="3"/>
      <c r="F25" s="3"/>
      <c r="I25" s="2"/>
      <c r="J25" s="3"/>
      <c r="K25" s="3"/>
      <c r="L25" s="3"/>
      <c r="M25" s="3"/>
      <c r="N25" s="3"/>
    </row>
    <row r="26" spans="1:14" ht="15">
      <c r="A26" s="4" t="s">
        <v>7</v>
      </c>
      <c r="B26" s="28">
        <f t="shared" ref="B26:F26" si="1">SUM(B18:B25)</f>
        <v>1</v>
      </c>
      <c r="C26" s="28">
        <f t="shared" si="1"/>
        <v>1</v>
      </c>
      <c r="D26" s="28">
        <f t="shared" si="1"/>
        <v>1</v>
      </c>
      <c r="E26" s="28">
        <f t="shared" si="1"/>
        <v>1</v>
      </c>
      <c r="F26" s="28">
        <f t="shared" si="1"/>
        <v>1</v>
      </c>
      <c r="I26" s="4" t="s">
        <v>7</v>
      </c>
      <c r="J26" s="28">
        <f>SUM(J18:J25)</f>
        <v>1</v>
      </c>
      <c r="K26" s="28">
        <f>SUM(K18:K25)</f>
        <v>1</v>
      </c>
      <c r="L26" s="28">
        <f>SUM(L18:L25)</f>
        <v>1</v>
      </c>
      <c r="M26" s="28">
        <f>SUM(M18:M25)</f>
        <v>1</v>
      </c>
      <c r="N26" s="28">
        <f>SUM(N18:N25)</f>
        <v>1</v>
      </c>
    </row>
  </sheetData>
  <mergeCells count="9">
    <mergeCell ref="I3:I4"/>
    <mergeCell ref="J3:N3"/>
    <mergeCell ref="I16:I17"/>
    <mergeCell ref="J16:N16"/>
    <mergeCell ref="A1:H1"/>
    <mergeCell ref="A16:A17"/>
    <mergeCell ref="B16:F16"/>
    <mergeCell ref="A3:A4"/>
    <mergeCell ref="B3:F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DBDC7-7FF8-4F6F-BFC8-29E7F96B4C30}">
  <dimension ref="A1:H73"/>
  <sheetViews>
    <sheetView workbookViewId="0">
      <selection activeCell="E30" sqref="E30"/>
    </sheetView>
  </sheetViews>
  <sheetFormatPr defaultRowHeight="14.25"/>
  <cols>
    <col min="1" max="1" width="19.75" customWidth="1"/>
    <col min="2" max="2" width="12.625" customWidth="1"/>
    <col min="3" max="3" width="11.375" customWidth="1"/>
    <col min="4" max="4" width="26.75" customWidth="1"/>
    <col min="5" max="5" width="37.75" customWidth="1"/>
    <col min="6" max="6" width="15.5" customWidth="1"/>
    <col min="7" max="7" width="12.625" customWidth="1"/>
  </cols>
  <sheetData>
    <row r="1" spans="1:8" ht="68.25" customHeight="1">
      <c r="A1" s="316" t="s">
        <v>201</v>
      </c>
      <c r="B1" s="316"/>
      <c r="C1" s="316"/>
      <c r="D1" s="316"/>
      <c r="E1" s="316"/>
      <c r="F1" s="316"/>
      <c r="G1" s="316"/>
      <c r="H1" s="316"/>
    </row>
    <row r="3" spans="1:8">
      <c r="A3" t="s">
        <v>190</v>
      </c>
      <c r="B3" t="s">
        <v>191</v>
      </c>
      <c r="C3" t="s">
        <v>192</v>
      </c>
      <c r="D3" t="s">
        <v>193</v>
      </c>
      <c r="E3" t="s">
        <v>195</v>
      </c>
      <c r="F3" t="s">
        <v>194</v>
      </c>
      <c r="G3" t="s">
        <v>133</v>
      </c>
    </row>
    <row r="4" spans="1:8">
      <c r="A4" s="298" t="s">
        <v>206</v>
      </c>
      <c r="B4" s="298">
        <v>2</v>
      </c>
      <c r="C4" s="298">
        <v>5</v>
      </c>
      <c r="D4" s="298" t="s">
        <v>215</v>
      </c>
      <c r="E4" s="298" t="s">
        <v>217</v>
      </c>
      <c r="F4" s="299">
        <v>2500</v>
      </c>
      <c r="G4" s="299">
        <f>B4*F4</f>
        <v>5000</v>
      </c>
    </row>
    <row r="5" spans="1:8">
      <c r="A5" s="298" t="s">
        <v>206</v>
      </c>
      <c r="B5" s="298">
        <v>2</v>
      </c>
      <c r="C5" s="298">
        <v>5</v>
      </c>
      <c r="D5" s="298" t="s">
        <v>214</v>
      </c>
      <c r="E5" s="298" t="s">
        <v>216</v>
      </c>
      <c r="F5" s="299">
        <v>7500</v>
      </c>
      <c r="G5" s="299">
        <f>B5*F5</f>
        <v>15000</v>
      </c>
    </row>
    <row r="6" spans="1:8">
      <c r="A6" s="298" t="s">
        <v>206</v>
      </c>
      <c r="B6" s="298">
        <v>3</v>
      </c>
      <c r="C6" s="298">
        <v>5</v>
      </c>
      <c r="D6" s="298" t="s">
        <v>215</v>
      </c>
      <c r="E6" s="298" t="s">
        <v>211</v>
      </c>
      <c r="F6" s="299">
        <v>2500</v>
      </c>
      <c r="G6" s="299">
        <f>B6*F6</f>
        <v>7500</v>
      </c>
    </row>
    <row r="7" spans="1:8">
      <c r="A7" s="219"/>
      <c r="B7" s="219"/>
      <c r="C7" s="219"/>
      <c r="D7" s="219"/>
      <c r="E7" s="219"/>
      <c r="F7" s="219"/>
      <c r="G7" s="219"/>
    </row>
    <row r="8" spans="1:8">
      <c r="A8" s="219"/>
      <c r="B8" s="219"/>
      <c r="C8" s="219"/>
      <c r="D8" s="219"/>
      <c r="E8" s="219"/>
      <c r="F8" s="219"/>
      <c r="G8" s="219"/>
    </row>
    <row r="9" spans="1:8">
      <c r="A9" s="219"/>
      <c r="B9" s="219"/>
      <c r="C9" s="219"/>
      <c r="D9" s="219"/>
      <c r="E9" s="219"/>
      <c r="F9" s="219"/>
      <c r="G9" s="219"/>
    </row>
    <row r="10" spans="1:8">
      <c r="A10" s="219"/>
      <c r="B10" s="219"/>
      <c r="C10" s="219"/>
      <c r="D10" s="219"/>
      <c r="E10" s="219"/>
      <c r="F10" s="219"/>
      <c r="G10" s="219"/>
    </row>
    <row r="11" spans="1:8">
      <c r="A11" s="219"/>
      <c r="B11" s="219"/>
      <c r="C11" s="219"/>
      <c r="D11" s="219"/>
      <c r="E11" s="219"/>
      <c r="F11" s="219"/>
      <c r="G11" s="219"/>
    </row>
    <row r="12" spans="1:8">
      <c r="A12" s="219"/>
      <c r="B12" s="219"/>
      <c r="C12" s="219"/>
      <c r="D12" s="219"/>
      <c r="E12" s="219"/>
      <c r="F12" s="219"/>
      <c r="G12" s="219"/>
    </row>
    <row r="13" spans="1:8">
      <c r="A13" s="219"/>
      <c r="B13" s="219"/>
      <c r="C13" s="219"/>
      <c r="D13" s="219"/>
      <c r="E13" s="219"/>
      <c r="F13" s="219"/>
      <c r="G13" s="219"/>
    </row>
    <row r="14" spans="1:8">
      <c r="A14" s="219"/>
      <c r="B14" s="219"/>
      <c r="C14" s="219"/>
      <c r="D14" s="219"/>
      <c r="E14" s="219"/>
      <c r="F14" s="219"/>
      <c r="G14" s="219"/>
    </row>
    <row r="15" spans="1:8">
      <c r="A15" s="219"/>
      <c r="B15" s="219"/>
      <c r="C15" s="219"/>
      <c r="D15" s="219"/>
      <c r="E15" s="219"/>
      <c r="F15" s="219"/>
      <c r="G15" s="219"/>
    </row>
    <row r="17" spans="1:7">
      <c r="A17" s="388" t="s">
        <v>196</v>
      </c>
      <c r="B17" s="389"/>
      <c r="C17" s="389"/>
      <c r="D17" s="389"/>
      <c r="E17" s="389"/>
      <c r="F17" s="390"/>
      <c r="G17" s="301">
        <f>SUM(G4:G15)</f>
        <v>27500</v>
      </c>
    </row>
    <row r="19" spans="1:7">
      <c r="A19" s="298" t="s">
        <v>206</v>
      </c>
      <c r="B19" s="298">
        <v>2</v>
      </c>
      <c r="C19" s="298">
        <v>5</v>
      </c>
      <c r="D19" s="298" t="s">
        <v>215</v>
      </c>
      <c r="E19" s="298" t="s">
        <v>217</v>
      </c>
      <c r="F19" s="299">
        <v>2500</v>
      </c>
      <c r="G19" s="299">
        <f>B19*F19</f>
        <v>5000</v>
      </c>
    </row>
    <row r="20" spans="1:7">
      <c r="A20" s="298" t="s">
        <v>206</v>
      </c>
      <c r="B20" s="298">
        <v>2</v>
      </c>
      <c r="C20" s="298">
        <v>5</v>
      </c>
      <c r="D20" s="298" t="s">
        <v>214</v>
      </c>
      <c r="E20" s="298" t="s">
        <v>216</v>
      </c>
      <c r="F20" s="299">
        <v>7500</v>
      </c>
      <c r="G20" s="299">
        <f>B20*F20</f>
        <v>15000</v>
      </c>
    </row>
    <row r="21" spans="1:7">
      <c r="A21" s="298" t="s">
        <v>206</v>
      </c>
      <c r="B21" s="298">
        <v>3</v>
      </c>
      <c r="C21" s="298">
        <v>5</v>
      </c>
      <c r="D21" s="298" t="s">
        <v>215</v>
      </c>
      <c r="E21" s="298" t="s">
        <v>211</v>
      </c>
      <c r="F21" s="299">
        <v>2500</v>
      </c>
      <c r="G21" s="299">
        <f>B21*F21</f>
        <v>7500</v>
      </c>
    </row>
    <row r="22" spans="1:7">
      <c r="A22" s="219"/>
      <c r="B22" s="219"/>
      <c r="C22" s="219"/>
      <c r="D22" s="219"/>
      <c r="E22" s="219"/>
      <c r="F22" s="219"/>
      <c r="G22" s="219"/>
    </row>
    <row r="23" spans="1:7">
      <c r="A23" s="219"/>
      <c r="B23" s="219"/>
      <c r="C23" s="219"/>
      <c r="D23" s="219"/>
      <c r="E23" s="219"/>
      <c r="F23" s="219"/>
      <c r="G23" s="219"/>
    </row>
    <row r="24" spans="1:7">
      <c r="A24" s="219"/>
      <c r="B24" s="219"/>
      <c r="C24" s="219"/>
      <c r="D24" s="219"/>
      <c r="E24" s="219"/>
      <c r="F24" s="219"/>
      <c r="G24" s="219"/>
    </row>
    <row r="25" spans="1:7">
      <c r="A25" s="219"/>
      <c r="B25" s="219"/>
      <c r="C25" s="219"/>
      <c r="D25" s="219"/>
      <c r="E25" s="219"/>
      <c r="F25" s="219"/>
      <c r="G25" s="219"/>
    </row>
    <row r="26" spans="1:7">
      <c r="A26" s="219"/>
      <c r="B26" s="219"/>
      <c r="C26" s="219"/>
      <c r="D26" s="219"/>
      <c r="E26" s="219"/>
      <c r="F26" s="219"/>
      <c r="G26" s="219"/>
    </row>
    <row r="27" spans="1:7">
      <c r="A27" s="219"/>
      <c r="B27" s="219"/>
      <c r="C27" s="219"/>
      <c r="D27" s="219"/>
      <c r="E27" s="219"/>
      <c r="F27" s="219"/>
      <c r="G27" s="219"/>
    </row>
    <row r="28" spans="1:7">
      <c r="A28" s="219"/>
      <c r="B28" s="219"/>
      <c r="C28" s="219"/>
      <c r="D28" s="219"/>
      <c r="E28" s="219"/>
      <c r="F28" s="219"/>
      <c r="G28" s="219"/>
    </row>
    <row r="29" spans="1:7">
      <c r="A29" s="219"/>
      <c r="B29" s="219"/>
      <c r="C29" s="219"/>
      <c r="D29" s="219"/>
      <c r="E29" s="219"/>
      <c r="F29" s="219"/>
      <c r="G29" s="219"/>
    </row>
    <row r="31" spans="1:7">
      <c r="A31" s="388" t="s">
        <v>197</v>
      </c>
      <c r="B31" s="389"/>
      <c r="C31" s="389"/>
      <c r="D31" s="389"/>
      <c r="E31" s="389"/>
      <c r="F31" s="390"/>
      <c r="G31" s="301">
        <f>SUM(G19:G29)</f>
        <v>27500</v>
      </c>
    </row>
    <row r="33" spans="1:7">
      <c r="A33" s="298" t="s">
        <v>206</v>
      </c>
      <c r="B33" s="298">
        <v>2</v>
      </c>
      <c r="C33" s="298">
        <v>5</v>
      </c>
      <c r="D33" s="298" t="s">
        <v>215</v>
      </c>
      <c r="E33" s="298" t="s">
        <v>217</v>
      </c>
      <c r="F33" s="299">
        <v>2500</v>
      </c>
      <c r="G33" s="299">
        <f>B33*F33</f>
        <v>5000</v>
      </c>
    </row>
    <row r="34" spans="1:7">
      <c r="A34" s="298" t="s">
        <v>206</v>
      </c>
      <c r="B34" s="298">
        <v>2</v>
      </c>
      <c r="C34" s="298">
        <v>5</v>
      </c>
      <c r="D34" s="298" t="s">
        <v>214</v>
      </c>
      <c r="E34" s="298" t="s">
        <v>216</v>
      </c>
      <c r="F34" s="299">
        <v>7500</v>
      </c>
      <c r="G34" s="299">
        <f>B34*F34</f>
        <v>15000</v>
      </c>
    </row>
    <row r="35" spans="1:7">
      <c r="A35" s="298" t="s">
        <v>206</v>
      </c>
      <c r="B35" s="298">
        <v>3</v>
      </c>
      <c r="C35" s="298">
        <v>5</v>
      </c>
      <c r="D35" s="298" t="s">
        <v>215</v>
      </c>
      <c r="E35" s="298" t="s">
        <v>211</v>
      </c>
      <c r="F35" s="299">
        <v>2500</v>
      </c>
      <c r="G35" s="299">
        <f>B35*F35</f>
        <v>7500</v>
      </c>
    </row>
    <row r="36" spans="1:7">
      <c r="A36" s="219"/>
      <c r="B36" s="219"/>
      <c r="C36" s="219"/>
      <c r="D36" s="219"/>
      <c r="E36" s="219"/>
      <c r="F36" s="219"/>
      <c r="G36" s="219"/>
    </row>
    <row r="37" spans="1:7">
      <c r="A37" s="219"/>
      <c r="B37" s="219"/>
      <c r="C37" s="219"/>
      <c r="D37" s="219"/>
      <c r="E37" s="219"/>
      <c r="F37" s="219"/>
      <c r="G37" s="219"/>
    </row>
    <row r="38" spans="1:7">
      <c r="A38" s="219"/>
      <c r="B38" s="219"/>
      <c r="C38" s="219"/>
      <c r="D38" s="219"/>
      <c r="E38" s="219"/>
      <c r="F38" s="219"/>
      <c r="G38" s="219"/>
    </row>
    <row r="39" spans="1:7">
      <c r="A39" s="219"/>
      <c r="B39" s="219"/>
      <c r="C39" s="219"/>
      <c r="D39" s="219"/>
      <c r="E39" s="219"/>
      <c r="F39" s="219"/>
      <c r="G39" s="219"/>
    </row>
    <row r="40" spans="1:7">
      <c r="A40" s="219"/>
      <c r="B40" s="219"/>
      <c r="C40" s="219"/>
      <c r="D40" s="219"/>
      <c r="E40" s="219"/>
      <c r="F40" s="219"/>
      <c r="G40" s="219"/>
    </row>
    <row r="41" spans="1:7">
      <c r="A41" s="219"/>
      <c r="B41" s="219"/>
      <c r="C41" s="219"/>
      <c r="D41" s="219"/>
      <c r="E41" s="219"/>
      <c r="F41" s="219"/>
      <c r="G41" s="219"/>
    </row>
    <row r="42" spans="1:7">
      <c r="A42" s="219"/>
      <c r="B42" s="219"/>
      <c r="C42" s="219"/>
      <c r="D42" s="219"/>
      <c r="E42" s="219"/>
      <c r="F42" s="219"/>
      <c r="G42" s="219"/>
    </row>
    <row r="43" spans="1:7">
      <c r="A43" s="219"/>
      <c r="B43" s="219"/>
      <c r="C43" s="219"/>
      <c r="D43" s="219"/>
      <c r="E43" s="219"/>
      <c r="F43" s="219"/>
      <c r="G43" s="219"/>
    </row>
    <row r="45" spans="1:7">
      <c r="A45" s="388" t="s">
        <v>198</v>
      </c>
      <c r="B45" s="389"/>
      <c r="C45" s="389"/>
      <c r="D45" s="389"/>
      <c r="E45" s="389"/>
      <c r="F45" s="390"/>
      <c r="G45" s="301">
        <f>SUM(G33:G43)</f>
        <v>27500</v>
      </c>
    </row>
    <row r="47" spans="1:7">
      <c r="A47" s="298" t="s">
        <v>206</v>
      </c>
      <c r="B47" s="298">
        <v>2</v>
      </c>
      <c r="C47" s="298">
        <v>5</v>
      </c>
      <c r="D47" s="298" t="s">
        <v>215</v>
      </c>
      <c r="E47" s="298" t="s">
        <v>217</v>
      </c>
      <c r="F47" s="299">
        <v>2500</v>
      </c>
      <c r="G47" s="299">
        <f>B47*F47</f>
        <v>5000</v>
      </c>
    </row>
    <row r="48" spans="1:7">
      <c r="A48" s="298" t="s">
        <v>206</v>
      </c>
      <c r="B48" s="298">
        <v>2</v>
      </c>
      <c r="C48" s="298">
        <v>5</v>
      </c>
      <c r="D48" s="298" t="s">
        <v>214</v>
      </c>
      <c r="E48" s="298" t="s">
        <v>216</v>
      </c>
      <c r="F48" s="299">
        <v>7500</v>
      </c>
      <c r="G48" s="299">
        <f>B48*F48</f>
        <v>15000</v>
      </c>
    </row>
    <row r="49" spans="1:7">
      <c r="A49" s="298" t="s">
        <v>206</v>
      </c>
      <c r="B49" s="298">
        <v>3</v>
      </c>
      <c r="C49" s="298">
        <v>5</v>
      </c>
      <c r="D49" s="298" t="s">
        <v>215</v>
      </c>
      <c r="E49" s="298" t="s">
        <v>211</v>
      </c>
      <c r="F49" s="299">
        <v>2500</v>
      </c>
      <c r="G49" s="299">
        <f>B49*F49</f>
        <v>7500</v>
      </c>
    </row>
    <row r="50" spans="1:7">
      <c r="A50" s="219"/>
      <c r="B50" s="219"/>
      <c r="C50" s="219"/>
      <c r="D50" s="219"/>
      <c r="E50" s="219"/>
      <c r="F50" s="219"/>
      <c r="G50" s="219"/>
    </row>
    <row r="51" spans="1:7">
      <c r="A51" s="219"/>
      <c r="B51" s="219"/>
      <c r="C51" s="219"/>
      <c r="D51" s="219"/>
      <c r="E51" s="219"/>
      <c r="F51" s="219"/>
      <c r="G51" s="219"/>
    </row>
    <row r="52" spans="1:7">
      <c r="A52" s="219"/>
      <c r="B52" s="219"/>
      <c r="C52" s="219"/>
      <c r="D52" s="219"/>
      <c r="E52" s="219"/>
      <c r="F52" s="219"/>
      <c r="G52" s="219"/>
    </row>
    <row r="53" spans="1:7">
      <c r="A53" s="219"/>
      <c r="B53" s="219"/>
      <c r="C53" s="219"/>
      <c r="D53" s="219"/>
      <c r="E53" s="219"/>
      <c r="F53" s="219"/>
      <c r="G53" s="219"/>
    </row>
    <row r="54" spans="1:7">
      <c r="A54" s="219"/>
      <c r="B54" s="219"/>
      <c r="C54" s="219"/>
      <c r="D54" s="219"/>
      <c r="E54" s="219"/>
      <c r="F54" s="219"/>
      <c r="G54" s="219"/>
    </row>
    <row r="55" spans="1:7">
      <c r="A55" s="219"/>
      <c r="B55" s="219"/>
      <c r="C55" s="219"/>
      <c r="D55" s="219"/>
      <c r="E55" s="219"/>
      <c r="F55" s="219"/>
      <c r="G55" s="219"/>
    </row>
    <row r="56" spans="1:7">
      <c r="A56" s="219"/>
      <c r="B56" s="219"/>
      <c r="C56" s="219"/>
      <c r="D56" s="219"/>
      <c r="E56" s="219"/>
      <c r="F56" s="219"/>
      <c r="G56" s="219"/>
    </row>
    <row r="57" spans="1:7">
      <c r="A57" s="219"/>
      <c r="B57" s="219"/>
      <c r="C57" s="219"/>
      <c r="D57" s="219"/>
      <c r="E57" s="219"/>
      <c r="F57" s="219"/>
      <c r="G57" s="219"/>
    </row>
    <row r="59" spans="1:7">
      <c r="A59" s="388" t="s">
        <v>199</v>
      </c>
      <c r="B59" s="389"/>
      <c r="C59" s="389"/>
      <c r="D59" s="389"/>
      <c r="E59" s="389"/>
      <c r="F59" s="390"/>
      <c r="G59" s="301">
        <f>SUM(G47:G57)</f>
        <v>27500</v>
      </c>
    </row>
    <row r="61" spans="1:7">
      <c r="A61" s="298" t="s">
        <v>206</v>
      </c>
      <c r="B61" s="298">
        <v>2</v>
      </c>
      <c r="C61" s="298">
        <v>5</v>
      </c>
      <c r="D61" s="298" t="s">
        <v>215</v>
      </c>
      <c r="E61" s="298" t="s">
        <v>217</v>
      </c>
      <c r="F61" s="299">
        <v>2500</v>
      </c>
      <c r="G61" s="299">
        <f>B61*F61</f>
        <v>5000</v>
      </c>
    </row>
    <row r="62" spans="1:7">
      <c r="A62" s="298" t="s">
        <v>206</v>
      </c>
      <c r="B62" s="298">
        <v>2</v>
      </c>
      <c r="C62" s="298">
        <v>5</v>
      </c>
      <c r="D62" s="298" t="s">
        <v>214</v>
      </c>
      <c r="E62" s="298" t="s">
        <v>216</v>
      </c>
      <c r="F62" s="299">
        <v>7500</v>
      </c>
      <c r="G62" s="299">
        <f>B62*F62</f>
        <v>15000</v>
      </c>
    </row>
    <row r="63" spans="1:7">
      <c r="A63" s="298" t="s">
        <v>206</v>
      </c>
      <c r="B63" s="298">
        <v>3</v>
      </c>
      <c r="C63" s="298">
        <v>5</v>
      </c>
      <c r="D63" s="298" t="s">
        <v>215</v>
      </c>
      <c r="E63" s="298" t="s">
        <v>211</v>
      </c>
      <c r="F63" s="299">
        <v>2500</v>
      </c>
      <c r="G63" s="299">
        <f>B63*F63</f>
        <v>7500</v>
      </c>
    </row>
    <row r="64" spans="1:7">
      <c r="A64" s="219"/>
      <c r="B64" s="219"/>
      <c r="C64" s="219"/>
      <c r="D64" s="219"/>
      <c r="E64" s="219"/>
      <c r="F64" s="219"/>
      <c r="G64" s="219"/>
    </row>
    <row r="65" spans="1:7">
      <c r="A65" s="219"/>
      <c r="B65" s="219"/>
      <c r="C65" s="219"/>
      <c r="D65" s="219"/>
      <c r="E65" s="219"/>
      <c r="F65" s="219"/>
      <c r="G65" s="219"/>
    </row>
    <row r="66" spans="1:7">
      <c r="A66" s="219"/>
      <c r="B66" s="219"/>
      <c r="C66" s="219"/>
      <c r="D66" s="219"/>
      <c r="E66" s="219"/>
      <c r="F66" s="219"/>
      <c r="G66" s="219"/>
    </row>
    <row r="67" spans="1:7">
      <c r="A67" s="219"/>
      <c r="B67" s="219"/>
      <c r="C67" s="219"/>
      <c r="D67" s="219"/>
      <c r="E67" s="219"/>
      <c r="F67" s="219"/>
      <c r="G67" s="219"/>
    </row>
    <row r="68" spans="1:7">
      <c r="A68" s="219"/>
      <c r="B68" s="219"/>
      <c r="C68" s="219"/>
      <c r="D68" s="219"/>
      <c r="E68" s="219"/>
      <c r="F68" s="219"/>
      <c r="G68" s="219"/>
    </row>
    <row r="69" spans="1:7">
      <c r="A69" s="219"/>
      <c r="B69" s="219"/>
      <c r="C69" s="219"/>
      <c r="D69" s="219"/>
      <c r="E69" s="219"/>
      <c r="F69" s="219"/>
      <c r="G69" s="219"/>
    </row>
    <row r="70" spans="1:7">
      <c r="A70" s="219"/>
      <c r="B70" s="219"/>
      <c r="C70" s="219"/>
      <c r="D70" s="219"/>
      <c r="E70" s="219"/>
      <c r="F70" s="219"/>
      <c r="G70" s="219"/>
    </row>
    <row r="71" spans="1:7">
      <c r="A71" s="219"/>
      <c r="B71" s="219"/>
      <c r="C71" s="219"/>
      <c r="D71" s="219"/>
      <c r="E71" s="219"/>
      <c r="F71" s="219"/>
      <c r="G71" s="219"/>
    </row>
    <row r="73" spans="1:7">
      <c r="A73" s="388" t="s">
        <v>200</v>
      </c>
      <c r="B73" s="389"/>
      <c r="C73" s="389"/>
      <c r="D73" s="389"/>
      <c r="E73" s="389"/>
      <c r="F73" s="390"/>
      <c r="G73" s="301">
        <f>SUM(G61:G71)</f>
        <v>27500</v>
      </c>
    </row>
  </sheetData>
  <mergeCells count="6">
    <mergeCell ref="A73:F73"/>
    <mergeCell ref="A1:H1"/>
    <mergeCell ref="A17:F17"/>
    <mergeCell ref="A31:F31"/>
    <mergeCell ref="A45:F45"/>
    <mergeCell ref="A59:F59"/>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6D672-E900-4B07-8E8F-AC83C6B6FDE5}">
  <dimension ref="A1:BK43"/>
  <sheetViews>
    <sheetView workbookViewId="0">
      <selection activeCell="B14" sqref="B14"/>
    </sheetView>
  </sheetViews>
  <sheetFormatPr defaultRowHeight="14.25"/>
  <cols>
    <col min="4" max="63" width="10.125" bestFit="1" customWidth="1"/>
  </cols>
  <sheetData>
    <row r="1" spans="1:63" ht="87.75" customHeight="1">
      <c r="A1" s="316" t="s">
        <v>203</v>
      </c>
      <c r="B1" s="316"/>
      <c r="C1" s="316"/>
      <c r="D1" s="316"/>
      <c r="E1" s="316"/>
      <c r="F1" s="316"/>
      <c r="G1" s="316"/>
      <c r="H1" s="316"/>
      <c r="I1" s="316"/>
      <c r="J1" s="316"/>
      <c r="K1" s="316"/>
    </row>
    <row r="3" spans="1:63" ht="15" thickBot="1"/>
    <row r="4" spans="1:63">
      <c r="A4" s="396" t="s">
        <v>68</v>
      </c>
      <c r="B4" s="43"/>
      <c r="C4" s="51"/>
      <c r="D4" s="394" t="s">
        <v>1</v>
      </c>
      <c r="E4" s="394"/>
      <c r="F4" s="394"/>
      <c r="G4" s="394"/>
      <c r="H4" s="394"/>
      <c r="I4" s="394"/>
      <c r="J4" s="394"/>
      <c r="K4" s="394"/>
      <c r="L4" s="395"/>
      <c r="M4" s="393" t="s">
        <v>2</v>
      </c>
      <c r="N4" s="394"/>
      <c r="O4" s="394"/>
      <c r="P4" s="394"/>
      <c r="Q4" s="394"/>
      <c r="R4" s="394"/>
      <c r="S4" s="394"/>
      <c r="T4" s="394"/>
      <c r="U4" s="394"/>
      <c r="V4" s="394"/>
      <c r="W4" s="394"/>
      <c r="X4" s="395"/>
      <c r="Y4" s="393" t="s">
        <v>3</v>
      </c>
      <c r="Z4" s="394"/>
      <c r="AA4" s="394"/>
      <c r="AB4" s="394"/>
      <c r="AC4" s="394"/>
      <c r="AD4" s="394"/>
      <c r="AE4" s="394"/>
      <c r="AF4" s="394"/>
      <c r="AG4" s="394"/>
      <c r="AH4" s="394"/>
      <c r="AI4" s="394"/>
      <c r="AJ4" s="395"/>
      <c r="AK4" s="393" t="s">
        <v>4</v>
      </c>
      <c r="AL4" s="394"/>
      <c r="AM4" s="394"/>
      <c r="AN4" s="394"/>
      <c r="AO4" s="394"/>
      <c r="AP4" s="394"/>
      <c r="AQ4" s="394"/>
      <c r="AR4" s="394"/>
      <c r="AS4" s="394"/>
      <c r="AT4" s="394"/>
      <c r="AU4" s="394"/>
      <c r="AV4" s="395"/>
      <c r="AW4" s="393" t="s">
        <v>5</v>
      </c>
      <c r="AX4" s="394"/>
      <c r="AY4" s="394"/>
      <c r="AZ4" s="394"/>
      <c r="BA4" s="394"/>
      <c r="BB4" s="394"/>
      <c r="BC4" s="394"/>
      <c r="BD4" s="394"/>
      <c r="BE4" s="394"/>
      <c r="BF4" s="394"/>
      <c r="BG4" s="394"/>
      <c r="BH4" s="395"/>
      <c r="BI4" s="393" t="s">
        <v>6</v>
      </c>
      <c r="BJ4" s="394"/>
      <c r="BK4" s="395"/>
    </row>
    <row r="5" spans="1:63" ht="15" thickBot="1">
      <c r="A5" s="397"/>
      <c r="B5" s="52"/>
      <c r="C5" s="53" t="s">
        <v>50</v>
      </c>
      <c r="D5" s="57">
        <v>45658</v>
      </c>
      <c r="E5" s="25">
        <f t="shared" ref="E5:O5" si="0">D5+31</f>
        <v>45689</v>
      </c>
      <c r="F5" s="25">
        <f t="shared" si="0"/>
        <v>45720</v>
      </c>
      <c r="G5" s="25">
        <f t="shared" si="0"/>
        <v>45751</v>
      </c>
      <c r="H5" s="25">
        <f t="shared" si="0"/>
        <v>45782</v>
      </c>
      <c r="I5" s="25">
        <f t="shared" si="0"/>
        <v>45813</v>
      </c>
      <c r="J5" s="25">
        <f t="shared" si="0"/>
        <v>45844</v>
      </c>
      <c r="K5" s="25">
        <f t="shared" si="0"/>
        <v>45875</v>
      </c>
      <c r="L5" s="34">
        <f t="shared" si="0"/>
        <v>45906</v>
      </c>
      <c r="M5" s="25">
        <f t="shared" si="0"/>
        <v>45937</v>
      </c>
      <c r="N5" s="25">
        <f t="shared" si="0"/>
        <v>45968</v>
      </c>
      <c r="O5" s="25">
        <f t="shared" si="0"/>
        <v>45999</v>
      </c>
      <c r="P5" s="25">
        <v>46023</v>
      </c>
      <c r="Q5" s="25">
        <f t="shared" ref="Q5:BK5" si="1">P5+31</f>
        <v>46054</v>
      </c>
      <c r="R5" s="25">
        <f t="shared" si="1"/>
        <v>46085</v>
      </c>
      <c r="S5" s="25">
        <f t="shared" si="1"/>
        <v>46116</v>
      </c>
      <c r="T5" s="25">
        <f t="shared" si="1"/>
        <v>46147</v>
      </c>
      <c r="U5" s="25">
        <f t="shared" si="1"/>
        <v>46178</v>
      </c>
      <c r="V5" s="25">
        <f t="shared" si="1"/>
        <v>46209</v>
      </c>
      <c r="W5" s="25">
        <f t="shared" si="1"/>
        <v>46240</v>
      </c>
      <c r="X5" s="34">
        <f t="shared" si="1"/>
        <v>46271</v>
      </c>
      <c r="Y5" s="25">
        <f t="shared" si="1"/>
        <v>46302</v>
      </c>
      <c r="Z5" s="25">
        <f t="shared" si="1"/>
        <v>46333</v>
      </c>
      <c r="AA5" s="25">
        <f t="shared" si="1"/>
        <v>46364</v>
      </c>
      <c r="AB5" s="25">
        <v>46388</v>
      </c>
      <c r="AC5" s="25">
        <f t="shared" si="1"/>
        <v>46419</v>
      </c>
      <c r="AD5" s="25">
        <f t="shared" si="1"/>
        <v>46450</v>
      </c>
      <c r="AE5" s="25">
        <f t="shared" si="1"/>
        <v>46481</v>
      </c>
      <c r="AF5" s="25">
        <f t="shared" si="1"/>
        <v>46512</v>
      </c>
      <c r="AG5" s="25">
        <f t="shared" si="1"/>
        <v>46543</v>
      </c>
      <c r="AH5" s="25">
        <f t="shared" si="1"/>
        <v>46574</v>
      </c>
      <c r="AI5" s="25">
        <f t="shared" si="1"/>
        <v>46605</v>
      </c>
      <c r="AJ5" s="34">
        <f t="shared" si="1"/>
        <v>46636</v>
      </c>
      <c r="AK5" s="25">
        <f t="shared" si="1"/>
        <v>46667</v>
      </c>
      <c r="AL5" s="25">
        <f t="shared" si="1"/>
        <v>46698</v>
      </c>
      <c r="AM5" s="25">
        <f t="shared" si="1"/>
        <v>46729</v>
      </c>
      <c r="AN5" s="25">
        <v>46753</v>
      </c>
      <c r="AO5" s="25">
        <f t="shared" si="1"/>
        <v>46784</v>
      </c>
      <c r="AP5" s="25">
        <f t="shared" si="1"/>
        <v>46815</v>
      </c>
      <c r="AQ5" s="25">
        <f t="shared" si="1"/>
        <v>46846</v>
      </c>
      <c r="AR5" s="25">
        <f t="shared" si="1"/>
        <v>46877</v>
      </c>
      <c r="AS5" s="25">
        <f t="shared" si="1"/>
        <v>46908</v>
      </c>
      <c r="AT5" s="25">
        <f t="shared" si="1"/>
        <v>46939</v>
      </c>
      <c r="AU5" s="25">
        <f t="shared" si="1"/>
        <v>46970</v>
      </c>
      <c r="AV5" s="34">
        <f t="shared" si="1"/>
        <v>47001</v>
      </c>
      <c r="AW5" s="25">
        <f t="shared" si="1"/>
        <v>47032</v>
      </c>
      <c r="AX5" s="25">
        <f t="shared" si="1"/>
        <v>47063</v>
      </c>
      <c r="AY5" s="25">
        <f t="shared" si="1"/>
        <v>47094</v>
      </c>
      <c r="AZ5" s="25">
        <f t="shared" si="1"/>
        <v>47125</v>
      </c>
      <c r="BA5" s="25">
        <f t="shared" si="1"/>
        <v>47156</v>
      </c>
      <c r="BB5" s="25">
        <f t="shared" si="1"/>
        <v>47187</v>
      </c>
      <c r="BC5" s="25">
        <f t="shared" si="1"/>
        <v>47218</v>
      </c>
      <c r="BD5" s="25">
        <f t="shared" si="1"/>
        <v>47249</v>
      </c>
      <c r="BE5" s="25">
        <f t="shared" si="1"/>
        <v>47280</v>
      </c>
      <c r="BF5" s="25">
        <f t="shared" si="1"/>
        <v>47311</v>
      </c>
      <c r="BG5" s="25">
        <f t="shared" si="1"/>
        <v>47342</v>
      </c>
      <c r="BH5" s="34">
        <f t="shared" si="1"/>
        <v>47373</v>
      </c>
      <c r="BI5" s="25">
        <f t="shared" si="1"/>
        <v>47404</v>
      </c>
      <c r="BJ5" s="25">
        <f t="shared" si="1"/>
        <v>47435</v>
      </c>
      <c r="BK5" s="34">
        <f t="shared" si="1"/>
        <v>47466</v>
      </c>
    </row>
    <row r="6" spans="1:63">
      <c r="A6" s="397"/>
      <c r="B6" s="52"/>
      <c r="C6" s="54" t="s">
        <v>51</v>
      </c>
      <c r="D6" s="37"/>
      <c r="E6" s="37"/>
      <c r="F6" s="37"/>
      <c r="G6" s="37"/>
      <c r="H6" s="37"/>
      <c r="I6" s="37"/>
      <c r="J6" s="37"/>
      <c r="K6" s="37"/>
      <c r="L6" s="38"/>
      <c r="M6" s="36"/>
      <c r="N6" s="37"/>
      <c r="O6" s="37"/>
      <c r="P6" s="37"/>
      <c r="Q6" s="37"/>
      <c r="R6" s="37"/>
      <c r="S6" s="37"/>
      <c r="T6" s="37"/>
      <c r="U6" s="37"/>
      <c r="V6" s="37"/>
      <c r="W6" s="37"/>
      <c r="X6" s="38"/>
      <c r="Y6" s="36"/>
      <c r="Z6" s="37"/>
      <c r="AA6" s="37"/>
      <c r="AB6" s="37"/>
      <c r="AC6" s="37"/>
      <c r="AD6" s="37"/>
      <c r="AE6" s="37"/>
      <c r="AF6" s="37"/>
      <c r="AG6" s="37"/>
      <c r="AH6" s="37"/>
      <c r="AI6" s="37"/>
      <c r="AJ6" s="38"/>
      <c r="AK6" s="36"/>
      <c r="AL6" s="37"/>
      <c r="AM6" s="37"/>
      <c r="AN6" s="37"/>
      <c r="AO6" s="37"/>
      <c r="AP6" s="37"/>
      <c r="AQ6" s="37"/>
      <c r="AR6" s="37"/>
      <c r="AS6" s="37"/>
      <c r="AT6" s="37"/>
      <c r="AU6" s="37"/>
      <c r="AV6" s="38"/>
      <c r="AW6" s="36"/>
      <c r="AX6" s="37"/>
      <c r="AY6" s="37"/>
      <c r="AZ6" s="37"/>
      <c r="BA6" s="37"/>
      <c r="BB6" s="37"/>
      <c r="BC6" s="37"/>
      <c r="BD6" s="37"/>
      <c r="BE6" s="37"/>
      <c r="BF6" s="37"/>
      <c r="BG6" s="37"/>
      <c r="BH6" s="38"/>
      <c r="BI6" s="36"/>
      <c r="BJ6" s="37"/>
      <c r="BK6" s="38"/>
    </row>
    <row r="7" spans="1:63">
      <c r="A7" s="397"/>
      <c r="B7" s="52"/>
      <c r="C7" s="55" t="s">
        <v>52</v>
      </c>
      <c r="D7" s="37"/>
      <c r="E7" s="37"/>
      <c r="F7" s="37"/>
      <c r="G7" s="37"/>
      <c r="H7" s="37"/>
      <c r="I7" s="37"/>
      <c r="J7" s="37"/>
      <c r="K7" s="37"/>
      <c r="L7" s="38"/>
      <c r="M7" s="36"/>
      <c r="N7" s="37"/>
      <c r="O7" s="37"/>
      <c r="P7" s="37"/>
      <c r="Q7" s="37"/>
      <c r="R7" s="37"/>
      <c r="S7" s="37"/>
      <c r="T7" s="37"/>
      <c r="U7" s="37"/>
      <c r="V7" s="37"/>
      <c r="W7" s="37"/>
      <c r="X7" s="38"/>
      <c r="Y7" s="36"/>
      <c r="Z7" s="37"/>
      <c r="AA7" s="37"/>
      <c r="AB7" s="37"/>
      <c r="AC7" s="37"/>
      <c r="AD7" s="37"/>
      <c r="AE7" s="37"/>
      <c r="AF7" s="37"/>
      <c r="AG7" s="37"/>
      <c r="AH7" s="37"/>
      <c r="AI7" s="37"/>
      <c r="AJ7" s="38"/>
      <c r="AK7" s="36"/>
      <c r="AL7" s="37"/>
      <c r="AM7" s="37"/>
      <c r="AN7" s="37"/>
      <c r="AO7" s="37"/>
      <c r="AP7" s="37"/>
      <c r="AQ7" s="37"/>
      <c r="AR7" s="37"/>
      <c r="AS7" s="37"/>
      <c r="AT7" s="37"/>
      <c r="AU7" s="37"/>
      <c r="AV7" s="38"/>
      <c r="AW7" s="36"/>
      <c r="AX7" s="37"/>
      <c r="AY7" s="37"/>
      <c r="AZ7" s="37"/>
      <c r="BA7" s="37"/>
      <c r="BB7" s="37"/>
      <c r="BC7" s="37"/>
      <c r="BD7" s="37"/>
      <c r="BE7" s="37"/>
      <c r="BF7" s="37"/>
      <c r="BG7" s="37"/>
      <c r="BH7" s="38"/>
      <c r="BI7" s="36"/>
      <c r="BJ7" s="37"/>
      <c r="BK7" s="38"/>
    </row>
    <row r="8" spans="1:63">
      <c r="A8" s="397"/>
      <c r="B8" s="52"/>
      <c r="C8" s="55" t="s">
        <v>57</v>
      </c>
      <c r="D8" s="37"/>
      <c r="E8" s="37"/>
      <c r="F8" s="37"/>
      <c r="G8" s="37"/>
      <c r="H8" s="37"/>
      <c r="I8" s="37"/>
      <c r="J8" s="37"/>
      <c r="K8" s="37"/>
      <c r="L8" s="38"/>
      <c r="M8" s="36"/>
      <c r="N8" s="37"/>
      <c r="O8" s="37"/>
      <c r="P8" s="37"/>
      <c r="Q8" s="37"/>
      <c r="R8" s="37"/>
      <c r="S8" s="37"/>
      <c r="T8" s="37"/>
      <c r="U8" s="37"/>
      <c r="V8" s="37"/>
      <c r="W8" s="37"/>
      <c r="X8" s="38"/>
      <c r="Y8" s="36"/>
      <c r="Z8" s="37"/>
      <c r="AA8" s="37"/>
      <c r="AB8" s="37"/>
      <c r="AC8" s="37"/>
      <c r="AD8" s="37"/>
      <c r="AE8" s="37"/>
      <c r="AF8" s="37"/>
      <c r="AG8" s="37"/>
      <c r="AH8" s="37"/>
      <c r="AI8" s="37"/>
      <c r="AJ8" s="38"/>
      <c r="AK8" s="36"/>
      <c r="AL8" s="37"/>
      <c r="AM8" s="37"/>
      <c r="AN8" s="37"/>
      <c r="AO8" s="37"/>
      <c r="AP8" s="37"/>
      <c r="AQ8" s="37"/>
      <c r="AR8" s="37"/>
      <c r="AS8" s="37"/>
      <c r="AT8" s="37"/>
      <c r="AU8" s="37"/>
      <c r="AV8" s="38"/>
      <c r="AW8" s="36"/>
      <c r="AX8" s="37"/>
      <c r="AY8" s="37"/>
      <c r="AZ8" s="37"/>
      <c r="BA8" s="37"/>
      <c r="BB8" s="37"/>
      <c r="BC8" s="37"/>
      <c r="BD8" s="37"/>
      <c r="BE8" s="37"/>
      <c r="BF8" s="37"/>
      <c r="BG8" s="37"/>
      <c r="BH8" s="38"/>
      <c r="BI8" s="36"/>
      <c r="BJ8" s="37"/>
      <c r="BK8" s="38"/>
    </row>
    <row r="9" spans="1:63">
      <c r="A9" s="397"/>
      <c r="B9" s="52"/>
      <c r="C9" s="55" t="s">
        <v>58</v>
      </c>
      <c r="D9" s="37"/>
      <c r="E9" s="37"/>
      <c r="F9" s="37"/>
      <c r="G9" s="37"/>
      <c r="H9" s="37"/>
      <c r="I9" s="37"/>
      <c r="J9" s="37"/>
      <c r="K9" s="37"/>
      <c r="L9" s="38"/>
      <c r="M9" s="36"/>
      <c r="N9" s="37"/>
      <c r="O9" s="37"/>
      <c r="P9" s="37"/>
      <c r="Q9" s="37"/>
      <c r="R9" s="37"/>
      <c r="S9" s="37"/>
      <c r="T9" s="37"/>
      <c r="U9" s="37"/>
      <c r="V9" s="37"/>
      <c r="W9" s="37"/>
      <c r="X9" s="38"/>
      <c r="Y9" s="36"/>
      <c r="Z9" s="37"/>
      <c r="AA9" s="37"/>
      <c r="AB9" s="37"/>
      <c r="AC9" s="37"/>
      <c r="AD9" s="37"/>
      <c r="AE9" s="37"/>
      <c r="AF9" s="37"/>
      <c r="AG9" s="37"/>
      <c r="AH9" s="37"/>
      <c r="AI9" s="37"/>
      <c r="AJ9" s="38"/>
      <c r="AK9" s="36"/>
      <c r="AL9" s="37"/>
      <c r="AM9" s="37"/>
      <c r="AN9" s="37"/>
      <c r="AO9" s="37"/>
      <c r="AP9" s="37"/>
      <c r="AQ9" s="37"/>
      <c r="AR9" s="37"/>
      <c r="AS9" s="37"/>
      <c r="AT9" s="37"/>
      <c r="AU9" s="37"/>
      <c r="AV9" s="38"/>
      <c r="AW9" s="36"/>
      <c r="AX9" s="37"/>
      <c r="AY9" s="37"/>
      <c r="AZ9" s="37"/>
      <c r="BA9" s="37"/>
      <c r="BB9" s="37"/>
      <c r="BC9" s="37"/>
      <c r="BD9" s="37"/>
      <c r="BE9" s="37"/>
      <c r="BF9" s="37"/>
      <c r="BG9" s="37"/>
      <c r="BH9" s="38"/>
      <c r="BI9" s="36"/>
      <c r="BJ9" s="37"/>
      <c r="BK9" s="38"/>
    </row>
    <row r="10" spans="1:63">
      <c r="A10" s="397"/>
      <c r="B10" s="52"/>
      <c r="C10" s="55" t="s">
        <v>59</v>
      </c>
      <c r="D10" s="37"/>
      <c r="E10" s="37"/>
      <c r="F10" s="37"/>
      <c r="G10" s="37"/>
      <c r="H10" s="37"/>
      <c r="I10" s="37"/>
      <c r="J10" s="37"/>
      <c r="K10" s="37"/>
      <c r="L10" s="38"/>
      <c r="M10" s="36"/>
      <c r="N10" s="37"/>
      <c r="O10" s="37"/>
      <c r="P10" s="37"/>
      <c r="Q10" s="37"/>
      <c r="R10" s="37"/>
      <c r="S10" s="37"/>
      <c r="T10" s="37"/>
      <c r="U10" s="37"/>
      <c r="V10" s="37"/>
      <c r="W10" s="37"/>
      <c r="X10" s="38"/>
      <c r="Y10" s="36"/>
      <c r="Z10" s="37"/>
      <c r="AA10" s="37"/>
      <c r="AB10" s="37"/>
      <c r="AC10" s="37"/>
      <c r="AD10" s="37"/>
      <c r="AE10" s="37"/>
      <c r="AF10" s="37"/>
      <c r="AG10" s="37"/>
      <c r="AH10" s="37"/>
      <c r="AI10" s="37"/>
      <c r="AJ10" s="38"/>
      <c r="AK10" s="36"/>
      <c r="AL10" s="37"/>
      <c r="AM10" s="37"/>
      <c r="AN10" s="37"/>
      <c r="AO10" s="37"/>
      <c r="AP10" s="37"/>
      <c r="AQ10" s="37"/>
      <c r="AR10" s="37"/>
      <c r="AS10" s="37"/>
      <c r="AT10" s="37"/>
      <c r="AU10" s="37"/>
      <c r="AV10" s="38"/>
      <c r="AW10" s="36"/>
      <c r="AX10" s="37"/>
      <c r="AY10" s="37"/>
      <c r="AZ10" s="37"/>
      <c r="BA10" s="37"/>
      <c r="BB10" s="37"/>
      <c r="BC10" s="37"/>
      <c r="BD10" s="37"/>
      <c r="BE10" s="37"/>
      <c r="BF10" s="37"/>
      <c r="BG10" s="37"/>
      <c r="BH10" s="38"/>
      <c r="BI10" s="36"/>
      <c r="BJ10" s="37"/>
      <c r="BK10" s="38"/>
    </row>
    <row r="11" spans="1:63">
      <c r="A11" s="397"/>
      <c r="B11" s="52"/>
      <c r="C11" s="55" t="s">
        <v>60</v>
      </c>
      <c r="D11" s="37"/>
      <c r="E11" s="37"/>
      <c r="F11" s="37"/>
      <c r="G11" s="37"/>
      <c r="H11" s="37"/>
      <c r="I11" s="37"/>
      <c r="J11" s="37"/>
      <c r="K11" s="37"/>
      <c r="L11" s="38"/>
      <c r="M11" s="36"/>
      <c r="N11" s="37"/>
      <c r="O11" s="37"/>
      <c r="P11" s="37"/>
      <c r="Q11" s="37"/>
      <c r="R11" s="37"/>
      <c r="S11" s="37"/>
      <c r="T11" s="37"/>
      <c r="U11" s="37"/>
      <c r="V11" s="37"/>
      <c r="W11" s="37"/>
      <c r="X11" s="38"/>
      <c r="Y11" s="36"/>
      <c r="Z11" s="37"/>
      <c r="AA11" s="37"/>
      <c r="AB11" s="37"/>
      <c r="AC11" s="37"/>
      <c r="AD11" s="37"/>
      <c r="AE11" s="37"/>
      <c r="AF11" s="37"/>
      <c r="AG11" s="37"/>
      <c r="AH11" s="37"/>
      <c r="AI11" s="37"/>
      <c r="AJ11" s="38"/>
      <c r="AK11" s="36"/>
      <c r="AL11" s="37"/>
      <c r="AM11" s="37"/>
      <c r="AN11" s="37"/>
      <c r="AO11" s="37"/>
      <c r="AP11" s="37"/>
      <c r="AQ11" s="37"/>
      <c r="AR11" s="37"/>
      <c r="AS11" s="37"/>
      <c r="AT11" s="37"/>
      <c r="AU11" s="37"/>
      <c r="AV11" s="38"/>
      <c r="AW11" s="36"/>
      <c r="AX11" s="37"/>
      <c r="AY11" s="37"/>
      <c r="AZ11" s="37"/>
      <c r="BA11" s="37"/>
      <c r="BB11" s="37"/>
      <c r="BC11" s="37"/>
      <c r="BD11" s="37"/>
      <c r="BE11" s="37"/>
      <c r="BF11" s="37"/>
      <c r="BG11" s="37"/>
      <c r="BH11" s="38"/>
      <c r="BI11" s="36"/>
      <c r="BJ11" s="37"/>
      <c r="BK11" s="38"/>
    </row>
    <row r="12" spans="1:63">
      <c r="A12" s="397"/>
      <c r="B12" s="52"/>
      <c r="C12" s="55" t="s">
        <v>61</v>
      </c>
      <c r="D12" s="37"/>
      <c r="E12" s="37"/>
      <c r="F12" s="37"/>
      <c r="G12" s="37"/>
      <c r="H12" s="37"/>
      <c r="I12" s="37"/>
      <c r="J12" s="37"/>
      <c r="K12" s="37"/>
      <c r="L12" s="38"/>
      <c r="M12" s="36"/>
      <c r="N12" s="37"/>
      <c r="O12" s="37"/>
      <c r="P12" s="37"/>
      <c r="Q12" s="37"/>
      <c r="R12" s="37"/>
      <c r="S12" s="37"/>
      <c r="T12" s="37"/>
      <c r="U12" s="37"/>
      <c r="V12" s="37"/>
      <c r="W12" s="37"/>
      <c r="X12" s="38"/>
      <c r="Y12" s="36"/>
      <c r="Z12" s="37"/>
      <c r="AA12" s="37"/>
      <c r="AB12" s="37"/>
      <c r="AC12" s="37"/>
      <c r="AD12" s="37"/>
      <c r="AE12" s="37"/>
      <c r="AF12" s="37"/>
      <c r="AG12" s="37"/>
      <c r="AH12" s="37"/>
      <c r="AI12" s="37"/>
      <c r="AJ12" s="38"/>
      <c r="AK12" s="36"/>
      <c r="AL12" s="37"/>
      <c r="AM12" s="37"/>
      <c r="AN12" s="37"/>
      <c r="AO12" s="37"/>
      <c r="AP12" s="37"/>
      <c r="AQ12" s="37"/>
      <c r="AR12" s="37"/>
      <c r="AS12" s="37"/>
      <c r="AT12" s="37"/>
      <c r="AU12" s="37"/>
      <c r="AV12" s="38"/>
      <c r="AW12" s="36"/>
      <c r="AX12" s="37"/>
      <c r="AY12" s="37"/>
      <c r="AZ12" s="37"/>
      <c r="BA12" s="37"/>
      <c r="BB12" s="37"/>
      <c r="BC12" s="37"/>
      <c r="BD12" s="37"/>
      <c r="BE12" s="37"/>
      <c r="BF12" s="37"/>
      <c r="BG12" s="37"/>
      <c r="BH12" s="38"/>
      <c r="BI12" s="36"/>
      <c r="BJ12" s="37"/>
      <c r="BK12" s="38"/>
    </row>
    <row r="13" spans="1:63">
      <c r="A13" s="397"/>
      <c r="B13" s="52"/>
      <c r="C13" s="56" t="s">
        <v>62</v>
      </c>
      <c r="D13" s="37"/>
      <c r="E13" s="37"/>
      <c r="F13" s="37"/>
      <c r="G13" s="37"/>
      <c r="H13" s="37"/>
      <c r="I13" s="37"/>
      <c r="J13" s="37"/>
      <c r="K13" s="37"/>
      <c r="L13" s="38"/>
      <c r="M13" s="36"/>
      <c r="N13" s="37"/>
      <c r="O13" s="37"/>
      <c r="P13" s="37"/>
      <c r="Q13" s="37"/>
      <c r="R13" s="37"/>
      <c r="S13" s="37"/>
      <c r="T13" s="37"/>
      <c r="U13" s="37"/>
      <c r="V13" s="37"/>
      <c r="W13" s="37"/>
      <c r="X13" s="38"/>
      <c r="Y13" s="36"/>
      <c r="Z13" s="37"/>
      <c r="AA13" s="37"/>
      <c r="AB13" s="37"/>
      <c r="AC13" s="37"/>
      <c r="AD13" s="37"/>
      <c r="AE13" s="37"/>
      <c r="AF13" s="37"/>
      <c r="AG13" s="37"/>
      <c r="AH13" s="37"/>
      <c r="AI13" s="37"/>
      <c r="AJ13" s="38"/>
      <c r="AK13" s="36"/>
      <c r="AL13" s="37"/>
      <c r="AM13" s="37"/>
      <c r="AN13" s="37"/>
      <c r="AO13" s="37"/>
      <c r="AP13" s="37"/>
      <c r="AQ13" s="37"/>
      <c r="AR13" s="37"/>
      <c r="AS13" s="37"/>
      <c r="AT13" s="37"/>
      <c r="AU13" s="37"/>
      <c r="AV13" s="38"/>
      <c r="AW13" s="36"/>
      <c r="AX13" s="37"/>
      <c r="AY13" s="37"/>
      <c r="AZ13" s="37"/>
      <c r="BA13" s="37"/>
      <c r="BB13" s="37"/>
      <c r="BC13" s="37"/>
      <c r="BD13" s="37"/>
      <c r="BE13" s="37"/>
      <c r="BF13" s="37"/>
      <c r="BG13" s="37"/>
      <c r="BH13" s="38"/>
      <c r="BI13" s="36"/>
      <c r="BJ13" s="37"/>
      <c r="BK13" s="38"/>
    </row>
    <row r="14" spans="1:63">
      <c r="A14" s="397"/>
      <c r="B14" s="52"/>
      <c r="C14" s="56" t="s">
        <v>63</v>
      </c>
      <c r="D14" s="37"/>
      <c r="E14" s="37"/>
      <c r="F14" s="37"/>
      <c r="G14" s="37"/>
      <c r="H14" s="37"/>
      <c r="I14" s="37"/>
      <c r="J14" s="37"/>
      <c r="K14" s="37"/>
      <c r="L14" s="38"/>
      <c r="M14" s="36"/>
      <c r="N14" s="37"/>
      <c r="O14" s="37"/>
      <c r="P14" s="37"/>
      <c r="Q14" s="37"/>
      <c r="R14" s="37"/>
      <c r="S14" s="37"/>
      <c r="T14" s="37"/>
      <c r="U14" s="37"/>
      <c r="V14" s="37"/>
      <c r="W14" s="37"/>
      <c r="X14" s="38"/>
      <c r="Y14" s="36"/>
      <c r="Z14" s="37"/>
      <c r="AA14" s="37"/>
      <c r="AB14" s="37"/>
      <c r="AC14" s="37"/>
      <c r="AD14" s="37"/>
      <c r="AE14" s="37"/>
      <c r="AF14" s="37"/>
      <c r="AG14" s="37"/>
      <c r="AH14" s="37"/>
      <c r="AI14" s="37"/>
      <c r="AJ14" s="38"/>
      <c r="AK14" s="36"/>
      <c r="AL14" s="37"/>
      <c r="AM14" s="37"/>
      <c r="AN14" s="37"/>
      <c r="AO14" s="37"/>
      <c r="AP14" s="37"/>
      <c r="AQ14" s="37"/>
      <c r="AR14" s="37"/>
      <c r="AS14" s="37"/>
      <c r="AT14" s="37"/>
      <c r="AU14" s="37"/>
      <c r="AV14" s="38"/>
      <c r="AW14" s="36"/>
      <c r="AX14" s="37"/>
      <c r="AY14" s="37"/>
      <c r="AZ14" s="37"/>
      <c r="BA14" s="37"/>
      <c r="BB14" s="37"/>
      <c r="BC14" s="37"/>
      <c r="BD14" s="37"/>
      <c r="BE14" s="37"/>
      <c r="BF14" s="37"/>
      <c r="BG14" s="37"/>
      <c r="BH14" s="38"/>
      <c r="BI14" s="36"/>
      <c r="BJ14" s="37"/>
      <c r="BK14" s="38"/>
    </row>
    <row r="15" spans="1:63">
      <c r="A15" s="397"/>
      <c r="B15" s="52"/>
      <c r="C15" s="56" t="s">
        <v>64</v>
      </c>
      <c r="D15" s="37"/>
      <c r="E15" s="37"/>
      <c r="F15" s="37"/>
      <c r="G15" s="37"/>
      <c r="H15" s="37"/>
      <c r="I15" s="37"/>
      <c r="J15" s="37"/>
      <c r="K15" s="37"/>
      <c r="L15" s="38"/>
      <c r="M15" s="36"/>
      <c r="N15" s="37"/>
      <c r="O15" s="37"/>
      <c r="P15" s="37"/>
      <c r="Q15" s="37"/>
      <c r="R15" s="37"/>
      <c r="S15" s="37"/>
      <c r="T15" s="37"/>
      <c r="U15" s="37"/>
      <c r="V15" s="37"/>
      <c r="W15" s="37"/>
      <c r="X15" s="38"/>
      <c r="Y15" s="36"/>
      <c r="Z15" s="37"/>
      <c r="AA15" s="37"/>
      <c r="AB15" s="37"/>
      <c r="AC15" s="37"/>
      <c r="AD15" s="37"/>
      <c r="AE15" s="37"/>
      <c r="AF15" s="37"/>
      <c r="AG15" s="37"/>
      <c r="AH15" s="37"/>
      <c r="AI15" s="37"/>
      <c r="AJ15" s="38"/>
      <c r="AK15" s="36"/>
      <c r="AL15" s="37"/>
      <c r="AM15" s="37"/>
      <c r="AN15" s="37"/>
      <c r="AO15" s="37"/>
      <c r="AP15" s="37"/>
      <c r="AQ15" s="37"/>
      <c r="AR15" s="37"/>
      <c r="AS15" s="37"/>
      <c r="AT15" s="37"/>
      <c r="AU15" s="37"/>
      <c r="AV15" s="38"/>
      <c r="AW15" s="36"/>
      <c r="AX15" s="37"/>
      <c r="AY15" s="37"/>
      <c r="AZ15" s="37"/>
      <c r="BA15" s="37"/>
      <c r="BB15" s="37"/>
      <c r="BC15" s="37"/>
      <c r="BD15" s="37"/>
      <c r="BE15" s="37"/>
      <c r="BF15" s="37"/>
      <c r="BG15" s="37"/>
      <c r="BH15" s="38"/>
      <c r="BI15" s="36"/>
      <c r="BJ15" s="37"/>
      <c r="BK15" s="38"/>
    </row>
    <row r="16" spans="1:63">
      <c r="A16" s="397"/>
      <c r="B16" s="52"/>
      <c r="C16" s="56" t="s">
        <v>65</v>
      </c>
      <c r="D16" s="37"/>
      <c r="E16" s="37"/>
      <c r="F16" s="37"/>
      <c r="G16" s="37"/>
      <c r="H16" s="37"/>
      <c r="I16" s="37"/>
      <c r="J16" s="37"/>
      <c r="K16" s="37"/>
      <c r="L16" s="38"/>
      <c r="M16" s="36"/>
      <c r="N16" s="37"/>
      <c r="O16" s="37"/>
      <c r="P16" s="37"/>
      <c r="Q16" s="37"/>
      <c r="R16" s="37"/>
      <c r="S16" s="37"/>
      <c r="T16" s="37"/>
      <c r="U16" s="37"/>
      <c r="V16" s="37"/>
      <c r="W16" s="37"/>
      <c r="X16" s="38"/>
      <c r="Y16" s="36"/>
      <c r="Z16" s="37"/>
      <c r="AA16" s="37"/>
      <c r="AB16" s="37"/>
      <c r="AC16" s="37"/>
      <c r="AD16" s="37"/>
      <c r="AE16" s="37"/>
      <c r="AF16" s="37"/>
      <c r="AG16" s="37"/>
      <c r="AH16" s="37"/>
      <c r="AI16" s="37"/>
      <c r="AJ16" s="38"/>
      <c r="AK16" s="36"/>
      <c r="AL16" s="37"/>
      <c r="AM16" s="37"/>
      <c r="AN16" s="37"/>
      <c r="AO16" s="37"/>
      <c r="AP16" s="37"/>
      <c r="AQ16" s="37"/>
      <c r="AR16" s="37"/>
      <c r="AS16" s="37"/>
      <c r="AT16" s="37"/>
      <c r="AU16" s="37"/>
      <c r="AV16" s="38"/>
      <c r="AW16" s="36"/>
      <c r="AX16" s="37"/>
      <c r="AY16" s="37"/>
      <c r="AZ16" s="37"/>
      <c r="BA16" s="37"/>
      <c r="BB16" s="37"/>
      <c r="BC16" s="37"/>
      <c r="BD16" s="37"/>
      <c r="BE16" s="37"/>
      <c r="BF16" s="37"/>
      <c r="BG16" s="37"/>
      <c r="BH16" s="38"/>
      <c r="BI16" s="36"/>
      <c r="BJ16" s="37"/>
      <c r="BK16" s="38"/>
    </row>
    <row r="17" spans="1:63">
      <c r="A17" s="397"/>
      <c r="B17" s="391" t="s">
        <v>29</v>
      </c>
      <c r="C17" s="392"/>
      <c r="D17" s="37">
        <f t="shared" ref="D17:AI17" si="2">SUM(D6:D16)</f>
        <v>0</v>
      </c>
      <c r="E17" s="37">
        <f t="shared" si="2"/>
        <v>0</v>
      </c>
      <c r="F17" s="37">
        <f t="shared" si="2"/>
        <v>0</v>
      </c>
      <c r="G17" s="37">
        <f t="shared" si="2"/>
        <v>0</v>
      </c>
      <c r="H17" s="37">
        <f t="shared" si="2"/>
        <v>0</v>
      </c>
      <c r="I17" s="37">
        <f t="shared" si="2"/>
        <v>0</v>
      </c>
      <c r="J17" s="37">
        <f t="shared" si="2"/>
        <v>0</v>
      </c>
      <c r="K17" s="37">
        <f t="shared" si="2"/>
        <v>0</v>
      </c>
      <c r="L17" s="38">
        <f t="shared" si="2"/>
        <v>0</v>
      </c>
      <c r="M17" s="36">
        <f t="shared" si="2"/>
        <v>0</v>
      </c>
      <c r="N17" s="37">
        <f t="shared" si="2"/>
        <v>0</v>
      </c>
      <c r="O17" s="37">
        <f t="shared" si="2"/>
        <v>0</v>
      </c>
      <c r="P17" s="37">
        <f t="shared" si="2"/>
        <v>0</v>
      </c>
      <c r="Q17" s="37">
        <f t="shared" si="2"/>
        <v>0</v>
      </c>
      <c r="R17" s="37">
        <f t="shared" si="2"/>
        <v>0</v>
      </c>
      <c r="S17" s="37">
        <f t="shared" si="2"/>
        <v>0</v>
      </c>
      <c r="T17" s="37">
        <f t="shared" si="2"/>
        <v>0</v>
      </c>
      <c r="U17" s="37">
        <f t="shared" si="2"/>
        <v>0</v>
      </c>
      <c r="V17" s="37">
        <f t="shared" si="2"/>
        <v>0</v>
      </c>
      <c r="W17" s="37">
        <f t="shared" si="2"/>
        <v>0</v>
      </c>
      <c r="X17" s="38">
        <f t="shared" si="2"/>
        <v>0</v>
      </c>
      <c r="Y17" s="36">
        <f t="shared" si="2"/>
        <v>0</v>
      </c>
      <c r="Z17" s="37">
        <f t="shared" si="2"/>
        <v>0</v>
      </c>
      <c r="AA17" s="37">
        <f t="shared" si="2"/>
        <v>0</v>
      </c>
      <c r="AB17" s="37">
        <f t="shared" si="2"/>
        <v>0</v>
      </c>
      <c r="AC17" s="37">
        <f t="shared" si="2"/>
        <v>0</v>
      </c>
      <c r="AD17" s="37">
        <f t="shared" si="2"/>
        <v>0</v>
      </c>
      <c r="AE17" s="37">
        <f t="shared" si="2"/>
        <v>0</v>
      </c>
      <c r="AF17" s="37">
        <f t="shared" si="2"/>
        <v>0</v>
      </c>
      <c r="AG17" s="37">
        <f t="shared" si="2"/>
        <v>0</v>
      </c>
      <c r="AH17" s="37">
        <f t="shared" si="2"/>
        <v>0</v>
      </c>
      <c r="AI17" s="37">
        <f t="shared" si="2"/>
        <v>0</v>
      </c>
      <c r="AJ17" s="38">
        <f t="shared" ref="AJ17:BO17" si="3">SUM(AJ6:AJ16)</f>
        <v>0</v>
      </c>
      <c r="AK17" s="36">
        <f t="shared" si="3"/>
        <v>0</v>
      </c>
      <c r="AL17" s="37">
        <f t="shared" si="3"/>
        <v>0</v>
      </c>
      <c r="AM17" s="37">
        <f t="shared" si="3"/>
        <v>0</v>
      </c>
      <c r="AN17" s="37">
        <f t="shared" si="3"/>
        <v>0</v>
      </c>
      <c r="AO17" s="37">
        <f t="shared" si="3"/>
        <v>0</v>
      </c>
      <c r="AP17" s="37">
        <f t="shared" si="3"/>
        <v>0</v>
      </c>
      <c r="AQ17" s="37">
        <f t="shared" si="3"/>
        <v>0</v>
      </c>
      <c r="AR17" s="37">
        <f t="shared" si="3"/>
        <v>0</v>
      </c>
      <c r="AS17" s="37">
        <f t="shared" si="3"/>
        <v>0</v>
      </c>
      <c r="AT17" s="37">
        <f t="shared" si="3"/>
        <v>0</v>
      </c>
      <c r="AU17" s="37">
        <f t="shared" si="3"/>
        <v>0</v>
      </c>
      <c r="AV17" s="38">
        <f t="shared" si="3"/>
        <v>0</v>
      </c>
      <c r="AW17" s="36">
        <f t="shared" si="3"/>
        <v>0</v>
      </c>
      <c r="AX17" s="37">
        <f t="shared" si="3"/>
        <v>0</v>
      </c>
      <c r="AY17" s="37">
        <f t="shared" si="3"/>
        <v>0</v>
      </c>
      <c r="AZ17" s="37">
        <f t="shared" si="3"/>
        <v>0</v>
      </c>
      <c r="BA17" s="37">
        <f t="shared" si="3"/>
        <v>0</v>
      </c>
      <c r="BB17" s="37">
        <f t="shared" si="3"/>
        <v>0</v>
      </c>
      <c r="BC17" s="37">
        <f t="shared" si="3"/>
        <v>0</v>
      </c>
      <c r="BD17" s="37">
        <f t="shared" si="3"/>
        <v>0</v>
      </c>
      <c r="BE17" s="37">
        <f t="shared" si="3"/>
        <v>0</v>
      </c>
      <c r="BF17" s="37">
        <f t="shared" si="3"/>
        <v>0</v>
      </c>
      <c r="BG17" s="37">
        <f t="shared" si="3"/>
        <v>0</v>
      </c>
      <c r="BH17" s="38">
        <f t="shared" si="3"/>
        <v>0</v>
      </c>
      <c r="BI17" s="36">
        <f t="shared" si="3"/>
        <v>0</v>
      </c>
      <c r="BJ17" s="37">
        <f t="shared" si="3"/>
        <v>0</v>
      </c>
      <c r="BK17" s="38">
        <f t="shared" si="3"/>
        <v>0</v>
      </c>
    </row>
    <row r="18" spans="1:63" ht="15" thickBot="1">
      <c r="A18" s="397"/>
      <c r="B18" s="391" t="s">
        <v>66</v>
      </c>
      <c r="C18" s="392"/>
      <c r="D18" s="40">
        <f>D17</f>
        <v>0</v>
      </c>
      <c r="E18" s="40">
        <f>E17+D18</f>
        <v>0</v>
      </c>
      <c r="F18" s="40">
        <f t="shared" ref="F18:BK18" si="4">F17+E18</f>
        <v>0</v>
      </c>
      <c r="G18" s="40">
        <f t="shared" si="4"/>
        <v>0</v>
      </c>
      <c r="H18" s="40">
        <f t="shared" si="4"/>
        <v>0</v>
      </c>
      <c r="I18" s="40">
        <f t="shared" si="4"/>
        <v>0</v>
      </c>
      <c r="J18" s="40">
        <f t="shared" si="4"/>
        <v>0</v>
      </c>
      <c r="K18" s="40">
        <f t="shared" si="4"/>
        <v>0</v>
      </c>
      <c r="L18" s="41">
        <f t="shared" si="4"/>
        <v>0</v>
      </c>
      <c r="M18" s="39">
        <f t="shared" si="4"/>
        <v>0</v>
      </c>
      <c r="N18" s="40">
        <f t="shared" si="4"/>
        <v>0</v>
      </c>
      <c r="O18" s="40">
        <f t="shared" si="4"/>
        <v>0</v>
      </c>
      <c r="P18" s="40">
        <f t="shared" si="4"/>
        <v>0</v>
      </c>
      <c r="Q18" s="40">
        <f t="shared" si="4"/>
        <v>0</v>
      </c>
      <c r="R18" s="40">
        <f t="shared" si="4"/>
        <v>0</v>
      </c>
      <c r="S18" s="40">
        <f t="shared" si="4"/>
        <v>0</v>
      </c>
      <c r="T18" s="40">
        <f t="shared" si="4"/>
        <v>0</v>
      </c>
      <c r="U18" s="40">
        <f t="shared" si="4"/>
        <v>0</v>
      </c>
      <c r="V18" s="40">
        <f t="shared" si="4"/>
        <v>0</v>
      </c>
      <c r="W18" s="40">
        <f t="shared" si="4"/>
        <v>0</v>
      </c>
      <c r="X18" s="41">
        <f t="shared" si="4"/>
        <v>0</v>
      </c>
      <c r="Y18" s="39">
        <f t="shared" si="4"/>
        <v>0</v>
      </c>
      <c r="Z18" s="40">
        <f t="shared" si="4"/>
        <v>0</v>
      </c>
      <c r="AA18" s="40">
        <f t="shared" si="4"/>
        <v>0</v>
      </c>
      <c r="AB18" s="40">
        <f t="shared" si="4"/>
        <v>0</v>
      </c>
      <c r="AC18" s="40">
        <f t="shared" si="4"/>
        <v>0</v>
      </c>
      <c r="AD18" s="40">
        <f t="shared" si="4"/>
        <v>0</v>
      </c>
      <c r="AE18" s="40">
        <f t="shared" si="4"/>
        <v>0</v>
      </c>
      <c r="AF18" s="40">
        <f t="shared" si="4"/>
        <v>0</v>
      </c>
      <c r="AG18" s="40">
        <f t="shared" si="4"/>
        <v>0</v>
      </c>
      <c r="AH18" s="40">
        <f t="shared" si="4"/>
        <v>0</v>
      </c>
      <c r="AI18" s="40">
        <f t="shared" si="4"/>
        <v>0</v>
      </c>
      <c r="AJ18" s="41">
        <f t="shared" si="4"/>
        <v>0</v>
      </c>
      <c r="AK18" s="39">
        <f t="shared" si="4"/>
        <v>0</v>
      </c>
      <c r="AL18" s="40">
        <f t="shared" si="4"/>
        <v>0</v>
      </c>
      <c r="AM18" s="40">
        <f t="shared" si="4"/>
        <v>0</v>
      </c>
      <c r="AN18" s="40">
        <f t="shared" si="4"/>
        <v>0</v>
      </c>
      <c r="AO18" s="40">
        <f t="shared" si="4"/>
        <v>0</v>
      </c>
      <c r="AP18" s="40">
        <f t="shared" si="4"/>
        <v>0</v>
      </c>
      <c r="AQ18" s="40">
        <f t="shared" si="4"/>
        <v>0</v>
      </c>
      <c r="AR18" s="40">
        <f t="shared" si="4"/>
        <v>0</v>
      </c>
      <c r="AS18" s="40">
        <f t="shared" si="4"/>
        <v>0</v>
      </c>
      <c r="AT18" s="40">
        <f t="shared" si="4"/>
        <v>0</v>
      </c>
      <c r="AU18" s="40">
        <f t="shared" si="4"/>
        <v>0</v>
      </c>
      <c r="AV18" s="41">
        <f t="shared" si="4"/>
        <v>0</v>
      </c>
      <c r="AW18" s="39">
        <f t="shared" si="4"/>
        <v>0</v>
      </c>
      <c r="AX18" s="40">
        <f t="shared" si="4"/>
        <v>0</v>
      </c>
      <c r="AY18" s="40">
        <f t="shared" si="4"/>
        <v>0</v>
      </c>
      <c r="AZ18" s="40">
        <f t="shared" si="4"/>
        <v>0</v>
      </c>
      <c r="BA18" s="40">
        <f t="shared" si="4"/>
        <v>0</v>
      </c>
      <c r="BB18" s="40">
        <f t="shared" si="4"/>
        <v>0</v>
      </c>
      <c r="BC18" s="40">
        <f t="shared" si="4"/>
        <v>0</v>
      </c>
      <c r="BD18" s="40">
        <f t="shared" si="4"/>
        <v>0</v>
      </c>
      <c r="BE18" s="40">
        <f t="shared" si="4"/>
        <v>0</v>
      </c>
      <c r="BF18" s="40">
        <f t="shared" si="4"/>
        <v>0</v>
      </c>
      <c r="BG18" s="40">
        <f t="shared" si="4"/>
        <v>0</v>
      </c>
      <c r="BH18" s="41">
        <f t="shared" si="4"/>
        <v>0</v>
      </c>
      <c r="BI18" s="39">
        <f t="shared" si="4"/>
        <v>0</v>
      </c>
      <c r="BJ18" s="40">
        <f t="shared" si="4"/>
        <v>0</v>
      </c>
      <c r="BK18" s="41">
        <f t="shared" si="4"/>
        <v>0</v>
      </c>
    </row>
    <row r="19" spans="1:63" ht="15" thickBot="1">
      <c r="A19" s="398"/>
      <c r="B19" s="399" t="s">
        <v>67</v>
      </c>
      <c r="C19" s="400"/>
      <c r="L19" s="42">
        <f>SUM(D17:L17)</f>
        <v>0</v>
      </c>
      <c r="X19" s="42">
        <f>SUM(M17:X17)</f>
        <v>0</v>
      </c>
      <c r="AJ19" s="42">
        <f>SUM(Y17:AJ17)</f>
        <v>0</v>
      </c>
      <c r="AV19" s="42">
        <f>SUM(AK17:AV17)</f>
        <v>0</v>
      </c>
      <c r="BH19" s="42">
        <f>SUM(AW17:BH17)</f>
        <v>0</v>
      </c>
      <c r="BK19" s="42">
        <f>SUM(BI17:BK17)</f>
        <v>0</v>
      </c>
    </row>
    <row r="21" spans="1:63" ht="15" thickBot="1"/>
    <row r="22" spans="1:63">
      <c r="A22" s="396" t="s">
        <v>69</v>
      </c>
      <c r="B22" s="43"/>
      <c r="C22" s="51"/>
      <c r="D22" s="393" t="s">
        <v>1</v>
      </c>
      <c r="E22" s="394"/>
      <c r="F22" s="394"/>
      <c r="G22" s="394"/>
      <c r="H22" s="394"/>
      <c r="I22" s="394"/>
      <c r="J22" s="394"/>
      <c r="K22" s="394"/>
      <c r="L22" s="395"/>
      <c r="M22" s="393" t="s">
        <v>2</v>
      </c>
      <c r="N22" s="394"/>
      <c r="O22" s="394"/>
      <c r="P22" s="394"/>
      <c r="Q22" s="394"/>
      <c r="R22" s="394"/>
      <c r="S22" s="394"/>
      <c r="T22" s="394"/>
      <c r="U22" s="394"/>
      <c r="V22" s="394"/>
      <c r="W22" s="394"/>
      <c r="X22" s="395"/>
      <c r="Y22" s="393" t="s">
        <v>3</v>
      </c>
      <c r="Z22" s="394"/>
      <c r="AA22" s="394"/>
      <c r="AB22" s="394"/>
      <c r="AC22" s="394"/>
      <c r="AD22" s="394"/>
      <c r="AE22" s="394"/>
      <c r="AF22" s="394"/>
      <c r="AG22" s="394"/>
      <c r="AH22" s="394"/>
      <c r="AI22" s="394"/>
      <c r="AJ22" s="395"/>
      <c r="AK22" s="393" t="s">
        <v>4</v>
      </c>
      <c r="AL22" s="394"/>
      <c r="AM22" s="394"/>
      <c r="AN22" s="394"/>
      <c r="AO22" s="394"/>
      <c r="AP22" s="394"/>
      <c r="AQ22" s="394"/>
      <c r="AR22" s="394"/>
      <c r="AS22" s="394"/>
      <c r="AT22" s="394"/>
      <c r="AU22" s="394"/>
      <c r="AV22" s="395"/>
      <c r="AW22" s="393" t="s">
        <v>5</v>
      </c>
      <c r="AX22" s="394"/>
      <c r="AY22" s="394"/>
      <c r="AZ22" s="394"/>
      <c r="BA22" s="394"/>
      <c r="BB22" s="394"/>
      <c r="BC22" s="394"/>
      <c r="BD22" s="394"/>
      <c r="BE22" s="394"/>
      <c r="BF22" s="394"/>
      <c r="BG22" s="394"/>
      <c r="BH22" s="395"/>
      <c r="BI22" s="393" t="s">
        <v>6</v>
      </c>
      <c r="BJ22" s="394"/>
      <c r="BK22" s="395"/>
    </row>
    <row r="23" spans="1:63" ht="15" thickBot="1">
      <c r="A23" s="397"/>
      <c r="B23" s="52"/>
      <c r="C23" s="53" t="s">
        <v>50</v>
      </c>
      <c r="D23" s="33">
        <v>45658</v>
      </c>
      <c r="E23" s="25">
        <f t="shared" ref="E23:O23" si="5">D23+31</f>
        <v>45689</v>
      </c>
      <c r="F23" s="25">
        <f t="shared" si="5"/>
        <v>45720</v>
      </c>
      <c r="G23" s="25">
        <f t="shared" si="5"/>
        <v>45751</v>
      </c>
      <c r="H23" s="25">
        <f t="shared" si="5"/>
        <v>45782</v>
      </c>
      <c r="I23" s="25">
        <f t="shared" si="5"/>
        <v>45813</v>
      </c>
      <c r="J23" s="25">
        <f t="shared" si="5"/>
        <v>45844</v>
      </c>
      <c r="K23" s="25">
        <f t="shared" si="5"/>
        <v>45875</v>
      </c>
      <c r="L23" s="34">
        <f t="shared" si="5"/>
        <v>45906</v>
      </c>
      <c r="M23" s="25">
        <f t="shared" si="5"/>
        <v>45937</v>
      </c>
      <c r="N23" s="25">
        <f t="shared" si="5"/>
        <v>45968</v>
      </c>
      <c r="O23" s="25">
        <f t="shared" si="5"/>
        <v>45999</v>
      </c>
      <c r="P23" s="25">
        <v>46023</v>
      </c>
      <c r="Q23" s="25">
        <f t="shared" ref="Q23:AA23" si="6">P23+31</f>
        <v>46054</v>
      </c>
      <c r="R23" s="25">
        <f t="shared" si="6"/>
        <v>46085</v>
      </c>
      <c r="S23" s="25">
        <f t="shared" si="6"/>
        <v>46116</v>
      </c>
      <c r="T23" s="25">
        <f t="shared" si="6"/>
        <v>46147</v>
      </c>
      <c r="U23" s="25">
        <f t="shared" si="6"/>
        <v>46178</v>
      </c>
      <c r="V23" s="25">
        <f t="shared" si="6"/>
        <v>46209</v>
      </c>
      <c r="W23" s="25">
        <f t="shared" si="6"/>
        <v>46240</v>
      </c>
      <c r="X23" s="34">
        <f t="shared" si="6"/>
        <v>46271</v>
      </c>
      <c r="Y23" s="25">
        <f t="shared" si="6"/>
        <v>46302</v>
      </c>
      <c r="Z23" s="25">
        <f t="shared" si="6"/>
        <v>46333</v>
      </c>
      <c r="AA23" s="25">
        <f t="shared" si="6"/>
        <v>46364</v>
      </c>
      <c r="AB23" s="25">
        <v>46388</v>
      </c>
      <c r="AC23" s="25">
        <f t="shared" ref="AC23:AM23" si="7">AB23+31</f>
        <v>46419</v>
      </c>
      <c r="AD23" s="25">
        <f t="shared" si="7"/>
        <v>46450</v>
      </c>
      <c r="AE23" s="25">
        <f t="shared" si="7"/>
        <v>46481</v>
      </c>
      <c r="AF23" s="25">
        <f t="shared" si="7"/>
        <v>46512</v>
      </c>
      <c r="AG23" s="25">
        <f t="shared" si="7"/>
        <v>46543</v>
      </c>
      <c r="AH23" s="25">
        <f t="shared" si="7"/>
        <v>46574</v>
      </c>
      <c r="AI23" s="25">
        <f t="shared" si="7"/>
        <v>46605</v>
      </c>
      <c r="AJ23" s="34">
        <f t="shared" si="7"/>
        <v>46636</v>
      </c>
      <c r="AK23" s="25">
        <f t="shared" si="7"/>
        <v>46667</v>
      </c>
      <c r="AL23" s="25">
        <f t="shared" si="7"/>
        <v>46698</v>
      </c>
      <c r="AM23" s="25">
        <f t="shared" si="7"/>
        <v>46729</v>
      </c>
      <c r="AN23" s="25">
        <v>46753</v>
      </c>
      <c r="AO23" s="25">
        <f t="shared" ref="AO23:BK23" si="8">AN23+31</f>
        <v>46784</v>
      </c>
      <c r="AP23" s="25">
        <f t="shared" si="8"/>
        <v>46815</v>
      </c>
      <c r="AQ23" s="25">
        <f t="shared" si="8"/>
        <v>46846</v>
      </c>
      <c r="AR23" s="25">
        <f t="shared" si="8"/>
        <v>46877</v>
      </c>
      <c r="AS23" s="25">
        <f t="shared" si="8"/>
        <v>46908</v>
      </c>
      <c r="AT23" s="25">
        <f t="shared" si="8"/>
        <v>46939</v>
      </c>
      <c r="AU23" s="25">
        <f t="shared" si="8"/>
        <v>46970</v>
      </c>
      <c r="AV23" s="34">
        <f t="shared" si="8"/>
        <v>47001</v>
      </c>
      <c r="AW23" s="25">
        <f t="shared" si="8"/>
        <v>47032</v>
      </c>
      <c r="AX23" s="25">
        <f t="shared" si="8"/>
        <v>47063</v>
      </c>
      <c r="AY23" s="25">
        <f t="shared" si="8"/>
        <v>47094</v>
      </c>
      <c r="AZ23" s="25">
        <f t="shared" si="8"/>
        <v>47125</v>
      </c>
      <c r="BA23" s="25">
        <f t="shared" si="8"/>
        <v>47156</v>
      </c>
      <c r="BB23" s="25">
        <f t="shared" si="8"/>
        <v>47187</v>
      </c>
      <c r="BC23" s="25">
        <f t="shared" si="8"/>
        <v>47218</v>
      </c>
      <c r="BD23" s="25">
        <f t="shared" si="8"/>
        <v>47249</v>
      </c>
      <c r="BE23" s="25">
        <f t="shared" si="8"/>
        <v>47280</v>
      </c>
      <c r="BF23" s="25">
        <f t="shared" si="8"/>
        <v>47311</v>
      </c>
      <c r="BG23" s="25">
        <f t="shared" si="8"/>
        <v>47342</v>
      </c>
      <c r="BH23" s="34">
        <f t="shared" si="8"/>
        <v>47373</v>
      </c>
      <c r="BI23" s="25">
        <f t="shared" si="8"/>
        <v>47404</v>
      </c>
      <c r="BJ23" s="25">
        <f t="shared" si="8"/>
        <v>47435</v>
      </c>
      <c r="BK23" s="34">
        <f t="shared" si="8"/>
        <v>47466</v>
      </c>
    </row>
    <row r="24" spans="1:63">
      <c r="A24" s="397"/>
      <c r="B24" s="52"/>
      <c r="C24" s="54" t="s">
        <v>51</v>
      </c>
      <c r="D24" s="36"/>
      <c r="E24" s="37"/>
      <c r="F24" s="37"/>
      <c r="G24" s="37"/>
      <c r="H24" s="37"/>
      <c r="I24" s="37"/>
      <c r="J24" s="37"/>
      <c r="K24" s="37"/>
      <c r="L24" s="38"/>
      <c r="M24" s="36"/>
      <c r="N24" s="37"/>
      <c r="O24" s="37"/>
      <c r="P24" s="37"/>
      <c r="Q24" s="37"/>
      <c r="R24" s="37"/>
      <c r="S24" s="37"/>
      <c r="T24" s="37"/>
      <c r="U24" s="37"/>
      <c r="V24" s="37"/>
      <c r="W24" s="37"/>
      <c r="X24" s="38"/>
      <c r="Y24" s="36"/>
      <c r="Z24" s="37"/>
      <c r="AA24" s="37"/>
      <c r="AB24" s="37"/>
      <c r="AC24" s="37"/>
      <c r="AD24" s="37"/>
      <c r="AE24" s="37"/>
      <c r="AF24" s="37"/>
      <c r="AG24" s="37"/>
      <c r="AH24" s="37"/>
      <c r="AI24" s="37"/>
      <c r="AJ24" s="38"/>
      <c r="AK24" s="36"/>
      <c r="AL24" s="37"/>
      <c r="AM24" s="37"/>
      <c r="AN24" s="37"/>
      <c r="AO24" s="37"/>
      <c r="AP24" s="37"/>
      <c r="AQ24" s="37"/>
      <c r="AR24" s="37"/>
      <c r="AS24" s="37"/>
      <c r="AT24" s="37"/>
      <c r="AU24" s="37"/>
      <c r="AV24" s="38"/>
      <c r="AW24" s="36"/>
      <c r="AX24" s="37"/>
      <c r="AY24" s="37"/>
      <c r="AZ24" s="37"/>
      <c r="BA24" s="37"/>
      <c r="BB24" s="37"/>
      <c r="BC24" s="37"/>
      <c r="BD24" s="37"/>
      <c r="BE24" s="37"/>
      <c r="BF24" s="37"/>
      <c r="BG24" s="37"/>
      <c r="BH24" s="38"/>
      <c r="BI24" s="36"/>
      <c r="BJ24" s="37"/>
      <c r="BK24" s="38"/>
    </row>
    <row r="25" spans="1:63">
      <c r="A25" s="397"/>
      <c r="B25" s="52"/>
      <c r="C25" s="55" t="s">
        <v>52</v>
      </c>
      <c r="D25" s="36"/>
      <c r="E25" s="37"/>
      <c r="F25" s="37"/>
      <c r="G25" s="37"/>
      <c r="H25" s="37"/>
      <c r="I25" s="37"/>
      <c r="J25" s="37"/>
      <c r="K25" s="37"/>
      <c r="L25" s="38"/>
      <c r="M25" s="36"/>
      <c r="N25" s="37"/>
      <c r="O25" s="37"/>
      <c r="P25" s="37"/>
      <c r="Q25" s="37"/>
      <c r="R25" s="37"/>
      <c r="S25" s="37"/>
      <c r="T25" s="37"/>
      <c r="U25" s="37"/>
      <c r="V25" s="37"/>
      <c r="W25" s="37"/>
      <c r="X25" s="38"/>
      <c r="Y25" s="36"/>
      <c r="Z25" s="37"/>
      <c r="AA25" s="37"/>
      <c r="AB25" s="37"/>
      <c r="AC25" s="37"/>
      <c r="AD25" s="37"/>
      <c r="AE25" s="37"/>
      <c r="AF25" s="37"/>
      <c r="AG25" s="37"/>
      <c r="AH25" s="37"/>
      <c r="AI25" s="37"/>
      <c r="AJ25" s="38"/>
      <c r="AK25" s="36"/>
      <c r="AL25" s="37"/>
      <c r="AM25" s="37"/>
      <c r="AN25" s="37"/>
      <c r="AO25" s="37"/>
      <c r="AP25" s="37"/>
      <c r="AQ25" s="37"/>
      <c r="AR25" s="37"/>
      <c r="AS25" s="37"/>
      <c r="AT25" s="37"/>
      <c r="AU25" s="37"/>
      <c r="AV25" s="38"/>
      <c r="AW25" s="36"/>
      <c r="AX25" s="37"/>
      <c r="AY25" s="37"/>
      <c r="AZ25" s="37"/>
      <c r="BA25" s="37"/>
      <c r="BB25" s="37"/>
      <c r="BC25" s="37"/>
      <c r="BD25" s="37"/>
      <c r="BE25" s="37"/>
      <c r="BF25" s="37"/>
      <c r="BG25" s="37"/>
      <c r="BH25" s="38"/>
      <c r="BI25" s="36"/>
      <c r="BJ25" s="37"/>
      <c r="BK25" s="38"/>
    </row>
    <row r="26" spans="1:63">
      <c r="A26" s="397"/>
      <c r="B26" s="52"/>
      <c r="C26" s="56" t="s">
        <v>53</v>
      </c>
      <c r="D26" s="36"/>
      <c r="E26" s="37"/>
      <c r="F26" s="37"/>
      <c r="G26" s="37"/>
      <c r="H26" s="37"/>
      <c r="I26" s="37"/>
      <c r="J26" s="37"/>
      <c r="K26" s="37"/>
      <c r="L26" s="38"/>
      <c r="M26" s="36"/>
      <c r="N26" s="37"/>
      <c r="O26" s="37"/>
      <c r="P26" s="37"/>
      <c r="Q26" s="37"/>
      <c r="R26" s="37"/>
      <c r="S26" s="37"/>
      <c r="T26" s="37"/>
      <c r="U26" s="37"/>
      <c r="V26" s="37"/>
      <c r="W26" s="37"/>
      <c r="X26" s="38"/>
      <c r="Y26" s="36"/>
      <c r="Z26" s="37"/>
      <c r="AA26" s="37"/>
      <c r="AB26" s="37"/>
      <c r="AC26" s="37"/>
      <c r="AD26" s="37"/>
      <c r="AE26" s="37"/>
      <c r="AF26" s="37"/>
      <c r="AG26" s="37"/>
      <c r="AH26" s="37"/>
      <c r="AI26" s="37"/>
      <c r="AJ26" s="38"/>
      <c r="AK26" s="36"/>
      <c r="AL26" s="37"/>
      <c r="AM26" s="37"/>
      <c r="AN26" s="37"/>
      <c r="AO26" s="37"/>
      <c r="AP26" s="37"/>
      <c r="AQ26" s="37"/>
      <c r="AR26" s="37"/>
      <c r="AS26" s="37"/>
      <c r="AT26" s="37"/>
      <c r="AU26" s="37"/>
      <c r="AV26" s="38"/>
      <c r="AW26" s="36"/>
      <c r="AX26" s="37"/>
      <c r="AY26" s="37"/>
      <c r="AZ26" s="37"/>
      <c r="BA26" s="37"/>
      <c r="BB26" s="37"/>
      <c r="BC26" s="37"/>
      <c r="BD26" s="37"/>
      <c r="BE26" s="37"/>
      <c r="BF26" s="37"/>
      <c r="BG26" s="37"/>
      <c r="BH26" s="38"/>
      <c r="BI26" s="36"/>
      <c r="BJ26" s="37"/>
      <c r="BK26" s="38"/>
    </row>
    <row r="27" spans="1:63">
      <c r="A27" s="397"/>
      <c r="B27" s="52"/>
      <c r="C27" s="56" t="s">
        <v>54</v>
      </c>
      <c r="D27" s="36"/>
      <c r="E27" s="37"/>
      <c r="F27" s="37"/>
      <c r="G27" s="37"/>
      <c r="H27" s="37"/>
      <c r="I27" s="37"/>
      <c r="J27" s="37"/>
      <c r="K27" s="37"/>
      <c r="L27" s="38"/>
      <c r="M27" s="36"/>
      <c r="N27" s="37"/>
      <c r="O27" s="37"/>
      <c r="P27" s="37"/>
      <c r="Q27" s="37"/>
      <c r="R27" s="37"/>
      <c r="S27" s="37"/>
      <c r="T27" s="37"/>
      <c r="U27" s="37"/>
      <c r="V27" s="37"/>
      <c r="W27" s="37"/>
      <c r="X27" s="38"/>
      <c r="Y27" s="36"/>
      <c r="Z27" s="37"/>
      <c r="AA27" s="37"/>
      <c r="AB27" s="37"/>
      <c r="AC27" s="37"/>
      <c r="AD27" s="37"/>
      <c r="AE27" s="37"/>
      <c r="AF27" s="37"/>
      <c r="AG27" s="37"/>
      <c r="AH27" s="37"/>
      <c r="AI27" s="37"/>
      <c r="AJ27" s="38"/>
      <c r="AK27" s="36"/>
      <c r="AL27" s="37"/>
      <c r="AM27" s="37"/>
      <c r="AN27" s="37"/>
      <c r="AO27" s="37"/>
      <c r="AP27" s="37"/>
      <c r="AQ27" s="37"/>
      <c r="AR27" s="37"/>
      <c r="AS27" s="37"/>
      <c r="AT27" s="37"/>
      <c r="AU27" s="37"/>
      <c r="AV27" s="38"/>
      <c r="AW27" s="36"/>
      <c r="AX27" s="37"/>
      <c r="AY27" s="37"/>
      <c r="AZ27" s="37"/>
      <c r="BA27" s="37"/>
      <c r="BB27" s="37"/>
      <c r="BC27" s="37"/>
      <c r="BD27" s="37"/>
      <c r="BE27" s="37"/>
      <c r="BF27" s="37"/>
      <c r="BG27" s="37"/>
      <c r="BH27" s="38"/>
      <c r="BI27" s="36"/>
      <c r="BJ27" s="37"/>
      <c r="BK27" s="38"/>
    </row>
    <row r="28" spans="1:63">
      <c r="A28" s="397"/>
      <c r="B28" s="52"/>
      <c r="C28" s="56" t="s">
        <v>55</v>
      </c>
      <c r="D28" s="36"/>
      <c r="E28" s="37"/>
      <c r="F28" s="37"/>
      <c r="G28" s="37"/>
      <c r="H28" s="37"/>
      <c r="I28" s="37"/>
      <c r="J28" s="37"/>
      <c r="K28" s="37"/>
      <c r="L28" s="38"/>
      <c r="M28" s="36"/>
      <c r="N28" s="37"/>
      <c r="O28" s="37"/>
      <c r="P28" s="37"/>
      <c r="Q28" s="37"/>
      <c r="R28" s="37"/>
      <c r="S28" s="37"/>
      <c r="T28" s="37"/>
      <c r="U28" s="37"/>
      <c r="V28" s="37"/>
      <c r="W28" s="37"/>
      <c r="X28" s="38"/>
      <c r="Y28" s="36"/>
      <c r="Z28" s="37"/>
      <c r="AA28" s="37"/>
      <c r="AB28" s="37"/>
      <c r="AC28" s="37"/>
      <c r="AD28" s="37"/>
      <c r="AE28" s="37"/>
      <c r="AF28" s="37"/>
      <c r="AG28" s="37"/>
      <c r="AH28" s="37"/>
      <c r="AI28" s="37"/>
      <c r="AJ28" s="38"/>
      <c r="AK28" s="36"/>
      <c r="AL28" s="37"/>
      <c r="AM28" s="37"/>
      <c r="AN28" s="37"/>
      <c r="AO28" s="37"/>
      <c r="AP28" s="37"/>
      <c r="AQ28" s="37"/>
      <c r="AR28" s="37"/>
      <c r="AS28" s="37"/>
      <c r="AT28" s="37"/>
      <c r="AU28" s="37"/>
      <c r="AV28" s="38"/>
      <c r="AW28" s="36"/>
      <c r="AX28" s="37"/>
      <c r="AY28" s="37"/>
      <c r="AZ28" s="37"/>
      <c r="BA28" s="37"/>
      <c r="BB28" s="37"/>
      <c r="BC28" s="37"/>
      <c r="BD28" s="37"/>
      <c r="BE28" s="37"/>
      <c r="BF28" s="37"/>
      <c r="BG28" s="37"/>
      <c r="BH28" s="38"/>
      <c r="BI28" s="36"/>
      <c r="BJ28" s="37"/>
      <c r="BK28" s="38"/>
    </row>
    <row r="29" spans="1:63">
      <c r="A29" s="397"/>
      <c r="B29" s="52"/>
      <c r="C29" s="56" t="s">
        <v>56</v>
      </c>
      <c r="D29" s="36"/>
      <c r="E29" s="37"/>
      <c r="F29" s="37"/>
      <c r="G29" s="37"/>
      <c r="H29" s="37"/>
      <c r="I29" s="37"/>
      <c r="J29" s="37"/>
      <c r="K29" s="37"/>
      <c r="L29" s="38"/>
      <c r="M29" s="36"/>
      <c r="N29" s="37"/>
      <c r="O29" s="37"/>
      <c r="P29" s="37"/>
      <c r="Q29" s="37"/>
      <c r="R29" s="37"/>
      <c r="S29" s="37"/>
      <c r="T29" s="37"/>
      <c r="U29" s="37"/>
      <c r="V29" s="37"/>
      <c r="W29" s="37"/>
      <c r="X29" s="38"/>
      <c r="Y29" s="36"/>
      <c r="Z29" s="37"/>
      <c r="AA29" s="37"/>
      <c r="AB29" s="37"/>
      <c r="AC29" s="37"/>
      <c r="AD29" s="37"/>
      <c r="AE29" s="37"/>
      <c r="AF29" s="37"/>
      <c r="AG29" s="37"/>
      <c r="AH29" s="37"/>
      <c r="AI29" s="37"/>
      <c r="AJ29" s="38"/>
      <c r="AK29" s="36"/>
      <c r="AL29" s="37"/>
      <c r="AM29" s="37"/>
      <c r="AN29" s="37"/>
      <c r="AO29" s="37"/>
      <c r="AP29" s="37"/>
      <c r="AQ29" s="37"/>
      <c r="AR29" s="37"/>
      <c r="AS29" s="37"/>
      <c r="AT29" s="37"/>
      <c r="AU29" s="37"/>
      <c r="AV29" s="38"/>
      <c r="AW29" s="36"/>
      <c r="AX29" s="37"/>
      <c r="AY29" s="37"/>
      <c r="AZ29" s="37"/>
      <c r="BA29" s="37"/>
      <c r="BB29" s="37"/>
      <c r="BC29" s="37"/>
      <c r="BD29" s="37"/>
      <c r="BE29" s="37"/>
      <c r="BF29" s="37"/>
      <c r="BG29" s="37"/>
      <c r="BH29" s="38"/>
      <c r="BI29" s="36"/>
      <c r="BJ29" s="37"/>
      <c r="BK29" s="38"/>
    </row>
    <row r="30" spans="1:63">
      <c r="A30" s="397"/>
      <c r="B30" s="52"/>
      <c r="C30" s="55" t="s">
        <v>57</v>
      </c>
      <c r="D30" s="36"/>
      <c r="E30" s="37"/>
      <c r="F30" s="37"/>
      <c r="G30" s="37"/>
      <c r="H30" s="37"/>
      <c r="I30" s="37"/>
      <c r="J30" s="37"/>
      <c r="K30" s="37"/>
      <c r="L30" s="38"/>
      <c r="M30" s="36"/>
      <c r="N30" s="37"/>
      <c r="O30" s="37"/>
      <c r="P30" s="37"/>
      <c r="Q30" s="37"/>
      <c r="R30" s="37"/>
      <c r="S30" s="37"/>
      <c r="T30" s="37"/>
      <c r="U30" s="37"/>
      <c r="V30" s="37"/>
      <c r="W30" s="37"/>
      <c r="X30" s="38"/>
      <c r="Y30" s="36"/>
      <c r="Z30" s="37"/>
      <c r="AA30" s="37"/>
      <c r="AB30" s="37"/>
      <c r="AC30" s="37"/>
      <c r="AD30" s="37"/>
      <c r="AE30" s="37"/>
      <c r="AF30" s="37"/>
      <c r="AG30" s="37"/>
      <c r="AH30" s="37"/>
      <c r="AI30" s="37"/>
      <c r="AJ30" s="38"/>
      <c r="AK30" s="36"/>
      <c r="AL30" s="37"/>
      <c r="AM30" s="37"/>
      <c r="AN30" s="37"/>
      <c r="AO30" s="37"/>
      <c r="AP30" s="37"/>
      <c r="AQ30" s="37"/>
      <c r="AR30" s="37"/>
      <c r="AS30" s="37"/>
      <c r="AT30" s="37"/>
      <c r="AU30" s="37"/>
      <c r="AV30" s="38"/>
      <c r="AW30" s="36"/>
      <c r="AX30" s="37"/>
      <c r="AY30" s="37"/>
      <c r="AZ30" s="37"/>
      <c r="BA30" s="37"/>
      <c r="BB30" s="37"/>
      <c r="BC30" s="37"/>
      <c r="BD30" s="37"/>
      <c r="BE30" s="37"/>
      <c r="BF30" s="37"/>
      <c r="BG30" s="37"/>
      <c r="BH30" s="38"/>
      <c r="BI30" s="36"/>
      <c r="BJ30" s="37"/>
      <c r="BK30" s="38"/>
    </row>
    <row r="31" spans="1:63">
      <c r="A31" s="397"/>
      <c r="B31" s="52"/>
      <c r="C31" s="55" t="s">
        <v>58</v>
      </c>
      <c r="D31" s="36"/>
      <c r="E31" s="37"/>
      <c r="F31" s="37"/>
      <c r="G31" s="37"/>
      <c r="H31" s="37"/>
      <c r="I31" s="37"/>
      <c r="J31" s="37"/>
      <c r="K31" s="37"/>
      <c r="L31" s="38"/>
      <c r="M31" s="36"/>
      <c r="N31" s="37"/>
      <c r="O31" s="37"/>
      <c r="P31" s="37"/>
      <c r="Q31" s="37"/>
      <c r="R31" s="37"/>
      <c r="S31" s="37"/>
      <c r="T31" s="37"/>
      <c r="U31" s="37"/>
      <c r="V31" s="37"/>
      <c r="W31" s="37"/>
      <c r="X31" s="38"/>
      <c r="Y31" s="36"/>
      <c r="Z31" s="37"/>
      <c r="AA31" s="37"/>
      <c r="AB31" s="37"/>
      <c r="AC31" s="37"/>
      <c r="AD31" s="37"/>
      <c r="AE31" s="37"/>
      <c r="AF31" s="37"/>
      <c r="AG31" s="37"/>
      <c r="AH31" s="37"/>
      <c r="AI31" s="37"/>
      <c r="AJ31" s="38"/>
      <c r="AK31" s="36"/>
      <c r="AL31" s="37"/>
      <c r="AM31" s="37"/>
      <c r="AN31" s="37"/>
      <c r="AO31" s="37"/>
      <c r="AP31" s="37"/>
      <c r="AQ31" s="37"/>
      <c r="AR31" s="37"/>
      <c r="AS31" s="37"/>
      <c r="AT31" s="37"/>
      <c r="AU31" s="37"/>
      <c r="AV31" s="38"/>
      <c r="AW31" s="36"/>
      <c r="AX31" s="37"/>
      <c r="AY31" s="37"/>
      <c r="AZ31" s="37"/>
      <c r="BA31" s="37"/>
      <c r="BB31" s="37"/>
      <c r="BC31" s="37"/>
      <c r="BD31" s="37"/>
      <c r="BE31" s="37"/>
      <c r="BF31" s="37"/>
      <c r="BG31" s="37"/>
      <c r="BH31" s="38"/>
      <c r="BI31" s="36"/>
      <c r="BJ31" s="37"/>
      <c r="BK31" s="38"/>
    </row>
    <row r="32" spans="1:63">
      <c r="A32" s="397"/>
      <c r="B32" s="52"/>
      <c r="C32" s="55" t="s">
        <v>59</v>
      </c>
      <c r="D32" s="36"/>
      <c r="E32" s="37"/>
      <c r="F32" s="37"/>
      <c r="G32" s="37"/>
      <c r="H32" s="37"/>
      <c r="I32" s="37"/>
      <c r="J32" s="37"/>
      <c r="K32" s="37"/>
      <c r="L32" s="38"/>
      <c r="M32" s="36"/>
      <c r="N32" s="37"/>
      <c r="O32" s="37"/>
      <c r="P32" s="37"/>
      <c r="Q32" s="37"/>
      <c r="R32" s="37"/>
      <c r="S32" s="37"/>
      <c r="T32" s="37"/>
      <c r="U32" s="37"/>
      <c r="V32" s="37"/>
      <c r="W32" s="37"/>
      <c r="X32" s="38"/>
      <c r="Y32" s="36"/>
      <c r="Z32" s="37"/>
      <c r="AA32" s="37"/>
      <c r="AB32" s="37"/>
      <c r="AC32" s="37"/>
      <c r="AD32" s="37"/>
      <c r="AE32" s="37"/>
      <c r="AF32" s="37"/>
      <c r="AG32" s="37"/>
      <c r="AH32" s="37"/>
      <c r="AI32" s="37"/>
      <c r="AJ32" s="38"/>
      <c r="AK32" s="36"/>
      <c r="AL32" s="37"/>
      <c r="AM32" s="37"/>
      <c r="AN32" s="37"/>
      <c r="AO32" s="37"/>
      <c r="AP32" s="37"/>
      <c r="AQ32" s="37"/>
      <c r="AR32" s="37"/>
      <c r="AS32" s="37"/>
      <c r="AT32" s="37"/>
      <c r="AU32" s="37"/>
      <c r="AV32" s="38"/>
      <c r="AW32" s="36"/>
      <c r="AX32" s="37"/>
      <c r="AY32" s="37"/>
      <c r="AZ32" s="37"/>
      <c r="BA32" s="37"/>
      <c r="BB32" s="37"/>
      <c r="BC32" s="37"/>
      <c r="BD32" s="37"/>
      <c r="BE32" s="37"/>
      <c r="BF32" s="37"/>
      <c r="BG32" s="37"/>
      <c r="BH32" s="38"/>
      <c r="BI32" s="36"/>
      <c r="BJ32" s="37"/>
      <c r="BK32" s="38"/>
    </row>
    <row r="33" spans="1:63">
      <c r="A33" s="397"/>
      <c r="B33" s="52"/>
      <c r="C33" s="55" t="s">
        <v>60</v>
      </c>
      <c r="D33" s="36"/>
      <c r="E33" s="37"/>
      <c r="F33" s="37"/>
      <c r="G33" s="37"/>
      <c r="H33" s="37"/>
      <c r="I33" s="37"/>
      <c r="J33" s="37"/>
      <c r="K33" s="37"/>
      <c r="L33" s="38"/>
      <c r="M33" s="36"/>
      <c r="N33" s="37"/>
      <c r="O33" s="37"/>
      <c r="P33" s="37"/>
      <c r="Q33" s="37"/>
      <c r="R33" s="37"/>
      <c r="S33" s="37"/>
      <c r="T33" s="37"/>
      <c r="U33" s="37"/>
      <c r="V33" s="37"/>
      <c r="W33" s="37"/>
      <c r="X33" s="38"/>
      <c r="Y33" s="36"/>
      <c r="Z33" s="37"/>
      <c r="AA33" s="37"/>
      <c r="AB33" s="37"/>
      <c r="AC33" s="37"/>
      <c r="AD33" s="37"/>
      <c r="AE33" s="37"/>
      <c r="AF33" s="37"/>
      <c r="AG33" s="37"/>
      <c r="AH33" s="37"/>
      <c r="AI33" s="37"/>
      <c r="AJ33" s="38"/>
      <c r="AK33" s="36"/>
      <c r="AL33" s="37"/>
      <c r="AM33" s="37"/>
      <c r="AN33" s="37"/>
      <c r="AO33" s="37"/>
      <c r="AP33" s="37"/>
      <c r="AQ33" s="37"/>
      <c r="AR33" s="37"/>
      <c r="AS33" s="37"/>
      <c r="AT33" s="37"/>
      <c r="AU33" s="37"/>
      <c r="AV33" s="38"/>
      <c r="AW33" s="36"/>
      <c r="AX33" s="37"/>
      <c r="AY33" s="37"/>
      <c r="AZ33" s="37"/>
      <c r="BA33" s="37"/>
      <c r="BB33" s="37"/>
      <c r="BC33" s="37"/>
      <c r="BD33" s="37"/>
      <c r="BE33" s="37"/>
      <c r="BF33" s="37"/>
      <c r="BG33" s="37"/>
      <c r="BH33" s="38"/>
      <c r="BI33" s="36"/>
      <c r="BJ33" s="37"/>
      <c r="BK33" s="38"/>
    </row>
    <row r="34" spans="1:63">
      <c r="A34" s="397"/>
      <c r="B34" s="52"/>
      <c r="C34" s="55" t="s">
        <v>61</v>
      </c>
      <c r="D34" s="36"/>
      <c r="E34" s="37"/>
      <c r="F34" s="37"/>
      <c r="G34" s="37"/>
      <c r="H34" s="37"/>
      <c r="I34" s="37"/>
      <c r="J34" s="37"/>
      <c r="K34" s="37"/>
      <c r="L34" s="38"/>
      <c r="M34" s="36"/>
      <c r="N34" s="37"/>
      <c r="O34" s="37"/>
      <c r="P34" s="37"/>
      <c r="Q34" s="37"/>
      <c r="R34" s="37"/>
      <c r="S34" s="37"/>
      <c r="T34" s="37"/>
      <c r="U34" s="37"/>
      <c r="V34" s="37"/>
      <c r="W34" s="37"/>
      <c r="X34" s="38"/>
      <c r="Y34" s="36"/>
      <c r="Z34" s="37"/>
      <c r="AA34" s="37"/>
      <c r="AB34" s="37"/>
      <c r="AC34" s="37"/>
      <c r="AD34" s="37"/>
      <c r="AE34" s="37"/>
      <c r="AF34" s="37"/>
      <c r="AG34" s="37"/>
      <c r="AH34" s="37"/>
      <c r="AI34" s="37"/>
      <c r="AJ34" s="38"/>
      <c r="AK34" s="36"/>
      <c r="AL34" s="37"/>
      <c r="AM34" s="37"/>
      <c r="AN34" s="37"/>
      <c r="AO34" s="37"/>
      <c r="AP34" s="37"/>
      <c r="AQ34" s="37"/>
      <c r="AR34" s="37"/>
      <c r="AS34" s="37"/>
      <c r="AT34" s="37"/>
      <c r="AU34" s="37"/>
      <c r="AV34" s="38"/>
      <c r="AW34" s="36"/>
      <c r="AX34" s="37"/>
      <c r="AY34" s="37"/>
      <c r="AZ34" s="37"/>
      <c r="BA34" s="37"/>
      <c r="BB34" s="37"/>
      <c r="BC34" s="37"/>
      <c r="BD34" s="37"/>
      <c r="BE34" s="37"/>
      <c r="BF34" s="37"/>
      <c r="BG34" s="37"/>
      <c r="BH34" s="38"/>
      <c r="BI34" s="36"/>
      <c r="BJ34" s="37"/>
      <c r="BK34" s="38"/>
    </row>
    <row r="35" spans="1:63">
      <c r="A35" s="397"/>
      <c r="B35" s="52"/>
      <c r="C35" s="56" t="s">
        <v>62</v>
      </c>
      <c r="D35" s="36"/>
      <c r="E35" s="37"/>
      <c r="F35" s="37"/>
      <c r="G35" s="37"/>
      <c r="H35" s="37"/>
      <c r="I35" s="37"/>
      <c r="J35" s="37"/>
      <c r="K35" s="37"/>
      <c r="L35" s="38"/>
      <c r="M35" s="36"/>
      <c r="N35" s="37"/>
      <c r="O35" s="37"/>
      <c r="P35" s="37"/>
      <c r="Q35" s="37"/>
      <c r="R35" s="37"/>
      <c r="S35" s="37"/>
      <c r="T35" s="37"/>
      <c r="U35" s="37"/>
      <c r="V35" s="37"/>
      <c r="W35" s="37"/>
      <c r="X35" s="38"/>
      <c r="Y35" s="36"/>
      <c r="Z35" s="37"/>
      <c r="AA35" s="37"/>
      <c r="AB35" s="37"/>
      <c r="AC35" s="37"/>
      <c r="AD35" s="37"/>
      <c r="AE35" s="37"/>
      <c r="AF35" s="37"/>
      <c r="AG35" s="37"/>
      <c r="AH35" s="37"/>
      <c r="AI35" s="37"/>
      <c r="AJ35" s="38"/>
      <c r="AK35" s="36"/>
      <c r="AL35" s="37"/>
      <c r="AM35" s="37"/>
      <c r="AN35" s="37"/>
      <c r="AO35" s="37"/>
      <c r="AP35" s="37"/>
      <c r="AQ35" s="37"/>
      <c r="AR35" s="37"/>
      <c r="AS35" s="37"/>
      <c r="AT35" s="37"/>
      <c r="AU35" s="37"/>
      <c r="AV35" s="38"/>
      <c r="AW35" s="36"/>
      <c r="AX35" s="37"/>
      <c r="AY35" s="37"/>
      <c r="AZ35" s="37"/>
      <c r="BA35" s="37"/>
      <c r="BB35" s="37"/>
      <c r="BC35" s="37"/>
      <c r="BD35" s="37"/>
      <c r="BE35" s="37"/>
      <c r="BF35" s="37"/>
      <c r="BG35" s="37"/>
      <c r="BH35" s="38"/>
      <c r="BI35" s="36"/>
      <c r="BJ35" s="37"/>
      <c r="BK35" s="38"/>
    </row>
    <row r="36" spans="1:63">
      <c r="A36" s="397"/>
      <c r="B36" s="52"/>
      <c r="C36" s="56" t="s">
        <v>63</v>
      </c>
      <c r="D36" s="36"/>
      <c r="E36" s="37"/>
      <c r="F36" s="37"/>
      <c r="G36" s="37"/>
      <c r="H36" s="37"/>
      <c r="I36" s="37"/>
      <c r="J36" s="37"/>
      <c r="K36" s="37"/>
      <c r="L36" s="38"/>
      <c r="M36" s="36"/>
      <c r="N36" s="37"/>
      <c r="O36" s="37"/>
      <c r="P36" s="37"/>
      <c r="Q36" s="37"/>
      <c r="R36" s="37"/>
      <c r="S36" s="37"/>
      <c r="T36" s="37"/>
      <c r="U36" s="37"/>
      <c r="V36" s="37"/>
      <c r="W36" s="37"/>
      <c r="X36" s="38"/>
      <c r="Y36" s="36"/>
      <c r="Z36" s="37"/>
      <c r="AA36" s="37"/>
      <c r="AB36" s="37"/>
      <c r="AC36" s="37"/>
      <c r="AD36" s="37"/>
      <c r="AE36" s="37"/>
      <c r="AF36" s="37"/>
      <c r="AG36" s="37"/>
      <c r="AH36" s="37"/>
      <c r="AI36" s="37"/>
      <c r="AJ36" s="38"/>
      <c r="AK36" s="36"/>
      <c r="AL36" s="37"/>
      <c r="AM36" s="37"/>
      <c r="AN36" s="37"/>
      <c r="AO36" s="37"/>
      <c r="AP36" s="37"/>
      <c r="AQ36" s="37"/>
      <c r="AR36" s="37"/>
      <c r="AS36" s="37"/>
      <c r="AT36" s="37"/>
      <c r="AU36" s="37"/>
      <c r="AV36" s="38"/>
      <c r="AW36" s="36"/>
      <c r="AX36" s="37"/>
      <c r="AY36" s="37"/>
      <c r="AZ36" s="37"/>
      <c r="BA36" s="37"/>
      <c r="BB36" s="37"/>
      <c r="BC36" s="37"/>
      <c r="BD36" s="37"/>
      <c r="BE36" s="37"/>
      <c r="BF36" s="37"/>
      <c r="BG36" s="37"/>
      <c r="BH36" s="38"/>
      <c r="BI36" s="36"/>
      <c r="BJ36" s="37"/>
      <c r="BK36" s="38"/>
    </row>
    <row r="37" spans="1:63">
      <c r="A37" s="397"/>
      <c r="B37" s="52"/>
      <c r="C37" s="56" t="s">
        <v>64</v>
      </c>
      <c r="D37" s="36"/>
      <c r="E37" s="37"/>
      <c r="F37" s="37"/>
      <c r="G37" s="37"/>
      <c r="H37" s="37"/>
      <c r="I37" s="37"/>
      <c r="J37" s="37"/>
      <c r="K37" s="37"/>
      <c r="L37" s="38"/>
      <c r="M37" s="36"/>
      <c r="N37" s="37"/>
      <c r="O37" s="37"/>
      <c r="P37" s="37"/>
      <c r="Q37" s="37"/>
      <c r="R37" s="37"/>
      <c r="S37" s="37"/>
      <c r="T37" s="37"/>
      <c r="U37" s="37"/>
      <c r="V37" s="37"/>
      <c r="W37" s="37"/>
      <c r="X37" s="38"/>
      <c r="Y37" s="36"/>
      <c r="Z37" s="37"/>
      <c r="AA37" s="37"/>
      <c r="AB37" s="37"/>
      <c r="AC37" s="37"/>
      <c r="AD37" s="37"/>
      <c r="AE37" s="37"/>
      <c r="AF37" s="37"/>
      <c r="AG37" s="37"/>
      <c r="AH37" s="37"/>
      <c r="AI37" s="37"/>
      <c r="AJ37" s="38"/>
      <c r="AK37" s="36"/>
      <c r="AL37" s="37"/>
      <c r="AM37" s="37"/>
      <c r="AN37" s="37"/>
      <c r="AO37" s="37"/>
      <c r="AP37" s="37"/>
      <c r="AQ37" s="37"/>
      <c r="AR37" s="37"/>
      <c r="AS37" s="37"/>
      <c r="AT37" s="37"/>
      <c r="AU37" s="37"/>
      <c r="AV37" s="38"/>
      <c r="AW37" s="36"/>
      <c r="AX37" s="37"/>
      <c r="AY37" s="37"/>
      <c r="AZ37" s="37"/>
      <c r="BA37" s="37"/>
      <c r="BB37" s="37"/>
      <c r="BC37" s="37"/>
      <c r="BD37" s="37"/>
      <c r="BE37" s="37"/>
      <c r="BF37" s="37"/>
      <c r="BG37" s="37"/>
      <c r="BH37" s="38"/>
      <c r="BI37" s="36"/>
      <c r="BJ37" s="37"/>
      <c r="BK37" s="38"/>
    </row>
    <row r="38" spans="1:63">
      <c r="A38" s="397"/>
      <c r="B38" s="52"/>
      <c r="C38" s="56" t="s">
        <v>65</v>
      </c>
      <c r="D38" s="36"/>
      <c r="E38" s="37"/>
      <c r="F38" s="37"/>
      <c r="G38" s="37"/>
      <c r="H38" s="37"/>
      <c r="I38" s="37"/>
      <c r="J38" s="37"/>
      <c r="K38" s="37"/>
      <c r="L38" s="38"/>
      <c r="M38" s="36"/>
      <c r="N38" s="37"/>
      <c r="O38" s="37"/>
      <c r="P38" s="37"/>
      <c r="Q38" s="37"/>
      <c r="R38" s="37"/>
      <c r="S38" s="37"/>
      <c r="T38" s="37"/>
      <c r="U38" s="37"/>
      <c r="V38" s="37"/>
      <c r="W38" s="37"/>
      <c r="X38" s="38"/>
      <c r="Y38" s="36"/>
      <c r="Z38" s="37"/>
      <c r="AA38" s="37"/>
      <c r="AB38" s="37"/>
      <c r="AC38" s="37"/>
      <c r="AD38" s="37"/>
      <c r="AE38" s="37"/>
      <c r="AF38" s="37"/>
      <c r="AG38" s="37"/>
      <c r="AH38" s="37"/>
      <c r="AI38" s="37"/>
      <c r="AJ38" s="38"/>
      <c r="AK38" s="36"/>
      <c r="AL38" s="37"/>
      <c r="AM38" s="37"/>
      <c r="AN38" s="37"/>
      <c r="AO38" s="37"/>
      <c r="AP38" s="37"/>
      <c r="AQ38" s="37"/>
      <c r="AR38" s="37"/>
      <c r="AS38" s="37"/>
      <c r="AT38" s="37"/>
      <c r="AU38" s="37"/>
      <c r="AV38" s="38"/>
      <c r="AW38" s="36"/>
      <c r="AX38" s="37"/>
      <c r="AY38" s="37"/>
      <c r="AZ38" s="37"/>
      <c r="BA38" s="37"/>
      <c r="BB38" s="37"/>
      <c r="BC38" s="37"/>
      <c r="BD38" s="37"/>
      <c r="BE38" s="37"/>
      <c r="BF38" s="37"/>
      <c r="BG38" s="37"/>
      <c r="BH38" s="38"/>
      <c r="BI38" s="36"/>
      <c r="BJ38" s="37"/>
      <c r="BK38" s="38"/>
    </row>
    <row r="39" spans="1:63">
      <c r="A39" s="397"/>
      <c r="B39" s="391" t="s">
        <v>29</v>
      </c>
      <c r="C39" s="392"/>
      <c r="D39" s="36">
        <f>SUM(D24:D38)</f>
        <v>0</v>
      </c>
      <c r="E39" s="37">
        <f t="shared" ref="E39" si="9">SUM(E24:E38)</f>
        <v>0</v>
      </c>
      <c r="F39" s="37">
        <f t="shared" ref="F39" si="10">SUM(F24:F38)</f>
        <v>0</v>
      </c>
      <c r="G39" s="37">
        <f t="shared" ref="G39" si="11">SUM(G24:G38)</f>
        <v>0</v>
      </c>
      <c r="H39" s="37">
        <f t="shared" ref="H39" si="12">SUM(H24:H38)</f>
        <v>0</v>
      </c>
      <c r="I39" s="37">
        <f t="shared" ref="I39" si="13">SUM(I24:I38)</f>
        <v>0</v>
      </c>
      <c r="J39" s="37">
        <f t="shared" ref="J39" si="14">SUM(J24:J38)</f>
        <v>0</v>
      </c>
      <c r="K39" s="37">
        <f t="shared" ref="K39" si="15">SUM(K24:K38)</f>
        <v>0</v>
      </c>
      <c r="L39" s="38">
        <f t="shared" ref="L39" si="16">SUM(L24:L38)</f>
        <v>0</v>
      </c>
      <c r="M39" s="36">
        <f t="shared" ref="M39" si="17">SUM(M24:M38)</f>
        <v>0</v>
      </c>
      <c r="N39" s="37">
        <f t="shared" ref="N39" si="18">SUM(N24:N38)</f>
        <v>0</v>
      </c>
      <c r="O39" s="37">
        <f t="shared" ref="O39" si="19">SUM(O24:O38)</f>
        <v>0</v>
      </c>
      <c r="P39" s="37">
        <f t="shared" ref="P39" si="20">SUM(P24:P38)</f>
        <v>0</v>
      </c>
      <c r="Q39" s="37">
        <f t="shared" ref="Q39" si="21">SUM(Q24:Q38)</f>
        <v>0</v>
      </c>
      <c r="R39" s="37">
        <f t="shared" ref="R39" si="22">SUM(R24:R38)</f>
        <v>0</v>
      </c>
      <c r="S39" s="37">
        <f t="shared" ref="S39" si="23">SUM(S24:S38)</f>
        <v>0</v>
      </c>
      <c r="T39" s="37">
        <f t="shared" ref="T39" si="24">SUM(T24:T38)</f>
        <v>0</v>
      </c>
      <c r="U39" s="37">
        <f t="shared" ref="U39" si="25">SUM(U24:U38)</f>
        <v>0</v>
      </c>
      <c r="V39" s="37">
        <f t="shared" ref="V39" si="26">SUM(V24:V38)</f>
        <v>0</v>
      </c>
      <c r="W39" s="37">
        <f t="shared" ref="W39" si="27">SUM(W24:W38)</f>
        <v>0</v>
      </c>
      <c r="X39" s="38">
        <f t="shared" ref="X39" si="28">SUM(X24:X38)</f>
        <v>0</v>
      </c>
      <c r="Y39" s="36">
        <f t="shared" ref="Y39" si="29">SUM(Y24:Y38)</f>
        <v>0</v>
      </c>
      <c r="Z39" s="37">
        <f t="shared" ref="Z39" si="30">SUM(Z24:Z38)</f>
        <v>0</v>
      </c>
      <c r="AA39" s="37">
        <f t="shared" ref="AA39" si="31">SUM(AA24:AA38)</f>
        <v>0</v>
      </c>
      <c r="AB39" s="37">
        <f t="shared" ref="AB39" si="32">SUM(AB24:AB38)</f>
        <v>0</v>
      </c>
      <c r="AC39" s="37">
        <f t="shared" ref="AC39" si="33">SUM(AC24:AC38)</f>
        <v>0</v>
      </c>
      <c r="AD39" s="37">
        <f t="shared" ref="AD39" si="34">SUM(AD24:AD38)</f>
        <v>0</v>
      </c>
      <c r="AE39" s="37">
        <f t="shared" ref="AE39" si="35">SUM(AE24:AE38)</f>
        <v>0</v>
      </c>
      <c r="AF39" s="37">
        <f t="shared" ref="AF39" si="36">SUM(AF24:AF38)</f>
        <v>0</v>
      </c>
      <c r="AG39" s="37">
        <f t="shared" ref="AG39" si="37">SUM(AG24:AG38)</f>
        <v>0</v>
      </c>
      <c r="AH39" s="37">
        <f t="shared" ref="AH39" si="38">SUM(AH24:AH38)</f>
        <v>0</v>
      </c>
      <c r="AI39" s="37">
        <f t="shared" ref="AI39" si="39">SUM(AI24:AI38)</f>
        <v>0</v>
      </c>
      <c r="AJ39" s="38">
        <f t="shared" ref="AJ39" si="40">SUM(AJ24:AJ38)</f>
        <v>0</v>
      </c>
      <c r="AK39" s="36">
        <f t="shared" ref="AK39" si="41">SUM(AK24:AK38)</f>
        <v>0</v>
      </c>
      <c r="AL39" s="37">
        <f t="shared" ref="AL39" si="42">SUM(AL24:AL38)</f>
        <v>0</v>
      </c>
      <c r="AM39" s="37">
        <f t="shared" ref="AM39" si="43">SUM(AM24:AM38)</f>
        <v>0</v>
      </c>
      <c r="AN39" s="37">
        <f t="shared" ref="AN39" si="44">SUM(AN24:AN38)</f>
        <v>0</v>
      </c>
      <c r="AO39" s="37">
        <f t="shared" ref="AO39" si="45">SUM(AO24:AO38)</f>
        <v>0</v>
      </c>
      <c r="AP39" s="37">
        <f t="shared" ref="AP39" si="46">SUM(AP24:AP38)</f>
        <v>0</v>
      </c>
      <c r="AQ39" s="37">
        <f t="shared" ref="AQ39" si="47">SUM(AQ24:AQ38)</f>
        <v>0</v>
      </c>
      <c r="AR39" s="37">
        <f t="shared" ref="AR39" si="48">SUM(AR24:AR38)</f>
        <v>0</v>
      </c>
      <c r="AS39" s="37">
        <f t="shared" ref="AS39" si="49">SUM(AS24:AS38)</f>
        <v>0</v>
      </c>
      <c r="AT39" s="37">
        <f t="shared" ref="AT39" si="50">SUM(AT24:AT38)</f>
        <v>0</v>
      </c>
      <c r="AU39" s="37">
        <f t="shared" ref="AU39" si="51">SUM(AU24:AU38)</f>
        <v>0</v>
      </c>
      <c r="AV39" s="38">
        <f t="shared" ref="AV39" si="52">SUM(AV24:AV38)</f>
        <v>0</v>
      </c>
      <c r="AW39" s="36">
        <f t="shared" ref="AW39" si="53">SUM(AW24:AW38)</f>
        <v>0</v>
      </c>
      <c r="AX39" s="37">
        <f t="shared" ref="AX39" si="54">SUM(AX24:AX38)</f>
        <v>0</v>
      </c>
      <c r="AY39" s="37">
        <f t="shared" ref="AY39" si="55">SUM(AY24:AY38)</f>
        <v>0</v>
      </c>
      <c r="AZ39" s="37">
        <f t="shared" ref="AZ39" si="56">SUM(AZ24:AZ38)</f>
        <v>0</v>
      </c>
      <c r="BA39" s="37">
        <f t="shared" ref="BA39" si="57">SUM(BA24:BA38)</f>
        <v>0</v>
      </c>
      <c r="BB39" s="37">
        <f t="shared" ref="BB39" si="58">SUM(BB24:BB38)</f>
        <v>0</v>
      </c>
      <c r="BC39" s="37">
        <f t="shared" ref="BC39" si="59">SUM(BC24:BC38)</f>
        <v>0</v>
      </c>
      <c r="BD39" s="37">
        <f t="shared" ref="BD39" si="60">SUM(BD24:BD38)</f>
        <v>0</v>
      </c>
      <c r="BE39" s="37">
        <f t="shared" ref="BE39" si="61">SUM(BE24:BE38)</f>
        <v>0</v>
      </c>
      <c r="BF39" s="37">
        <f t="shared" ref="BF39" si="62">SUM(BF24:BF38)</f>
        <v>0</v>
      </c>
      <c r="BG39" s="37">
        <f t="shared" ref="BG39" si="63">SUM(BG24:BG38)</f>
        <v>0</v>
      </c>
      <c r="BH39" s="38">
        <f t="shared" ref="BH39" si="64">SUM(BH24:BH38)</f>
        <v>0</v>
      </c>
      <c r="BI39" s="36">
        <f t="shared" ref="BI39" si="65">SUM(BI24:BI38)</f>
        <v>0</v>
      </c>
      <c r="BJ39" s="37">
        <f t="shared" ref="BJ39" si="66">SUM(BJ24:BJ38)</f>
        <v>0</v>
      </c>
      <c r="BK39" s="38">
        <f t="shared" ref="BK39" si="67">SUM(BK24:BK38)</f>
        <v>0</v>
      </c>
    </row>
    <row r="40" spans="1:63" ht="15" thickBot="1">
      <c r="A40" s="397"/>
      <c r="B40" s="391" t="s">
        <v>66</v>
      </c>
      <c r="C40" s="392"/>
      <c r="D40" s="39">
        <f>D39</f>
        <v>0</v>
      </c>
      <c r="E40" s="40">
        <f>E39+D40</f>
        <v>0</v>
      </c>
      <c r="F40" s="40">
        <f t="shared" ref="F40" si="68">F39+E40</f>
        <v>0</v>
      </c>
      <c r="G40" s="40">
        <f t="shared" ref="G40" si="69">G39+F40</f>
        <v>0</v>
      </c>
      <c r="H40" s="40">
        <f t="shared" ref="H40" si="70">H39+G40</f>
        <v>0</v>
      </c>
      <c r="I40" s="40">
        <f t="shared" ref="I40" si="71">I39+H40</f>
        <v>0</v>
      </c>
      <c r="J40" s="40">
        <f t="shared" ref="J40" si="72">J39+I40</f>
        <v>0</v>
      </c>
      <c r="K40" s="40">
        <f t="shared" ref="K40" si="73">K39+J40</f>
        <v>0</v>
      </c>
      <c r="L40" s="41">
        <f t="shared" ref="L40" si="74">L39+K40</f>
        <v>0</v>
      </c>
      <c r="M40" s="39">
        <f t="shared" ref="M40" si="75">M39+L40</f>
        <v>0</v>
      </c>
      <c r="N40" s="40">
        <f t="shared" ref="N40" si="76">N39+M40</f>
        <v>0</v>
      </c>
      <c r="O40" s="40">
        <f t="shared" ref="O40" si="77">O39+N40</f>
        <v>0</v>
      </c>
      <c r="P40" s="40">
        <f t="shared" ref="P40" si="78">P39+O40</f>
        <v>0</v>
      </c>
      <c r="Q40" s="40">
        <f t="shared" ref="Q40" si="79">Q39+P40</f>
        <v>0</v>
      </c>
      <c r="R40" s="40">
        <f t="shared" ref="R40" si="80">R39+Q40</f>
        <v>0</v>
      </c>
      <c r="S40" s="40">
        <f t="shared" ref="S40" si="81">S39+R40</f>
        <v>0</v>
      </c>
      <c r="T40" s="40">
        <f t="shared" ref="T40" si="82">T39+S40</f>
        <v>0</v>
      </c>
      <c r="U40" s="40">
        <f t="shared" ref="U40" si="83">U39+T40</f>
        <v>0</v>
      </c>
      <c r="V40" s="40">
        <f t="shared" ref="V40" si="84">V39+U40</f>
        <v>0</v>
      </c>
      <c r="W40" s="40">
        <f t="shared" ref="W40" si="85">W39+V40</f>
        <v>0</v>
      </c>
      <c r="X40" s="41">
        <f t="shared" ref="X40" si="86">X39+W40</f>
        <v>0</v>
      </c>
      <c r="Y40" s="39">
        <f t="shared" ref="Y40" si="87">Y39+X40</f>
        <v>0</v>
      </c>
      <c r="Z40" s="40">
        <f t="shared" ref="Z40" si="88">Z39+Y40</f>
        <v>0</v>
      </c>
      <c r="AA40" s="40">
        <f t="shared" ref="AA40" si="89">AA39+Z40</f>
        <v>0</v>
      </c>
      <c r="AB40" s="40">
        <f t="shared" ref="AB40" si="90">AB39+AA40</f>
        <v>0</v>
      </c>
      <c r="AC40" s="40">
        <f t="shared" ref="AC40" si="91">AC39+AB40</f>
        <v>0</v>
      </c>
      <c r="AD40" s="40">
        <f t="shared" ref="AD40" si="92">AD39+AC40</f>
        <v>0</v>
      </c>
      <c r="AE40" s="40">
        <f t="shared" ref="AE40" si="93">AE39+AD40</f>
        <v>0</v>
      </c>
      <c r="AF40" s="40">
        <f t="shared" ref="AF40" si="94">AF39+AE40</f>
        <v>0</v>
      </c>
      <c r="AG40" s="40">
        <f t="shared" ref="AG40" si="95">AG39+AF40</f>
        <v>0</v>
      </c>
      <c r="AH40" s="40">
        <f t="shared" ref="AH40" si="96">AH39+AG40</f>
        <v>0</v>
      </c>
      <c r="AI40" s="40">
        <f t="shared" ref="AI40" si="97">AI39+AH40</f>
        <v>0</v>
      </c>
      <c r="AJ40" s="41">
        <f t="shared" ref="AJ40" si="98">AJ39+AI40</f>
        <v>0</v>
      </c>
      <c r="AK40" s="39">
        <f t="shared" ref="AK40" si="99">AK39+AJ40</f>
        <v>0</v>
      </c>
      <c r="AL40" s="40">
        <f t="shared" ref="AL40" si="100">AL39+AK40</f>
        <v>0</v>
      </c>
      <c r="AM40" s="40">
        <f t="shared" ref="AM40" si="101">AM39+AL40</f>
        <v>0</v>
      </c>
      <c r="AN40" s="40">
        <f t="shared" ref="AN40" si="102">AN39+AM40</f>
        <v>0</v>
      </c>
      <c r="AO40" s="40">
        <f t="shared" ref="AO40" si="103">AO39+AN40</f>
        <v>0</v>
      </c>
      <c r="AP40" s="40">
        <f t="shared" ref="AP40" si="104">AP39+AO40</f>
        <v>0</v>
      </c>
      <c r="AQ40" s="40">
        <f t="shared" ref="AQ40" si="105">AQ39+AP40</f>
        <v>0</v>
      </c>
      <c r="AR40" s="40">
        <f t="shared" ref="AR40" si="106">AR39+AQ40</f>
        <v>0</v>
      </c>
      <c r="AS40" s="40">
        <f t="shared" ref="AS40" si="107">AS39+AR40</f>
        <v>0</v>
      </c>
      <c r="AT40" s="40">
        <f t="shared" ref="AT40" si="108">AT39+AS40</f>
        <v>0</v>
      </c>
      <c r="AU40" s="40">
        <f t="shared" ref="AU40" si="109">AU39+AT40</f>
        <v>0</v>
      </c>
      <c r="AV40" s="41">
        <f t="shared" ref="AV40" si="110">AV39+AU40</f>
        <v>0</v>
      </c>
      <c r="AW40" s="39">
        <f t="shared" ref="AW40" si="111">AW39+AV40</f>
        <v>0</v>
      </c>
      <c r="AX40" s="40">
        <f t="shared" ref="AX40" si="112">AX39+AW40</f>
        <v>0</v>
      </c>
      <c r="AY40" s="40">
        <f t="shared" ref="AY40" si="113">AY39+AX40</f>
        <v>0</v>
      </c>
      <c r="AZ40" s="40">
        <f t="shared" ref="AZ40" si="114">AZ39+AY40</f>
        <v>0</v>
      </c>
      <c r="BA40" s="40">
        <f t="shared" ref="BA40" si="115">BA39+AZ40</f>
        <v>0</v>
      </c>
      <c r="BB40" s="40">
        <f t="shared" ref="BB40" si="116">BB39+BA40</f>
        <v>0</v>
      </c>
      <c r="BC40" s="40">
        <f t="shared" ref="BC40" si="117">BC39+BB40</f>
        <v>0</v>
      </c>
      <c r="BD40" s="40">
        <f t="shared" ref="BD40" si="118">BD39+BC40</f>
        <v>0</v>
      </c>
      <c r="BE40" s="40">
        <f t="shared" ref="BE40" si="119">BE39+BD40</f>
        <v>0</v>
      </c>
      <c r="BF40" s="40">
        <f t="shared" ref="BF40" si="120">BF39+BE40</f>
        <v>0</v>
      </c>
      <c r="BG40" s="40">
        <f t="shared" ref="BG40" si="121">BG39+BF40</f>
        <v>0</v>
      </c>
      <c r="BH40" s="41">
        <f t="shared" ref="BH40" si="122">BH39+BG40</f>
        <v>0</v>
      </c>
      <c r="BI40" s="39">
        <f t="shared" ref="BI40" si="123">BI39+BH40</f>
        <v>0</v>
      </c>
      <c r="BJ40" s="40">
        <f t="shared" ref="BJ40" si="124">BJ39+BI40</f>
        <v>0</v>
      </c>
      <c r="BK40" s="41">
        <f t="shared" ref="BK40" si="125">BK39+BJ40</f>
        <v>0</v>
      </c>
    </row>
    <row r="41" spans="1:63" ht="15" thickBot="1">
      <c r="A41" s="397"/>
      <c r="B41" s="391" t="s">
        <v>67</v>
      </c>
      <c r="C41" s="392"/>
      <c r="D41" s="43"/>
      <c r="E41" s="44"/>
      <c r="F41" s="44"/>
      <c r="G41" s="44"/>
      <c r="H41" s="44"/>
      <c r="I41" s="44"/>
      <c r="J41" s="44"/>
      <c r="K41" s="44"/>
      <c r="L41" s="42">
        <f>SUM(D39:L39)</f>
        <v>0</v>
      </c>
      <c r="M41" s="44"/>
      <c r="N41" s="44"/>
      <c r="O41" s="44"/>
      <c r="P41" s="44"/>
      <c r="Q41" s="44"/>
      <c r="R41" s="44"/>
      <c r="S41" s="44"/>
      <c r="T41" s="44"/>
      <c r="U41" s="44"/>
      <c r="V41" s="44"/>
      <c r="W41" s="44"/>
      <c r="X41" s="42">
        <f>SUM(M39:X39)</f>
        <v>0</v>
      </c>
      <c r="Y41" s="44"/>
      <c r="Z41" s="44"/>
      <c r="AA41" s="44"/>
      <c r="AB41" s="44"/>
      <c r="AC41" s="44"/>
      <c r="AD41" s="44"/>
      <c r="AE41" s="44"/>
      <c r="AF41" s="44"/>
      <c r="AG41" s="44"/>
      <c r="AH41" s="44"/>
      <c r="AI41" s="44"/>
      <c r="AJ41" s="42">
        <f>SUM(Y39:AJ39)</f>
        <v>0</v>
      </c>
      <c r="AK41" s="44"/>
      <c r="AL41" s="44"/>
      <c r="AM41" s="44"/>
      <c r="AN41" s="44"/>
      <c r="AO41" s="44"/>
      <c r="AP41" s="44"/>
      <c r="AQ41" s="44"/>
      <c r="AR41" s="44"/>
      <c r="AS41" s="44"/>
      <c r="AT41" s="44"/>
      <c r="AU41" s="44"/>
      <c r="AV41" s="42">
        <f>SUM(AK39:AV39)</f>
        <v>0</v>
      </c>
      <c r="AW41" s="44"/>
      <c r="AX41" s="44"/>
      <c r="AY41" s="44"/>
      <c r="AZ41" s="44"/>
      <c r="BA41" s="44"/>
      <c r="BB41" s="44"/>
      <c r="BC41" s="44"/>
      <c r="BD41" s="44"/>
      <c r="BE41" s="44"/>
      <c r="BF41" s="44"/>
      <c r="BG41" s="44"/>
      <c r="BH41" s="42">
        <f>SUM(AW39:BH39)</f>
        <v>0</v>
      </c>
      <c r="BI41" s="44"/>
      <c r="BJ41" s="44"/>
      <c r="BK41" s="42">
        <f>SUM(BI39:BK39)</f>
        <v>0</v>
      </c>
    </row>
    <row r="42" spans="1:63">
      <c r="A42" s="397"/>
      <c r="B42" s="391" t="s">
        <v>70</v>
      </c>
      <c r="C42" s="392"/>
      <c r="D42" s="45">
        <f>D39-D17</f>
        <v>0</v>
      </c>
      <c r="E42" s="46">
        <f t="shared" ref="E42:BK42" si="126">E39-E17</f>
        <v>0</v>
      </c>
      <c r="F42" s="46">
        <f t="shared" si="126"/>
        <v>0</v>
      </c>
      <c r="G42" s="46">
        <f t="shared" si="126"/>
        <v>0</v>
      </c>
      <c r="H42" s="46">
        <f t="shared" si="126"/>
        <v>0</v>
      </c>
      <c r="I42" s="46">
        <f t="shared" si="126"/>
        <v>0</v>
      </c>
      <c r="J42" s="46">
        <f t="shared" si="126"/>
        <v>0</v>
      </c>
      <c r="K42" s="46">
        <f t="shared" si="126"/>
        <v>0</v>
      </c>
      <c r="L42" s="46">
        <f t="shared" si="126"/>
        <v>0</v>
      </c>
      <c r="M42" s="46">
        <f t="shared" si="126"/>
        <v>0</v>
      </c>
      <c r="N42" s="46">
        <f t="shared" si="126"/>
        <v>0</v>
      </c>
      <c r="O42" s="46">
        <f t="shared" si="126"/>
        <v>0</v>
      </c>
      <c r="P42" s="46">
        <f t="shared" si="126"/>
        <v>0</v>
      </c>
      <c r="Q42" s="46">
        <f t="shared" si="126"/>
        <v>0</v>
      </c>
      <c r="R42" s="46">
        <f t="shared" si="126"/>
        <v>0</v>
      </c>
      <c r="S42" s="46">
        <f t="shared" si="126"/>
        <v>0</v>
      </c>
      <c r="T42" s="46">
        <f t="shared" si="126"/>
        <v>0</v>
      </c>
      <c r="U42" s="46">
        <f t="shared" si="126"/>
        <v>0</v>
      </c>
      <c r="V42" s="46">
        <f t="shared" si="126"/>
        <v>0</v>
      </c>
      <c r="W42" s="46">
        <f t="shared" si="126"/>
        <v>0</v>
      </c>
      <c r="X42" s="46">
        <f t="shared" si="126"/>
        <v>0</v>
      </c>
      <c r="Y42" s="46">
        <f t="shared" si="126"/>
        <v>0</v>
      </c>
      <c r="Z42" s="46">
        <f t="shared" si="126"/>
        <v>0</v>
      </c>
      <c r="AA42" s="46">
        <f t="shared" si="126"/>
        <v>0</v>
      </c>
      <c r="AB42" s="46">
        <f t="shared" si="126"/>
        <v>0</v>
      </c>
      <c r="AC42" s="46">
        <f t="shared" si="126"/>
        <v>0</v>
      </c>
      <c r="AD42" s="46">
        <f t="shared" si="126"/>
        <v>0</v>
      </c>
      <c r="AE42" s="46">
        <f t="shared" si="126"/>
        <v>0</v>
      </c>
      <c r="AF42" s="46">
        <f t="shared" si="126"/>
        <v>0</v>
      </c>
      <c r="AG42" s="46">
        <f t="shared" si="126"/>
        <v>0</v>
      </c>
      <c r="AH42" s="46">
        <f t="shared" si="126"/>
        <v>0</v>
      </c>
      <c r="AI42" s="46">
        <f t="shared" si="126"/>
        <v>0</v>
      </c>
      <c r="AJ42" s="46">
        <f t="shared" si="126"/>
        <v>0</v>
      </c>
      <c r="AK42" s="46">
        <f t="shared" si="126"/>
        <v>0</v>
      </c>
      <c r="AL42" s="46">
        <f t="shared" si="126"/>
        <v>0</v>
      </c>
      <c r="AM42" s="46">
        <f t="shared" si="126"/>
        <v>0</v>
      </c>
      <c r="AN42" s="46">
        <f t="shared" si="126"/>
        <v>0</v>
      </c>
      <c r="AO42" s="46">
        <f t="shared" si="126"/>
        <v>0</v>
      </c>
      <c r="AP42" s="46">
        <f t="shared" si="126"/>
        <v>0</v>
      </c>
      <c r="AQ42" s="46">
        <f t="shared" si="126"/>
        <v>0</v>
      </c>
      <c r="AR42" s="46">
        <f t="shared" si="126"/>
        <v>0</v>
      </c>
      <c r="AS42" s="46">
        <f t="shared" si="126"/>
        <v>0</v>
      </c>
      <c r="AT42" s="46">
        <f t="shared" si="126"/>
        <v>0</v>
      </c>
      <c r="AU42" s="46">
        <f t="shared" si="126"/>
        <v>0</v>
      </c>
      <c r="AV42" s="46">
        <f t="shared" si="126"/>
        <v>0</v>
      </c>
      <c r="AW42" s="46">
        <f t="shared" si="126"/>
        <v>0</v>
      </c>
      <c r="AX42" s="46">
        <f t="shared" si="126"/>
        <v>0</v>
      </c>
      <c r="AY42" s="46">
        <f t="shared" si="126"/>
        <v>0</v>
      </c>
      <c r="AZ42" s="46">
        <f t="shared" si="126"/>
        <v>0</v>
      </c>
      <c r="BA42" s="46">
        <f t="shared" si="126"/>
        <v>0</v>
      </c>
      <c r="BB42" s="46">
        <f t="shared" si="126"/>
        <v>0</v>
      </c>
      <c r="BC42" s="46">
        <f t="shared" si="126"/>
        <v>0</v>
      </c>
      <c r="BD42" s="46">
        <f t="shared" si="126"/>
        <v>0</v>
      </c>
      <c r="BE42" s="46">
        <f t="shared" si="126"/>
        <v>0</v>
      </c>
      <c r="BF42" s="46">
        <f t="shared" si="126"/>
        <v>0</v>
      </c>
      <c r="BG42" s="46">
        <f t="shared" si="126"/>
        <v>0</v>
      </c>
      <c r="BH42" s="46">
        <f t="shared" si="126"/>
        <v>0</v>
      </c>
      <c r="BI42" s="46">
        <f t="shared" si="126"/>
        <v>0</v>
      </c>
      <c r="BJ42" s="46">
        <f t="shared" si="126"/>
        <v>0</v>
      </c>
      <c r="BK42" s="47">
        <f t="shared" si="126"/>
        <v>0</v>
      </c>
    </row>
    <row r="43" spans="1:63" ht="15" thickBot="1">
      <c r="A43" s="398"/>
      <c r="B43" s="399" t="s">
        <v>71</v>
      </c>
      <c r="C43" s="400"/>
      <c r="D43" s="48">
        <f>D42</f>
        <v>0</v>
      </c>
      <c r="E43" s="49">
        <f>E42+D43</f>
        <v>0</v>
      </c>
      <c r="F43" s="49">
        <f t="shared" ref="F43:BK43" si="127">F42+E43</f>
        <v>0</v>
      </c>
      <c r="G43" s="49">
        <f t="shared" si="127"/>
        <v>0</v>
      </c>
      <c r="H43" s="49">
        <f t="shared" si="127"/>
        <v>0</v>
      </c>
      <c r="I43" s="49">
        <f t="shared" si="127"/>
        <v>0</v>
      </c>
      <c r="J43" s="49">
        <f t="shared" si="127"/>
        <v>0</v>
      </c>
      <c r="K43" s="49">
        <f t="shared" si="127"/>
        <v>0</v>
      </c>
      <c r="L43" s="49">
        <f t="shared" si="127"/>
        <v>0</v>
      </c>
      <c r="M43" s="49">
        <f t="shared" si="127"/>
        <v>0</v>
      </c>
      <c r="N43" s="49">
        <f t="shared" si="127"/>
        <v>0</v>
      </c>
      <c r="O43" s="49">
        <f t="shared" si="127"/>
        <v>0</v>
      </c>
      <c r="P43" s="49">
        <f t="shared" si="127"/>
        <v>0</v>
      </c>
      <c r="Q43" s="49">
        <f t="shared" si="127"/>
        <v>0</v>
      </c>
      <c r="R43" s="49">
        <f t="shared" si="127"/>
        <v>0</v>
      </c>
      <c r="S43" s="49">
        <f t="shared" si="127"/>
        <v>0</v>
      </c>
      <c r="T43" s="49">
        <f t="shared" si="127"/>
        <v>0</v>
      </c>
      <c r="U43" s="49">
        <f t="shared" si="127"/>
        <v>0</v>
      </c>
      <c r="V43" s="49">
        <f t="shared" si="127"/>
        <v>0</v>
      </c>
      <c r="W43" s="49">
        <f t="shared" si="127"/>
        <v>0</v>
      </c>
      <c r="X43" s="49">
        <f t="shared" si="127"/>
        <v>0</v>
      </c>
      <c r="Y43" s="49">
        <f t="shared" si="127"/>
        <v>0</v>
      </c>
      <c r="Z43" s="49">
        <f t="shared" si="127"/>
        <v>0</v>
      </c>
      <c r="AA43" s="49">
        <f t="shared" si="127"/>
        <v>0</v>
      </c>
      <c r="AB43" s="49">
        <f t="shared" si="127"/>
        <v>0</v>
      </c>
      <c r="AC43" s="49">
        <f t="shared" si="127"/>
        <v>0</v>
      </c>
      <c r="AD43" s="49">
        <f t="shared" si="127"/>
        <v>0</v>
      </c>
      <c r="AE43" s="49">
        <f t="shared" si="127"/>
        <v>0</v>
      </c>
      <c r="AF43" s="49">
        <f t="shared" si="127"/>
        <v>0</v>
      </c>
      <c r="AG43" s="49">
        <f t="shared" si="127"/>
        <v>0</v>
      </c>
      <c r="AH43" s="49">
        <f t="shared" si="127"/>
        <v>0</v>
      </c>
      <c r="AI43" s="49">
        <f t="shared" si="127"/>
        <v>0</v>
      </c>
      <c r="AJ43" s="49">
        <f t="shared" si="127"/>
        <v>0</v>
      </c>
      <c r="AK43" s="49">
        <f t="shared" si="127"/>
        <v>0</v>
      </c>
      <c r="AL43" s="49">
        <f t="shared" si="127"/>
        <v>0</v>
      </c>
      <c r="AM43" s="49">
        <f t="shared" si="127"/>
        <v>0</v>
      </c>
      <c r="AN43" s="49">
        <f t="shared" si="127"/>
        <v>0</v>
      </c>
      <c r="AO43" s="49">
        <f t="shared" si="127"/>
        <v>0</v>
      </c>
      <c r="AP43" s="49">
        <f t="shared" si="127"/>
        <v>0</v>
      </c>
      <c r="AQ43" s="49">
        <f t="shared" si="127"/>
        <v>0</v>
      </c>
      <c r="AR43" s="49">
        <f t="shared" si="127"/>
        <v>0</v>
      </c>
      <c r="AS43" s="49">
        <f t="shared" si="127"/>
        <v>0</v>
      </c>
      <c r="AT43" s="49">
        <f t="shared" si="127"/>
        <v>0</v>
      </c>
      <c r="AU43" s="49">
        <f t="shared" si="127"/>
        <v>0</v>
      </c>
      <c r="AV43" s="49">
        <f t="shared" si="127"/>
        <v>0</v>
      </c>
      <c r="AW43" s="49">
        <f t="shared" si="127"/>
        <v>0</v>
      </c>
      <c r="AX43" s="49">
        <f t="shared" si="127"/>
        <v>0</v>
      </c>
      <c r="AY43" s="49">
        <f t="shared" si="127"/>
        <v>0</v>
      </c>
      <c r="AZ43" s="49">
        <f t="shared" si="127"/>
        <v>0</v>
      </c>
      <c r="BA43" s="49">
        <f t="shared" si="127"/>
        <v>0</v>
      </c>
      <c r="BB43" s="49">
        <f t="shared" si="127"/>
        <v>0</v>
      </c>
      <c r="BC43" s="49">
        <f t="shared" si="127"/>
        <v>0</v>
      </c>
      <c r="BD43" s="49">
        <f t="shared" si="127"/>
        <v>0</v>
      </c>
      <c r="BE43" s="49">
        <f t="shared" si="127"/>
        <v>0</v>
      </c>
      <c r="BF43" s="49">
        <f t="shared" si="127"/>
        <v>0</v>
      </c>
      <c r="BG43" s="49">
        <f t="shared" si="127"/>
        <v>0</v>
      </c>
      <c r="BH43" s="49">
        <f t="shared" si="127"/>
        <v>0</v>
      </c>
      <c r="BI43" s="49">
        <f t="shared" si="127"/>
        <v>0</v>
      </c>
      <c r="BJ43" s="49">
        <f t="shared" si="127"/>
        <v>0</v>
      </c>
      <c r="BK43" s="50">
        <f t="shared" si="127"/>
        <v>0</v>
      </c>
    </row>
  </sheetData>
  <mergeCells count="23">
    <mergeCell ref="A1:K1"/>
    <mergeCell ref="A22:A43"/>
    <mergeCell ref="BI4:BK4"/>
    <mergeCell ref="B17:C17"/>
    <mergeCell ref="B18:C18"/>
    <mergeCell ref="B19:C19"/>
    <mergeCell ref="A4:A19"/>
    <mergeCell ref="D4:L4"/>
    <mergeCell ref="M4:X4"/>
    <mergeCell ref="Y4:AJ4"/>
    <mergeCell ref="AK4:AV4"/>
    <mergeCell ref="AW4:BH4"/>
    <mergeCell ref="B43:C43"/>
    <mergeCell ref="D22:L22"/>
    <mergeCell ref="M22:X22"/>
    <mergeCell ref="Y22:AJ22"/>
    <mergeCell ref="B42:C42"/>
    <mergeCell ref="AW22:BH22"/>
    <mergeCell ref="AK22:AV22"/>
    <mergeCell ref="BI22:BK22"/>
    <mergeCell ref="B39:C39"/>
    <mergeCell ref="B40:C40"/>
    <mergeCell ref="B41:C4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86C0A-3136-4498-8523-F7F85DB7DB17}">
  <dimension ref="A1:H3"/>
  <sheetViews>
    <sheetView workbookViewId="0">
      <selection activeCell="B6" sqref="B6"/>
    </sheetView>
  </sheetViews>
  <sheetFormatPr defaultRowHeight="14.25"/>
  <cols>
    <col min="2" max="2" width="12.875" customWidth="1"/>
    <col min="3" max="3" width="12.125" customWidth="1"/>
    <col min="4" max="4" width="17.75" customWidth="1"/>
    <col min="5" max="5" width="12.375" customWidth="1"/>
  </cols>
  <sheetData>
    <row r="1" spans="1:8" ht="68.25" customHeight="1">
      <c r="A1" s="316" t="s">
        <v>185</v>
      </c>
      <c r="B1" s="316"/>
      <c r="C1" s="316"/>
      <c r="D1" s="316"/>
      <c r="E1" s="316"/>
      <c r="F1" s="316"/>
      <c r="G1" s="316"/>
      <c r="H1" s="316"/>
    </row>
    <row r="3" spans="1:8">
      <c r="A3" t="s">
        <v>115</v>
      </c>
      <c r="B3" t="s">
        <v>205</v>
      </c>
      <c r="C3" t="s">
        <v>133</v>
      </c>
      <c r="D3" t="s">
        <v>204</v>
      </c>
    </row>
  </sheetData>
  <mergeCells count="1">
    <mergeCell ref="A1:H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ECFDocument" ma:contentTypeID="0x010100134BE24969401E49A1EFD9AE3BC7291F00D54CCDF4F2740A44B6C16703B11A3A41" ma:contentTypeVersion="5" ma:contentTypeDescription="Create a new document." ma:contentTypeScope="" ma:versionID="895a48002c4e762846f2b0afc01e7817">
  <xsd:schema xmlns:xsd="http://www.w3.org/2001/XMLSchema" xmlns:xs="http://www.w3.org/2001/XMLSchema" xmlns:p="http://schemas.microsoft.com/office/2006/metadata/properties" xmlns:ns1="http://schemas.microsoft.com/sharepoint/v3" xmlns:ns2="fe0918c4-c1e1-488e-9cbd-d560f0ca98ac" xmlns:ns3="a56ce7e7-afda-48d2-b1ae-fcfd809ceb8e" xmlns:ns4="bac4e3eb-747f-43bc-bf10-c1bbb893ecac" targetNamespace="http://schemas.microsoft.com/office/2006/metadata/properties" ma:root="true" ma:fieldsID="e7ac387c0b0afe314198ab608be42dad" ns1:_="" ns2:_="" ns3:_="" ns4:_="">
    <xsd:import namespace="http://schemas.microsoft.com/sharepoint/v3"/>
    <xsd:import namespace="fe0918c4-c1e1-488e-9cbd-d560f0ca98ac"/>
    <xsd:import namespace="a56ce7e7-afda-48d2-b1ae-fcfd809ceb8e"/>
    <xsd:import namespace="bac4e3eb-747f-43bc-bf10-c1bbb893ecac"/>
    <xsd:element name="properties">
      <xsd:complexType>
        <xsd:sequence>
          <xsd:element name="documentManagement">
            <xsd:complexType>
              <xsd:all>
                <xsd:element ref="ns2:ECFActionID" minOccurs="0"/>
                <xsd:element ref="ns2:ECFActionParentID" minOccurs="0"/>
                <xsd:element ref="ns2:ECFActionName" minOccurs="0"/>
                <xsd:element ref="ns2:ECFActionNumber" minOccurs="0"/>
                <xsd:element ref="ns2:ECFActionDescription" minOccurs="0"/>
                <xsd:element ref="ns2:ECFActionCreateDate" minOccurs="0"/>
                <xsd:element ref="ns2:ECFActionOfficeID" minOccurs="0"/>
                <xsd:element ref="ns2:ECFActionPrimaryBuyer" minOccurs="0"/>
                <xsd:element ref="ns2:ECFActionBuyers" minOccurs="0"/>
                <xsd:element ref="ns2:ECFActionPrimaryCO" minOccurs="0"/>
                <xsd:element ref="ns2:ECFActionCOs" minOccurs="0"/>
                <xsd:element ref="ns2:ECFActionPrimaryCloseOutCO" minOccurs="0"/>
                <xsd:element ref="ns2:ECFActionPrimaryCloseOutBuyer" minOccurs="0"/>
                <xsd:element ref="ns2:ECFActionIsPartitioned" minOccurs="0"/>
                <xsd:element ref="ns2:ECFActionStatus" minOccurs="0"/>
                <xsd:element ref="ns2:ECFActionPurchaseReqNumbers" minOccurs="0"/>
                <xsd:element ref="ns2:ECFActionSolicitationNumber" minOccurs="0"/>
                <xsd:element ref="ns2:ECFApplicationVersion" minOccurs="0"/>
                <xsd:element ref="ns2:ECFApplicationEnvironment" minOccurs="0"/>
                <xsd:element ref="ns1:_vti_ItemDeclaredRecord" minOccurs="0"/>
                <xsd:element ref="ns1:_vti_ItemHoldRecordStatus" minOccurs="0"/>
                <xsd:element ref="ns2:_dlc_DocId" minOccurs="0"/>
                <xsd:element ref="ns2:_dlc_DocIdUrl" minOccurs="0"/>
                <xsd:element ref="ns2:_dlc_DocIdPersistId" minOccurs="0"/>
                <xsd:element ref="ns3: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vti_ItemDeclaredRecord" ma:index="27" nillable="true" ma:displayName="Declared Record" ma:hidden="true" ma:internalName="_vti_ItemDeclaredRecord" ma:readOnly="true">
      <xsd:simpleType>
        <xsd:restriction base="dms:DateTime"/>
      </xsd:simpleType>
    </xsd:element>
    <xsd:element name="_vti_ItemHoldRecordStatus" ma:index="28" nillable="true" ma:displayName="Hold and Record Status" ma:decimals="0" ma:hidden="true" ma:internalName="_vti_ItemHoldRecordStatu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e0918c4-c1e1-488e-9cbd-d560f0ca98ac" elementFormDefault="qualified">
    <xsd:import namespace="http://schemas.microsoft.com/office/2006/documentManagement/types"/>
    <xsd:import namespace="http://schemas.microsoft.com/office/infopath/2007/PartnerControls"/>
    <xsd:element name="ECFActionID" ma:index="8" nillable="true" ma:displayName="Action ID" ma:decimals="0" ma:indexed="true" ma:internalName="ECFActionID">
      <xsd:simpleType>
        <xsd:restriction base="dms:Number"/>
      </xsd:simpleType>
    </xsd:element>
    <xsd:element name="ECFActionParentID" ma:index="9" nillable="true" ma:displayName="Parent Action ID" ma:decimals="0" ma:indexed="true" ma:internalName="ECFActionParentID">
      <xsd:simpleType>
        <xsd:restriction base="dms:Number"/>
      </xsd:simpleType>
    </xsd:element>
    <xsd:element name="ECFActionName" ma:index="10" nillable="true" ma:displayName="Action Name" ma:internalName="ECFActionName">
      <xsd:simpleType>
        <xsd:restriction base="dms:Text"/>
      </xsd:simpleType>
    </xsd:element>
    <xsd:element name="ECFActionNumber" ma:index="11" nillable="true" ma:displayName="Action Number" ma:internalName="ECFActionNumber">
      <xsd:simpleType>
        <xsd:restriction base="dms:Text"/>
      </xsd:simpleType>
    </xsd:element>
    <xsd:element name="ECFActionDescription" ma:index="12" nillable="true" ma:displayName="Action Description" ma:internalName="ECFActionDescription">
      <xsd:simpleType>
        <xsd:restriction base="dms:Note">
          <xsd:maxLength value="255"/>
        </xsd:restriction>
      </xsd:simpleType>
    </xsd:element>
    <xsd:element name="ECFActionCreateDate" ma:index="13" nillable="true" ma:displayName="Action CreateDate" ma:format="DateTime" ma:internalName="ECFActionCreateDate">
      <xsd:simpleType>
        <xsd:restriction base="dms:DateTime"/>
      </xsd:simpleType>
    </xsd:element>
    <xsd:element name="ECFActionOfficeID" ma:index="14" nillable="true" ma:displayName="Action Administration Office" ma:decimals="0" ma:internalName="ECFActionOfficeID">
      <xsd:simpleType>
        <xsd:restriction base="dms:Number"/>
      </xsd:simpleType>
    </xsd:element>
    <xsd:element name="ECFActionPrimaryBuyer" ma:index="15" nillable="true" ma:displayName="Primary Buyer" ma:description="Primary Buyer" ma:SharePointGroup="0" ma:internalName="ECFActionPrimaryBuy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Buyers" ma:index="16" nillable="true" ma:displayName="Buyers" ma:description="Buyers" ma:SharePointGroup="0" ma:internalName="ECFActionBuy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PrimaryCO" ma:index="17" nillable="true" ma:displayName="Primary Contracting Officer" ma:description="Primary Contracting Officer" ma:SharePointGroup="0" ma:internalName="ECFActionPrimaryCO">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COs" ma:index="18" nillable="true" ma:displayName="Contracting Officers" ma:description="Contracting Officers" ma:SharePointGroup="0" ma:internalName="ECFActionCO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PrimaryCloseOutCO" ma:index="19" nillable="true" ma:displayName="Primary Close-Out Contracting Officer" ma:description="Primary Close-Out Contracting Officer" ma:SharePointGroup="0" ma:internalName="ECFActionPrimaryCloseOutCO">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PrimaryCloseOutBuyer" ma:index="20" nillable="true" ma:displayName="Primary Close-Out Buyer" ma:description="Primary Close-Out Buyer" ma:SharePointGroup="0" ma:internalName="ECFActionPrimaryCloseOutBuy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IsPartitioned" ma:index="21" nillable="true" ma:displayName="Action Is Partitioned" ma:internalName="ECFActionIsPartitioned">
      <xsd:simpleType>
        <xsd:restriction base="dms:Boolean"/>
      </xsd:simpleType>
    </xsd:element>
    <xsd:element name="ECFActionStatus" ma:index="22" nillable="true" ma:displayName="Action Current Status" ma:description="Current Status of the Action" ma:internalName="ECFActionStatus">
      <xsd:simpleType>
        <xsd:restriction base="dms:Text"/>
      </xsd:simpleType>
    </xsd:element>
    <xsd:element name="ECFActionPurchaseReqNumbers" ma:index="23" nillable="true" ma:displayName="Purchase Requirement Numbers" ma:internalName="ECFActionPurchaseReqNumbers">
      <xsd:simpleType>
        <xsd:restriction base="dms:Text"/>
      </xsd:simpleType>
    </xsd:element>
    <xsd:element name="ECFActionSolicitationNumber" ma:index="24" nillable="true" ma:displayName="Solicitation Numbers" ma:internalName="ECFActionSolicitationNumber">
      <xsd:simpleType>
        <xsd:restriction base="dms:Text"/>
      </xsd:simpleType>
    </xsd:element>
    <xsd:element name="ECFApplicationVersion" ma:index="25" nillable="true" ma:displayName="Application Version" ma:default="5.0.0" ma:internalName="ECFApplicationVersion">
      <xsd:simpleType>
        <xsd:restriction base="dms:Text"/>
      </xsd:simpleType>
    </xsd:element>
    <xsd:element name="ECFApplicationEnvironment" ma:index="26" nillable="true" ma:displayName="Application Environment" ma:default="VanaQA" ma:internalName="ECFApplicationEnvironment">
      <xsd:simpleType>
        <xsd:restriction base="dms:Text"/>
      </xsd:simpleType>
    </xsd:element>
    <xsd:element name="_dlc_DocId" ma:index="29" nillable="true" ma:displayName="Document ID Value" ma:description="The value of the document ID assigned to this item." ma:indexed="true" ma:internalName="_dlc_DocId" ma:readOnly="true">
      <xsd:simpleType>
        <xsd:restriction base="dms:Text"/>
      </xsd:simpleType>
    </xsd:element>
    <xsd:element name="_dlc_DocIdUrl" ma:index="3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1"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a56ce7e7-afda-48d2-b1ae-fcfd809ceb8e" elementFormDefault="qualified">
    <xsd:import namespace="http://schemas.microsoft.com/office/2006/documentManagement/types"/>
    <xsd:import namespace="http://schemas.microsoft.com/office/infopath/2007/PartnerControls"/>
    <xsd:element name="lcf76f155ced4ddcb4097134ff3c332f" ma:index="32" nillable="true" ma:displayName="Image Tags_0" ma:hidden="true" ma:internalName="lcf76f155ced4ddcb4097134ff3c332f">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c4e3eb-747f-43bc-bf10-c1bbb893ecac" elementFormDefault="qualified">
    <xsd:import namespace="http://schemas.microsoft.com/office/2006/documentManagement/types"/>
    <xsd:import namespace="http://schemas.microsoft.com/office/infopath/2007/PartnerControls"/>
    <xsd:element name="TaxCatchAll" ma:index="33" nillable="true" ma:displayName="Taxonomy Catch All Column" ma:hidden="true" ma:list="{528b5efd-2f4b-45f6-b30b-3acab17d0461}" ma:internalName="TaxCatchAll" ma:showField="CatchAllData" ma:web="fe0918c4-c1e1-488e-9cbd-d560f0ca98a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fe0918c4-c1e1-488e-9cbd-d560f0ca98ac">A2YK5ZS3VKAU-918709499-192</_dlc_DocId>
    <_dlc_DocIdUrl xmlns="fe0918c4-c1e1-488e-9cbd-d560f0ca98ac">
      <Url>https://usaf.dps.mil/teams/KTFSO0092/1034680/_layouts/15/DocIdRedir.aspx?ID=A2YK5ZS3VKAU-918709499-192</Url>
      <Description>A2YK5ZS3VKAU-918709499-192</Description>
    </_dlc_DocIdUrl>
    <ECFActionID xmlns="fe0918c4-c1e1-488e-9cbd-d560f0ca98ac" xsi:nil="true"/>
    <ECFActionParentID xmlns="fe0918c4-c1e1-488e-9cbd-d560f0ca98ac" xsi:nil="true"/>
    <ECFActionName xmlns="fe0918c4-c1e1-488e-9cbd-d560f0ca98ac" xsi:nil="true"/>
    <ECFActionSolicitationNumber xmlns="fe0918c4-c1e1-488e-9cbd-d560f0ca98ac" xsi:nil="true"/>
    <ECFActionPrimaryCloseOutCO xmlns="fe0918c4-c1e1-488e-9cbd-d560f0ca98ac">
      <UserInfo>
        <DisplayName/>
        <AccountId xsi:nil="true"/>
        <AccountType/>
      </UserInfo>
    </ECFActionPrimaryCloseOutCO>
    <ECFActionCOs xmlns="fe0918c4-c1e1-488e-9cbd-d560f0ca98ac">
      <UserInfo>
        <DisplayName/>
        <AccountId xsi:nil="true"/>
        <AccountType/>
      </UserInfo>
    </ECFActionCOs>
    <ECFActionBuyers xmlns="fe0918c4-c1e1-488e-9cbd-d560f0ca98ac">
      <UserInfo>
        <DisplayName/>
        <AccountId xsi:nil="true"/>
        <AccountType/>
      </UserInfo>
    </ECFActionBuyers>
    <ECFActionDescription xmlns="fe0918c4-c1e1-488e-9cbd-d560f0ca98ac" xsi:nil="true"/>
    <ECFActionIsPartitioned xmlns="fe0918c4-c1e1-488e-9cbd-d560f0ca98ac" xsi:nil="true"/>
    <ECFActionNumber xmlns="fe0918c4-c1e1-488e-9cbd-d560f0ca98ac" xsi:nil="true"/>
    <ECFApplicationEnvironment xmlns="fe0918c4-c1e1-488e-9cbd-d560f0ca98ac">VanaQA</ECFApplicationEnvironment>
    <ECFActionCreateDate xmlns="fe0918c4-c1e1-488e-9cbd-d560f0ca98ac" xsi:nil="true"/>
    <ECFActionOfficeID xmlns="fe0918c4-c1e1-488e-9cbd-d560f0ca98ac" xsi:nil="true"/>
    <ECFActionPrimaryCO xmlns="fe0918c4-c1e1-488e-9cbd-d560f0ca98ac">
      <UserInfo>
        <DisplayName/>
        <AccountId xsi:nil="true"/>
        <AccountType/>
      </UserInfo>
    </ECFActionPrimaryCO>
    <ECFActionPurchaseReqNumbers xmlns="fe0918c4-c1e1-488e-9cbd-d560f0ca98ac" xsi:nil="true"/>
    <ECFActionStatus xmlns="fe0918c4-c1e1-488e-9cbd-d560f0ca98ac" xsi:nil="true"/>
    <ECFActionPrimaryBuyer xmlns="fe0918c4-c1e1-488e-9cbd-d560f0ca98ac">
      <UserInfo>
        <DisplayName/>
        <AccountId xsi:nil="true"/>
        <AccountType/>
      </UserInfo>
    </ECFActionPrimaryBuyer>
    <ECFActionPrimaryCloseOutBuyer xmlns="fe0918c4-c1e1-488e-9cbd-d560f0ca98ac">
      <UserInfo>
        <DisplayName/>
        <AccountId xsi:nil="true"/>
        <AccountType/>
      </UserInfo>
    </ECFActionPrimaryCloseOutBuyer>
    <ECFApplicationVersion xmlns="fe0918c4-c1e1-488e-9cbd-d560f0ca98ac">5.0.0</ECFApplicationVersion>
    <TaxCatchAll xmlns="bac4e3eb-747f-43bc-bf10-c1bbb893ecac" xsi:nil="true"/>
    <lcf76f155ced4ddcb4097134ff3c332f xmlns="a56ce7e7-afda-48d2-b1ae-fcfd809ceb8e" xsi:nil="true"/>
  </documentManagement>
</p:properties>
</file>

<file path=customXml/itemProps1.xml><?xml version="1.0" encoding="utf-8"?>
<ds:datastoreItem xmlns:ds="http://schemas.openxmlformats.org/officeDocument/2006/customXml" ds:itemID="{23E0FF6C-909E-4F95-B251-935056AD346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e0918c4-c1e1-488e-9cbd-d560f0ca98ac"/>
    <ds:schemaRef ds:uri="a56ce7e7-afda-48d2-b1ae-fcfd809ceb8e"/>
    <ds:schemaRef ds:uri="bac4e3eb-747f-43bc-bf10-c1bbb893eca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00B2689-1BBC-463B-926F-5EA84A7335AC}">
  <ds:schemaRefs>
    <ds:schemaRef ds:uri="http://schemas.microsoft.com/sharepoint/events"/>
  </ds:schemaRefs>
</ds:datastoreItem>
</file>

<file path=customXml/itemProps3.xml><?xml version="1.0" encoding="utf-8"?>
<ds:datastoreItem xmlns:ds="http://schemas.openxmlformats.org/officeDocument/2006/customXml" ds:itemID="{A2461C15-3723-4DB6-BB7A-CB35FB8B3F3D}">
  <ds:schemaRefs>
    <ds:schemaRef ds:uri="http://schemas.microsoft.com/sharepoint/v3/contenttype/forms"/>
  </ds:schemaRefs>
</ds:datastoreItem>
</file>

<file path=customXml/itemProps4.xml><?xml version="1.0" encoding="utf-8"?>
<ds:datastoreItem xmlns:ds="http://schemas.openxmlformats.org/officeDocument/2006/customXml" ds:itemID="{31597E7F-629E-4A86-A00F-231C72231542}">
  <ds:schemaRefs>
    <ds:schemaRef ds:uri="http://schemas.microsoft.com/office/2006/metadata/properties"/>
    <ds:schemaRef ds:uri="http://purl.org/dc/terms/"/>
    <ds:schemaRef ds:uri="fe0918c4-c1e1-488e-9cbd-d560f0ca98ac"/>
    <ds:schemaRef ds:uri="http://www.w3.org/XML/1998/namespace"/>
    <ds:schemaRef ds:uri="http://purl.org/dc/dcmitype/"/>
    <ds:schemaRef ds:uri="http://schemas.microsoft.com/office/2006/documentManagement/types"/>
    <ds:schemaRef ds:uri="http://schemas.microsoft.com/sharepoint/v3"/>
    <ds:schemaRef ds:uri="a56ce7e7-afda-48d2-b1ae-fcfd809ceb8e"/>
    <ds:schemaRef ds:uri="http://schemas.microsoft.com/office/infopath/2007/PartnerControls"/>
    <ds:schemaRef ds:uri="http://schemas.openxmlformats.org/package/2006/metadata/core-properties"/>
    <ds:schemaRef ds:uri="bac4e3eb-747f-43bc-bf10-c1bbb893ecac"/>
    <ds:schemaRef ds:uri="http://purl.org/dc/elements/1.1/"/>
  </ds:schemaRefs>
</ds:datastoreItem>
</file>

<file path=docMetadata/LabelInfo.xml><?xml version="1.0" encoding="utf-8"?>
<clbl:labelList xmlns:clbl="http://schemas.microsoft.com/office/2020/mipLabelMetadata">
  <clbl:label id="{8331b18d-2d87-48ef-a35f-ac8818ebf9b4}" enabled="0" method="" siteId="{8331b18d-2d87-48ef-a35f-ac8818ebf9b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Instructions</vt:lpstr>
      <vt:lpstr>Environment Agnostic</vt:lpstr>
      <vt:lpstr>CLIN Breakdown</vt:lpstr>
      <vt:lpstr>NSS CLoud IL5 Prod</vt:lpstr>
      <vt:lpstr>GovSec Cloud IL6 Dev</vt:lpstr>
      <vt:lpstr>Secret On-Premise Prod</vt:lpstr>
      <vt:lpstr>GovSec Cloud IL6 Prod</vt:lpstr>
      <vt:lpstr>TS SCI On-Premise Prod</vt:lpstr>
      <vt:lpstr>TS SCI Cloud Prod</vt:lpstr>
      <vt:lpstr>SAP On-Premise Prod</vt:lpstr>
      <vt:lpstr>SAP Cloud Prod</vt:lpstr>
      <vt:lpstr>Labor proposal</vt:lpstr>
      <vt:lpstr>Labor &amp; FTE</vt:lpstr>
      <vt:lpstr>CLIN 000X Travel Estimate</vt:lpstr>
      <vt:lpstr>Supply Payment Plan</vt:lpstr>
      <vt:lpstr>CLIN 0006</vt:lpstr>
    </vt:vector>
  </TitlesOfParts>
  <Company>U.S. Air Force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THOMPSON, GARY G Lt Col USAFR AFRC SSC/BCC</dc:creator>
  <cp:lastModifiedBy>LAGUNALAGOS, RODRIGO E Capt USSF SSC SSC/AC</cp:lastModifiedBy>
  <dcterms:created xsi:type="dcterms:W3CDTF">2024-06-20T15:02:45Z</dcterms:created>
  <dcterms:modified xsi:type="dcterms:W3CDTF">2024-10-09T22:30:01Z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0x010100134BE24969401E49A1EFD9AE3BC7291F00D54CCDF4F2740A44B6C16703B11A3A41</vt:lpwstr>
  </property>
  <property fmtid="{D5CDD505-2E9C-101B-9397-08002B2CF9AE}" pid="3" name="_dlc_DocIdItemGuid">
    <vt:lpwstr>2f494217-ae2d-4291-8556-ead056e69324</vt:lpwstr>
  </property>
  <property fmtid="{D5CDD505-2E9C-101B-9397-08002B2CF9AE}" pid="4" name="MediaServiceImageTags">
    <vt:lpwstr/>
  </property>
</Properties>
</file>