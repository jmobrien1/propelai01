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usdhs-my.sharepoint.com/personal/edward_abel_fletc_dhs_gov/Documents/Desktop/Current docs/"/>
    </mc:Choice>
  </mc:AlternateContent>
  <xr:revisionPtr revIDLastSave="0" documentId="8_{9FF53023-BA4E-44F4-8A11-96362F37BF28}" xr6:coauthVersionLast="47" xr6:coauthVersionMax="47" xr10:uidLastSave="{00000000-0000-0000-0000-000000000000}"/>
  <bookViews>
    <workbookView xWindow="-90105" yWindow="-2490" windowWidth="26010" windowHeight="20985" xr2:uid="{00000000-000D-0000-FFFF-FFFF00000000}"/>
  </bookViews>
  <sheets>
    <sheet name="FY24 Monthly Reporting" sheetId="7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9" i="7" l="1"/>
  <c r="N45" i="7"/>
  <c r="N44" i="7"/>
  <c r="N43" i="7"/>
  <c r="N39" i="7"/>
  <c r="N48" i="7" s="1"/>
  <c r="N30" i="7"/>
  <c r="N46" i="7" s="1"/>
  <c r="N20" i="7"/>
  <c r="N51" i="7" l="1"/>
  <c r="N50" i="7"/>
  <c r="L45" i="7"/>
  <c r="M45" i="7"/>
  <c r="M44" i="7"/>
  <c r="M43" i="7"/>
  <c r="M49" i="7"/>
  <c r="M39" i="7"/>
  <c r="M48" i="7" s="1"/>
  <c r="M30" i="7"/>
  <c r="M46" i="7" s="1"/>
  <c r="M20" i="7"/>
  <c r="L49" i="7"/>
  <c r="L44" i="7"/>
  <c r="L39" i="7"/>
  <c r="L48" i="7" s="1"/>
  <c r="L30" i="7"/>
  <c r="L46" i="7" s="1"/>
  <c r="L20" i="7"/>
  <c r="K49" i="7"/>
  <c r="K44" i="7"/>
  <c r="K43" i="7"/>
  <c r="K39" i="7"/>
  <c r="K48" i="7" s="1"/>
  <c r="K30" i="7"/>
  <c r="K46" i="7" s="1"/>
  <c r="K20" i="7"/>
  <c r="J49" i="7"/>
  <c r="J44" i="7"/>
  <c r="J43" i="7"/>
  <c r="J39" i="7"/>
  <c r="J48" i="7" s="1"/>
  <c r="J30" i="7"/>
  <c r="J46" i="7" s="1"/>
  <c r="J20" i="7"/>
  <c r="M51" i="7" l="1"/>
  <c r="M50" i="7"/>
  <c r="L50" i="7"/>
  <c r="K50" i="7"/>
  <c r="J50" i="7"/>
  <c r="I49" i="7"/>
  <c r="I44" i="7"/>
  <c r="I43" i="7"/>
  <c r="I39" i="7"/>
  <c r="I48" i="7" s="1"/>
  <c r="I30" i="7"/>
  <c r="I46" i="7" s="1"/>
  <c r="I20" i="7"/>
  <c r="H49" i="7"/>
  <c r="H44" i="7"/>
  <c r="H43" i="7"/>
  <c r="H39" i="7"/>
  <c r="H48" i="7" s="1"/>
  <c r="H30" i="7"/>
  <c r="H46" i="7" s="1"/>
  <c r="H20" i="7"/>
  <c r="G44" i="7"/>
  <c r="F44" i="7"/>
  <c r="F39" i="7"/>
  <c r="F48" i="7" s="1"/>
  <c r="G49" i="7"/>
  <c r="G43" i="7"/>
  <c r="G39" i="7"/>
  <c r="G48" i="7" s="1"/>
  <c r="G30" i="7"/>
  <c r="G46" i="7" s="1"/>
  <c r="G20" i="7"/>
  <c r="F49" i="7"/>
  <c r="F43" i="7"/>
  <c r="F30" i="7"/>
  <c r="F46" i="7" s="1"/>
  <c r="F20" i="7"/>
  <c r="E49" i="7"/>
  <c r="E44" i="7"/>
  <c r="E43" i="7"/>
  <c r="E39" i="7"/>
  <c r="E48" i="7" s="1"/>
  <c r="E30" i="7"/>
  <c r="E46" i="7" s="1"/>
  <c r="E20" i="7"/>
  <c r="D49" i="7"/>
  <c r="D44" i="7"/>
  <c r="D43" i="7"/>
  <c r="D39" i="7"/>
  <c r="D48" i="7" s="1"/>
  <c r="D30" i="7"/>
  <c r="D46" i="7" s="1"/>
  <c r="D20" i="7"/>
  <c r="C43" i="7"/>
  <c r="C49" i="7"/>
  <c r="C20" i="7"/>
  <c r="C30" i="7"/>
  <c r="C39" i="7"/>
  <c r="C48" i="7" s="1"/>
  <c r="C44" i="7"/>
  <c r="C46" i="7" l="1"/>
  <c r="C50" i="7" s="1"/>
  <c r="I50" i="7"/>
  <c r="E50" i="7"/>
  <c r="H50" i="7"/>
  <c r="D50" i="7"/>
  <c r="G50" i="7"/>
  <c r="F50" i="7"/>
</calcChain>
</file>

<file path=xl/sharedStrings.xml><?xml version="1.0" encoding="utf-8"?>
<sst xmlns="http://schemas.openxmlformats.org/spreadsheetml/2006/main" count="76" uniqueCount="74">
  <si>
    <t>1. Admin Network Dektops and Laptops</t>
  </si>
  <si>
    <t>Short Description</t>
  </si>
  <si>
    <t>Oct  FY24</t>
  </si>
  <si>
    <t>2. Training Network Dektops and Laptops</t>
  </si>
  <si>
    <t>3. Server Reporting - Both Networks</t>
  </si>
  <si>
    <t>Virtual Servers</t>
  </si>
  <si>
    <t>Physical Servers</t>
  </si>
  <si>
    <t>Other Devices</t>
  </si>
  <si>
    <t>4. Network Reporting - Both Networks</t>
  </si>
  <si>
    <t>Network Equipment</t>
  </si>
  <si>
    <t>UPS</t>
  </si>
  <si>
    <t>5. VoIP</t>
  </si>
  <si>
    <t>Artesia Main</t>
  </si>
  <si>
    <t>Artesia Range</t>
  </si>
  <si>
    <t>Charleston</t>
  </si>
  <si>
    <t>Cheltenham</t>
  </si>
  <si>
    <t>Glynco</t>
  </si>
  <si>
    <t>Total</t>
  </si>
  <si>
    <t>6. Printers</t>
  </si>
  <si>
    <t>Artesia Admin</t>
  </si>
  <si>
    <t>Charleston Admin</t>
  </si>
  <si>
    <t>Cheltenham Admin</t>
  </si>
  <si>
    <t>Glynco Admin</t>
  </si>
  <si>
    <t>Artesia Training</t>
  </si>
  <si>
    <t>Charleston Training</t>
  </si>
  <si>
    <t>Cheltenham Training</t>
  </si>
  <si>
    <t>Glynco Training</t>
  </si>
  <si>
    <t>Total Printers</t>
  </si>
  <si>
    <t>7. ESS Appliances and Cameras - and FAMS Appliances</t>
  </si>
  <si>
    <t>8. ETN Cameras</t>
  </si>
  <si>
    <t>AAR Cameras</t>
  </si>
  <si>
    <t>9. Smart Phones and Tablets - On the network</t>
  </si>
  <si>
    <t>Smart Phones Total</t>
  </si>
  <si>
    <t>Tablets</t>
  </si>
  <si>
    <t>Monthly FISMA Asset Inventory - Totals</t>
  </si>
  <si>
    <t>Reporting Designation</t>
  </si>
  <si>
    <t>June</t>
  </si>
  <si>
    <t>July</t>
  </si>
  <si>
    <t>August</t>
  </si>
  <si>
    <t>September</t>
  </si>
  <si>
    <t>[1.2.1]: GFE Endpoints</t>
  </si>
  <si>
    <t>[1.2.2]: Network Devices</t>
  </si>
  <si>
    <t>[1.2.6]: Non-GFE Endpoints (Desktops, Laptops, and Servers)</t>
  </si>
  <si>
    <t>[1.3.1]: Mobile Devices</t>
  </si>
  <si>
    <t>[1.3.2]: Non-GFE Mobile Devices (e.g. BYOD assets)</t>
  </si>
  <si>
    <t>Total Assets:</t>
  </si>
  <si>
    <t>Nov  FY24</t>
  </si>
  <si>
    <t>Dec  FY24</t>
  </si>
  <si>
    <t>Jan  FY24</t>
  </si>
  <si>
    <t>Feb  FY24</t>
  </si>
  <si>
    <t>Admin MECM GFE Endpoints</t>
  </si>
  <si>
    <t>Training MECM GFE Endpoints</t>
  </si>
  <si>
    <t>October</t>
  </si>
  <si>
    <t>November</t>
  </si>
  <si>
    <t>December</t>
  </si>
  <si>
    <t>January</t>
  </si>
  <si>
    <t>February</t>
  </si>
  <si>
    <r>
      <t xml:space="preserve">[1.2.3]: Input/output Devices (printers, </t>
    </r>
    <r>
      <rPr>
        <b/>
        <sz val="11"/>
        <color rgb="FFFF0000"/>
        <rFont val="Calibri"/>
        <family val="2"/>
        <scheme val="minor"/>
      </rPr>
      <t>NO VOIP</t>
    </r>
    <r>
      <rPr>
        <b/>
        <sz val="11"/>
        <color theme="1"/>
        <rFont val="Calibri"/>
        <family val="2"/>
        <scheme val="minor"/>
      </rPr>
      <t>, etc.)</t>
    </r>
  </si>
  <si>
    <t>March</t>
  </si>
  <si>
    <t>March  FY24</t>
  </si>
  <si>
    <t>April  FY24</t>
  </si>
  <si>
    <t>April</t>
  </si>
  <si>
    <t>May  FY24</t>
  </si>
  <si>
    <t>May</t>
  </si>
  <si>
    <t>June  FY24</t>
  </si>
  <si>
    <t>July  FY24</t>
  </si>
  <si>
    <t>Aug  FY24</t>
  </si>
  <si>
    <t>ESS Devices (Needs verification in near future.)</t>
  </si>
  <si>
    <t>FAMS Devices (Needs verification in near future.)</t>
  </si>
  <si>
    <t>Sep FY24</t>
  </si>
  <si>
    <t>Total Assets (Not including Mobile Devices (Phones)</t>
  </si>
  <si>
    <t xml:space="preserve">Total Crededntialed Assets (with I/O)  </t>
  </si>
  <si>
    <t>Reporting Scorecard Total Assets:</t>
  </si>
  <si>
    <t>Wireless Access 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</si>
</sst>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sz val="11"/>
      <color rgb="FFFF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00B05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3" borderId="1" xfId="0" applyFont="1" applyFill="1" applyBorder="1" applyAlignment="1">
      <alignment wrapText="1"/>
    </xf>
    <xf numFmtId="0" fontId="2" fillId="0" borderId="6" xfId="0" applyFont="1" applyBorder="1" applyAlignment="1">
      <alignment horizontal="right" wrapText="1"/>
    </xf>
    <xf numFmtId="0" fontId="0" fillId="8" borderId="6" xfId="0" applyFill="1" applyBorder="1" applyAlignment="1">
      <alignment horizontal="right" wrapText="1"/>
    </xf>
    <xf numFmtId="0" fontId="1" fillId="0" borderId="6" xfId="0" applyFont="1" applyBorder="1" applyAlignment="1">
      <alignment horizontal="right" wrapText="1"/>
    </xf>
    <xf numFmtId="0" fontId="3" fillId="5" borderId="6" xfId="0" applyFont="1" applyFill="1" applyBorder="1" applyAlignment="1">
      <alignment horizontal="right" wrapText="1"/>
    </xf>
    <xf numFmtId="0" fontId="1" fillId="6" borderId="6" xfId="0" applyFont="1" applyFill="1" applyBorder="1" applyAlignment="1">
      <alignment horizontal="right" wrapText="1"/>
    </xf>
    <xf numFmtId="0" fontId="0" fillId="10" borderId="4" xfId="0" applyFill="1" applyBorder="1" applyAlignment="1">
      <alignment horizontal="right" wrapText="1"/>
    </xf>
    <xf numFmtId="0" fontId="0" fillId="0" borderId="0" xfId="0" applyAlignment="1">
      <alignment wrapText="1"/>
    </xf>
    <xf numFmtId="0" fontId="1" fillId="2" borderId="9" xfId="0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2" borderId="6" xfId="0" applyFont="1" applyFill="1" applyBorder="1" applyAlignment="1">
      <alignment horizontal="center" vertical="center" wrapText="1"/>
    </xf>
    <xf numFmtId="0" fontId="1" fillId="4" borderId="9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0" fillId="3" borderId="9" xfId="0" applyFill="1" applyBorder="1" applyAlignment="1">
      <alignment wrapText="1"/>
    </xf>
    <xf numFmtId="0" fontId="12" fillId="3" borderId="9" xfId="0" applyFont="1" applyFill="1" applyBorder="1" applyAlignment="1">
      <alignment wrapText="1"/>
    </xf>
    <xf numFmtId="0" fontId="1" fillId="0" borderId="6" xfId="0" applyFont="1" applyBorder="1" applyAlignment="1">
      <alignment wrapText="1"/>
    </xf>
    <xf numFmtId="0" fontId="9" fillId="3" borderId="9" xfId="0" applyFont="1" applyFill="1" applyBorder="1" applyAlignment="1">
      <alignment wrapText="1"/>
    </xf>
    <xf numFmtId="0" fontId="1" fillId="0" borderId="10" xfId="0" applyFont="1" applyBorder="1" applyAlignment="1">
      <alignment wrapText="1"/>
    </xf>
    <xf numFmtId="0" fontId="7" fillId="9" borderId="6" xfId="0" applyFont="1" applyFill="1" applyBorder="1" applyAlignment="1">
      <alignment horizontal="right" wrapText="1"/>
    </xf>
    <xf numFmtId="0" fontId="7" fillId="12" borderId="6" xfId="0" applyFont="1" applyFill="1" applyBorder="1" applyAlignment="1">
      <alignment horizontal="right" wrapText="1"/>
    </xf>
    <xf numFmtId="0" fontId="7" fillId="0" borderId="6" xfId="0" applyFont="1" applyBorder="1" applyAlignment="1">
      <alignment horizontal="right" wrapText="1"/>
    </xf>
    <xf numFmtId="0" fontId="1" fillId="6" borderId="9" xfId="0" applyFont="1" applyFill="1" applyBorder="1" applyAlignment="1">
      <alignment wrapText="1"/>
    </xf>
    <xf numFmtId="0" fontId="1" fillId="6" borderId="1" xfId="0" applyFont="1" applyFill="1" applyBorder="1" applyAlignment="1">
      <alignment wrapText="1"/>
    </xf>
    <xf numFmtId="0" fontId="11" fillId="10" borderId="2" xfId="0" applyFont="1" applyFill="1" applyBorder="1" applyAlignment="1">
      <alignment horizontal="center" vertical="center" wrapText="1"/>
    </xf>
    <xf numFmtId="0" fontId="11" fillId="10" borderId="3" xfId="0" applyFont="1" applyFill="1" applyBorder="1" applyAlignment="1">
      <alignment horizontal="right" wrapText="1"/>
    </xf>
    <xf numFmtId="0" fontId="5" fillId="7" borderId="5" xfId="0" applyFont="1" applyFill="1" applyBorder="1" applyAlignment="1">
      <alignment horizontal="right" wrapText="1"/>
    </xf>
    <xf numFmtId="0" fontId="0" fillId="0" borderId="0" xfId="0" applyAlignment="1">
      <alignment horizontal="right" wrapText="1"/>
    </xf>
    <xf numFmtId="0" fontId="11" fillId="13" borderId="2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right" wrapText="1"/>
    </xf>
    <xf numFmtId="0" fontId="1" fillId="6" borderId="6" xfId="0" applyFont="1" applyFill="1" applyBorder="1" applyAlignment="1">
      <alignment horizontal="center" wrapText="1"/>
    </xf>
    <xf numFmtId="0" fontId="5" fillId="11" borderId="5" xfId="0" applyFont="1" applyFill="1" applyBorder="1" applyAlignment="1">
      <alignment horizontal="right" wrapText="1"/>
    </xf>
    <xf numFmtId="0" fontId="2" fillId="3" borderId="9" xfId="0" applyFont="1" applyFill="1" applyBorder="1" applyAlignment="1">
      <alignment horizontal="left" vertical="top" wrapText="1"/>
    </xf>
    <xf numFmtId="0" fontId="2" fillId="3" borderId="9" xfId="0" applyFont="1" applyFill="1" applyBorder="1" applyAlignment="1">
      <alignment horizontal="center" wrapText="1"/>
    </xf>
    <xf numFmtId="0" fontId="3" fillId="0" borderId="6" xfId="0" applyFont="1" applyBorder="1" applyAlignment="1">
      <alignment horizontal="right" wrapText="1"/>
    </xf>
    <xf numFmtId="0" fontId="1" fillId="3" borderId="1" xfId="0" applyFont="1" applyFill="1" applyBorder="1" applyAlignment="1">
      <alignment horizontal="left" vertical="top" wrapText="1"/>
    </xf>
    <xf numFmtId="0" fontId="4" fillId="8" borderId="9" xfId="0" applyFont="1" applyFill="1" applyBorder="1" applyAlignment="1">
      <alignment horizontal="center" wrapText="1"/>
    </xf>
    <xf numFmtId="0" fontId="8" fillId="8" borderId="1" xfId="0" applyFont="1" applyFill="1" applyBorder="1" applyAlignment="1">
      <alignment horizontal="center" wrapText="1"/>
    </xf>
    <xf numFmtId="0" fontId="2" fillId="12" borderId="9" xfId="0" applyFont="1" applyFill="1" applyBorder="1" applyAlignment="1">
      <alignment horizontal="center" wrapText="1"/>
    </xf>
    <xf numFmtId="0" fontId="0" fillId="12" borderId="1" xfId="0" applyFill="1" applyBorder="1" applyAlignment="1">
      <alignment horizontal="center" wrapText="1"/>
    </xf>
    <xf numFmtId="0" fontId="6" fillId="8" borderId="9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4" fillId="8" borderId="7" xfId="0" applyFont="1" applyFill="1" applyBorder="1" applyAlignment="1">
      <alignment horizontal="center" wrapText="1"/>
    </xf>
    <xf numFmtId="0" fontId="8" fillId="8" borderId="8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A0000"/>
      <color rgb="FF4C0000"/>
      <color rgb="FF740000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3BF65-892E-4C7F-94D3-7C2FDAE970A2}">
  <dimension ref="A1:N51"/>
  <sheetViews>
    <sheetView tabSelected="1" zoomScale="80" zoomScaleNormal="80" workbookViewId="0">
      <pane xSplit="2" topLeftCell="G1" activePane="topRight" state="frozen"/>
      <selection pane="topRight" activeCell="A18" sqref="A18:XFD18"/>
    </sheetView>
  </sheetViews>
  <sheetFormatPr defaultColWidth="8.85546875" defaultRowHeight="15" x14ac:dyDescent="0.25"/>
  <cols>
    <col min="1" max="1" width="69.140625" style="8" customWidth="1"/>
    <col min="2" max="2" width="32.85546875" style="8" customWidth="1"/>
    <col min="3" max="5" width="12.5703125" style="27" customWidth="1"/>
    <col min="6" max="6" width="12.5703125" style="8" customWidth="1"/>
    <col min="7" max="8" width="13.42578125" style="8" bestFit="1" customWidth="1"/>
    <col min="9" max="14" width="12.5703125" style="27" customWidth="1"/>
    <col min="15" max="16384" width="8.85546875" style="8"/>
  </cols>
  <sheetData>
    <row r="1" spans="1:14" x14ac:dyDescent="0.25">
      <c r="A1" s="42" t="s">
        <v>0</v>
      </c>
      <c r="B1" s="43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 x14ac:dyDescent="0.25">
      <c r="A2" s="9"/>
      <c r="B2" s="10" t="s">
        <v>1</v>
      </c>
      <c r="C2" s="11" t="s">
        <v>2</v>
      </c>
      <c r="D2" s="11" t="s">
        <v>46</v>
      </c>
      <c r="E2" s="11" t="s">
        <v>47</v>
      </c>
      <c r="F2" s="11" t="s">
        <v>48</v>
      </c>
      <c r="G2" s="11" t="s">
        <v>49</v>
      </c>
      <c r="H2" s="11" t="s">
        <v>59</v>
      </c>
      <c r="I2" s="11" t="s">
        <v>60</v>
      </c>
      <c r="J2" s="11" t="s">
        <v>62</v>
      </c>
      <c r="K2" s="11" t="s">
        <v>64</v>
      </c>
      <c r="L2" s="11" t="s">
        <v>65</v>
      </c>
      <c r="M2" s="11" t="s">
        <v>66</v>
      </c>
      <c r="N2" s="11" t="s">
        <v>69</v>
      </c>
    </row>
    <row r="3" spans="1:14" x14ac:dyDescent="0.25">
      <c r="A3" s="12"/>
      <c r="B3" s="13" t="s">
        <v>50</v>
      </c>
      <c r="C3" s="2">
        <v>1999</v>
      </c>
      <c r="D3" s="2">
        <v>2048</v>
      </c>
      <c r="E3" s="2">
        <v>2067</v>
      </c>
      <c r="F3" s="2">
        <v>2009</v>
      </c>
      <c r="G3" s="2">
        <v>1922</v>
      </c>
      <c r="H3" s="2">
        <v>1880</v>
      </c>
      <c r="I3" s="2">
        <v>1057</v>
      </c>
      <c r="J3" s="2">
        <v>1935</v>
      </c>
      <c r="K3" s="2">
        <v>1900</v>
      </c>
      <c r="L3" s="2">
        <v>2092</v>
      </c>
      <c r="M3" s="2">
        <v>1881</v>
      </c>
      <c r="N3" s="2">
        <v>1914</v>
      </c>
    </row>
    <row r="4" spans="1:14" x14ac:dyDescent="0.25">
      <c r="A4" s="36" t="s">
        <v>3</v>
      </c>
      <c r="B4" s="37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 x14ac:dyDescent="0.25">
      <c r="A5" s="12"/>
      <c r="B5" s="13" t="s">
        <v>51</v>
      </c>
      <c r="C5" s="2">
        <v>1420</v>
      </c>
      <c r="D5" s="2">
        <v>1398</v>
      </c>
      <c r="E5" s="2">
        <v>1386</v>
      </c>
      <c r="F5" s="2">
        <v>1361</v>
      </c>
      <c r="G5" s="2">
        <v>1373</v>
      </c>
      <c r="H5" s="2">
        <v>1404</v>
      </c>
      <c r="I5" s="2">
        <v>1368</v>
      </c>
      <c r="J5" s="2">
        <v>1352</v>
      </c>
      <c r="K5" s="2">
        <v>1334</v>
      </c>
      <c r="L5" s="2">
        <v>1309</v>
      </c>
      <c r="M5" s="2">
        <v>1123</v>
      </c>
      <c r="N5" s="2">
        <v>1056</v>
      </c>
    </row>
    <row r="6" spans="1:14" x14ac:dyDescent="0.25">
      <c r="A6" s="36" t="s">
        <v>4</v>
      </c>
      <c r="B6" s="37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12"/>
      <c r="B7" s="13" t="s">
        <v>5</v>
      </c>
      <c r="C7" s="2">
        <v>315</v>
      </c>
      <c r="D7" s="2">
        <v>319</v>
      </c>
      <c r="E7" s="2">
        <v>319</v>
      </c>
      <c r="F7" s="2">
        <v>312</v>
      </c>
      <c r="G7" s="2">
        <v>318</v>
      </c>
      <c r="H7" s="2">
        <v>319</v>
      </c>
      <c r="I7" s="2">
        <v>311</v>
      </c>
      <c r="J7" s="2">
        <v>322</v>
      </c>
      <c r="K7" s="2">
        <v>323</v>
      </c>
      <c r="L7" s="2">
        <v>320</v>
      </c>
      <c r="M7" s="2">
        <v>322</v>
      </c>
      <c r="N7" s="2">
        <v>296</v>
      </c>
    </row>
    <row r="8" spans="1:14" x14ac:dyDescent="0.25">
      <c r="A8" s="12"/>
      <c r="B8" s="13" t="s">
        <v>6</v>
      </c>
      <c r="C8" s="2">
        <v>105</v>
      </c>
      <c r="D8" s="2">
        <v>105</v>
      </c>
      <c r="E8" s="2">
        <v>105</v>
      </c>
      <c r="F8" s="2">
        <v>44</v>
      </c>
      <c r="G8" s="2">
        <v>44</v>
      </c>
      <c r="H8" s="2">
        <v>39</v>
      </c>
      <c r="I8" s="2">
        <v>39</v>
      </c>
      <c r="J8" s="2">
        <v>44</v>
      </c>
      <c r="K8" s="2">
        <v>39</v>
      </c>
      <c r="L8" s="2">
        <v>39</v>
      </c>
      <c r="M8" s="2">
        <v>39</v>
      </c>
      <c r="N8" s="2">
        <v>45</v>
      </c>
    </row>
    <row r="9" spans="1:14" x14ac:dyDescent="0.25">
      <c r="A9" s="12"/>
      <c r="B9" s="13" t="s">
        <v>7</v>
      </c>
      <c r="C9" s="2">
        <v>140</v>
      </c>
      <c r="D9" s="2">
        <v>140</v>
      </c>
      <c r="E9" s="2">
        <v>140</v>
      </c>
      <c r="F9" s="2">
        <v>140</v>
      </c>
      <c r="G9" s="2">
        <v>144</v>
      </c>
      <c r="H9" s="2">
        <v>140</v>
      </c>
      <c r="I9" s="2">
        <v>140</v>
      </c>
      <c r="J9" s="2">
        <v>140</v>
      </c>
      <c r="K9" s="2">
        <v>157</v>
      </c>
      <c r="L9" s="2">
        <v>136</v>
      </c>
      <c r="M9" s="2">
        <v>168</v>
      </c>
      <c r="N9" s="2">
        <v>168</v>
      </c>
    </row>
    <row r="10" spans="1:14" x14ac:dyDescent="0.25">
      <c r="A10" s="36" t="s">
        <v>8</v>
      </c>
      <c r="B10" s="37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  <row r="11" spans="1:14" x14ac:dyDescent="0.25">
      <c r="A11" s="12"/>
      <c r="B11" s="13" t="s">
        <v>9</v>
      </c>
      <c r="C11" s="2">
        <v>2474</v>
      </c>
      <c r="D11" s="2">
        <v>2474</v>
      </c>
      <c r="E11" s="2">
        <v>2474</v>
      </c>
      <c r="F11" s="2">
        <v>534</v>
      </c>
      <c r="G11" s="2">
        <v>495</v>
      </c>
      <c r="H11" s="2">
        <v>557</v>
      </c>
      <c r="I11" s="2">
        <v>537</v>
      </c>
      <c r="J11" s="2">
        <v>573</v>
      </c>
      <c r="K11" s="2">
        <v>575</v>
      </c>
      <c r="L11" s="2">
        <v>575</v>
      </c>
      <c r="M11" s="2">
        <v>561</v>
      </c>
      <c r="N11" s="2">
        <v>572</v>
      </c>
    </row>
    <row r="12" spans="1:14" x14ac:dyDescent="0.25">
      <c r="A12" s="12"/>
      <c r="B12" s="13" t="s">
        <v>73</v>
      </c>
      <c r="C12" s="2"/>
      <c r="D12" s="2"/>
      <c r="E12" s="2"/>
      <c r="F12" s="2">
        <v>1607</v>
      </c>
      <c r="G12" s="2">
        <v>1607</v>
      </c>
      <c r="H12" s="2">
        <v>1558</v>
      </c>
      <c r="I12" s="2">
        <v>1780</v>
      </c>
      <c r="J12" s="2">
        <v>1541</v>
      </c>
      <c r="K12" s="2">
        <v>1536</v>
      </c>
      <c r="L12" s="2">
        <v>1520</v>
      </c>
      <c r="M12" s="2">
        <v>1497</v>
      </c>
      <c r="N12" s="2">
        <v>1860</v>
      </c>
    </row>
    <row r="13" spans="1:14" x14ac:dyDescent="0.25">
      <c r="A13" s="12"/>
      <c r="B13" s="13" t="s">
        <v>10</v>
      </c>
      <c r="C13" s="2">
        <v>391</v>
      </c>
      <c r="D13" s="2">
        <v>391</v>
      </c>
      <c r="E13" s="2">
        <v>391</v>
      </c>
      <c r="F13" s="2">
        <v>350</v>
      </c>
      <c r="G13" s="2">
        <v>350</v>
      </c>
      <c r="H13" s="2">
        <v>350</v>
      </c>
      <c r="I13" s="2">
        <v>350</v>
      </c>
      <c r="J13" s="2">
        <v>350</v>
      </c>
      <c r="K13" s="2">
        <v>350</v>
      </c>
      <c r="L13" s="2">
        <v>350</v>
      </c>
      <c r="M13" s="2">
        <v>200</v>
      </c>
      <c r="N13" s="2">
        <v>200</v>
      </c>
    </row>
    <row r="14" spans="1:14" x14ac:dyDescent="0.25">
      <c r="A14" s="36" t="s">
        <v>11</v>
      </c>
      <c r="B14" s="37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14" x14ac:dyDescent="0.25">
      <c r="A15" s="17"/>
      <c r="B15" s="1" t="s">
        <v>12</v>
      </c>
      <c r="C15" s="4">
        <v>1076</v>
      </c>
      <c r="D15" s="4">
        <v>971</v>
      </c>
      <c r="E15" s="4">
        <v>971</v>
      </c>
      <c r="F15" s="4">
        <v>950</v>
      </c>
      <c r="G15" s="4">
        <v>964</v>
      </c>
      <c r="H15" s="4">
        <v>946</v>
      </c>
      <c r="I15" s="4">
        <v>938</v>
      </c>
      <c r="J15" s="4">
        <v>932</v>
      </c>
      <c r="K15" s="4">
        <v>936</v>
      </c>
      <c r="L15" s="4">
        <v>1003</v>
      </c>
      <c r="M15" s="4">
        <v>981</v>
      </c>
      <c r="N15" s="4">
        <v>972</v>
      </c>
    </row>
    <row r="16" spans="1:14" x14ac:dyDescent="0.25">
      <c r="A16" s="14"/>
      <c r="B16" s="1" t="s">
        <v>13</v>
      </c>
      <c r="C16" s="4">
        <v>130</v>
      </c>
      <c r="D16" s="4">
        <v>129</v>
      </c>
      <c r="E16" s="4">
        <v>130</v>
      </c>
      <c r="F16" s="4">
        <v>130</v>
      </c>
      <c r="G16" s="4">
        <v>128</v>
      </c>
      <c r="H16" s="4">
        <v>126</v>
      </c>
      <c r="I16" s="4">
        <v>123</v>
      </c>
      <c r="J16" s="4">
        <v>124</v>
      </c>
      <c r="K16" s="4">
        <v>126</v>
      </c>
      <c r="L16" s="4">
        <v>127</v>
      </c>
      <c r="M16" s="4">
        <v>127</v>
      </c>
      <c r="N16" s="4">
        <v>128</v>
      </c>
    </row>
    <row r="17" spans="1:14" x14ac:dyDescent="0.25">
      <c r="A17" s="14"/>
      <c r="B17" s="1" t="s">
        <v>14</v>
      </c>
      <c r="C17" s="4">
        <v>630</v>
      </c>
      <c r="D17" s="4">
        <v>628</v>
      </c>
      <c r="E17" s="4">
        <v>633</v>
      </c>
      <c r="F17" s="4">
        <v>327</v>
      </c>
      <c r="G17" s="4">
        <v>343</v>
      </c>
      <c r="H17" s="4">
        <v>324</v>
      </c>
      <c r="I17" s="4">
        <v>302</v>
      </c>
      <c r="J17" s="4">
        <v>308</v>
      </c>
      <c r="K17" s="4">
        <v>306</v>
      </c>
      <c r="L17" s="4">
        <v>326</v>
      </c>
      <c r="M17" s="4">
        <v>306</v>
      </c>
      <c r="N17" s="4">
        <v>294</v>
      </c>
    </row>
    <row r="18" spans="1:14" x14ac:dyDescent="0.25">
      <c r="A18" s="14"/>
      <c r="B18" s="1" t="s">
        <v>15</v>
      </c>
      <c r="C18" s="4">
        <v>218</v>
      </c>
      <c r="D18" s="4">
        <v>202</v>
      </c>
      <c r="E18" s="4">
        <v>214</v>
      </c>
      <c r="F18" s="4">
        <v>215</v>
      </c>
      <c r="G18" s="4">
        <v>212</v>
      </c>
      <c r="H18" s="4">
        <v>211</v>
      </c>
      <c r="I18" s="4">
        <v>217</v>
      </c>
      <c r="J18" s="4">
        <v>216</v>
      </c>
      <c r="K18" s="4">
        <v>223</v>
      </c>
      <c r="L18" s="4">
        <v>222</v>
      </c>
      <c r="M18" s="4">
        <v>223</v>
      </c>
      <c r="N18" s="4">
        <v>232</v>
      </c>
    </row>
    <row r="19" spans="1:14" x14ac:dyDescent="0.25">
      <c r="A19" s="14"/>
      <c r="B19" s="1" t="s">
        <v>16</v>
      </c>
      <c r="C19" s="4">
        <v>1936</v>
      </c>
      <c r="D19" s="4">
        <v>1937</v>
      </c>
      <c r="E19" s="4">
        <v>1932</v>
      </c>
      <c r="F19" s="4">
        <v>1923</v>
      </c>
      <c r="G19" s="4">
        <v>1955</v>
      </c>
      <c r="H19" s="4">
        <v>1938</v>
      </c>
      <c r="I19" s="4">
        <v>1932</v>
      </c>
      <c r="J19" s="4">
        <v>1947</v>
      </c>
      <c r="K19" s="4">
        <v>1914</v>
      </c>
      <c r="L19" s="4">
        <v>1927</v>
      </c>
      <c r="M19" s="4">
        <v>1888</v>
      </c>
      <c r="N19" s="4">
        <v>1853</v>
      </c>
    </row>
    <row r="20" spans="1:14" x14ac:dyDescent="0.25">
      <c r="A20" s="15"/>
      <c r="B20" s="1" t="s">
        <v>17</v>
      </c>
      <c r="C20" s="5">
        <f t="shared" ref="C20" si="0">SUM(C15:C19)</f>
        <v>3990</v>
      </c>
      <c r="D20" s="5">
        <f t="shared" ref="D20:E20" si="1">SUM(D15:D19)</f>
        <v>3867</v>
      </c>
      <c r="E20" s="5">
        <f t="shared" si="1"/>
        <v>3880</v>
      </c>
      <c r="F20" s="5">
        <f t="shared" ref="F20:G20" si="2">SUM(F15:F19)</f>
        <v>3545</v>
      </c>
      <c r="G20" s="5">
        <f t="shared" si="2"/>
        <v>3602</v>
      </c>
      <c r="H20" s="5">
        <f t="shared" ref="H20" si="3">SUM(H15:H19)</f>
        <v>3545</v>
      </c>
      <c r="I20" s="5">
        <f t="shared" ref="I20:J20" si="4">SUM(I15:I19)</f>
        <v>3512</v>
      </c>
      <c r="J20" s="5">
        <f t="shared" si="4"/>
        <v>3527</v>
      </c>
      <c r="K20" s="5">
        <f t="shared" ref="K20:L20" si="5">SUM(K15:K19)</f>
        <v>3505</v>
      </c>
      <c r="L20" s="5">
        <f t="shared" si="5"/>
        <v>3605</v>
      </c>
      <c r="M20" s="5">
        <f>SUM(M15:M19)</f>
        <v>3525</v>
      </c>
      <c r="N20" s="5">
        <f>SUM(N15:N19)</f>
        <v>3479</v>
      </c>
    </row>
    <row r="21" spans="1:14" x14ac:dyDescent="0.25">
      <c r="A21" s="36" t="s">
        <v>18</v>
      </c>
      <c r="B21" s="37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17"/>
      <c r="B22" s="1" t="s">
        <v>19</v>
      </c>
      <c r="C22" s="16">
        <v>24</v>
      </c>
      <c r="D22" s="16">
        <v>24</v>
      </c>
      <c r="E22" s="16">
        <v>24</v>
      </c>
      <c r="F22" s="16">
        <v>24</v>
      </c>
      <c r="G22" s="16">
        <v>24</v>
      </c>
      <c r="H22" s="16">
        <v>25</v>
      </c>
      <c r="I22" s="16">
        <v>24</v>
      </c>
      <c r="J22" s="16">
        <v>24</v>
      </c>
      <c r="K22" s="16">
        <v>24</v>
      </c>
      <c r="L22" s="16">
        <v>26</v>
      </c>
      <c r="M22" s="16">
        <v>24</v>
      </c>
      <c r="N22" s="16">
        <v>26</v>
      </c>
    </row>
    <row r="23" spans="1:14" x14ac:dyDescent="0.25">
      <c r="A23" s="17"/>
      <c r="B23" s="1" t="s">
        <v>20</v>
      </c>
      <c r="C23" s="16">
        <v>12</v>
      </c>
      <c r="D23" s="16">
        <v>13</v>
      </c>
      <c r="E23" s="16">
        <v>13</v>
      </c>
      <c r="F23" s="16">
        <v>13</v>
      </c>
      <c r="G23" s="16">
        <v>13</v>
      </c>
      <c r="H23" s="16">
        <v>14</v>
      </c>
      <c r="I23" s="16">
        <v>13</v>
      </c>
      <c r="J23" s="16">
        <v>13</v>
      </c>
      <c r="K23" s="16">
        <v>13</v>
      </c>
      <c r="L23" s="16">
        <v>13</v>
      </c>
      <c r="M23" s="16">
        <v>13</v>
      </c>
      <c r="N23" s="16">
        <v>13</v>
      </c>
    </row>
    <row r="24" spans="1:14" x14ac:dyDescent="0.25">
      <c r="A24" s="14"/>
      <c r="B24" s="1" t="s">
        <v>21</v>
      </c>
      <c r="C24" s="16">
        <v>23</v>
      </c>
      <c r="D24" s="16">
        <v>23</v>
      </c>
      <c r="E24" s="16">
        <v>26</v>
      </c>
      <c r="F24" s="16">
        <v>26</v>
      </c>
      <c r="G24" s="16">
        <v>23</v>
      </c>
      <c r="H24" s="16">
        <v>24</v>
      </c>
      <c r="I24" s="16">
        <v>26</v>
      </c>
      <c r="J24" s="16">
        <v>23</v>
      </c>
      <c r="K24" s="16">
        <v>23</v>
      </c>
      <c r="L24" s="16">
        <v>23</v>
      </c>
      <c r="M24" s="16">
        <v>26</v>
      </c>
      <c r="N24" s="16">
        <v>27</v>
      </c>
    </row>
    <row r="25" spans="1:14" x14ac:dyDescent="0.25">
      <c r="A25" s="14"/>
      <c r="B25" s="1" t="s">
        <v>22</v>
      </c>
      <c r="C25" s="16">
        <v>172</v>
      </c>
      <c r="D25" s="16">
        <v>172</v>
      </c>
      <c r="E25" s="16">
        <v>172</v>
      </c>
      <c r="F25" s="16">
        <v>172</v>
      </c>
      <c r="G25" s="16">
        <v>169</v>
      </c>
      <c r="H25" s="16">
        <v>170</v>
      </c>
      <c r="I25" s="16">
        <v>172</v>
      </c>
      <c r="J25" s="16">
        <v>169</v>
      </c>
      <c r="K25" s="16">
        <v>169</v>
      </c>
      <c r="L25" s="16">
        <v>171</v>
      </c>
      <c r="M25" s="16">
        <v>175</v>
      </c>
      <c r="N25" s="16">
        <v>175</v>
      </c>
    </row>
    <row r="26" spans="1:14" x14ac:dyDescent="0.25">
      <c r="A26" s="14"/>
      <c r="B26" s="1" t="s">
        <v>23</v>
      </c>
      <c r="C26" s="16">
        <v>11</v>
      </c>
      <c r="D26" s="16">
        <v>11</v>
      </c>
      <c r="E26" s="16">
        <v>11</v>
      </c>
      <c r="F26" s="16">
        <v>11</v>
      </c>
      <c r="G26" s="16">
        <v>11</v>
      </c>
      <c r="H26" s="16">
        <v>11</v>
      </c>
      <c r="I26" s="16">
        <v>11</v>
      </c>
      <c r="J26" s="16">
        <v>11</v>
      </c>
      <c r="K26" s="16">
        <v>11</v>
      </c>
      <c r="L26" s="16">
        <v>11</v>
      </c>
      <c r="M26" s="16">
        <v>10</v>
      </c>
      <c r="N26" s="16">
        <v>11</v>
      </c>
    </row>
    <row r="27" spans="1:14" x14ac:dyDescent="0.25">
      <c r="A27" s="14"/>
      <c r="B27" s="1" t="s">
        <v>24</v>
      </c>
      <c r="C27" s="16">
        <v>6</v>
      </c>
      <c r="D27" s="16">
        <v>6</v>
      </c>
      <c r="E27" s="16">
        <v>6</v>
      </c>
      <c r="F27" s="16">
        <v>6</v>
      </c>
      <c r="G27" s="16">
        <v>6</v>
      </c>
      <c r="H27" s="16">
        <v>6</v>
      </c>
      <c r="I27" s="16">
        <v>6</v>
      </c>
      <c r="J27" s="16">
        <v>6</v>
      </c>
      <c r="K27" s="16">
        <v>6</v>
      </c>
      <c r="L27" s="16">
        <v>6</v>
      </c>
      <c r="M27" s="16">
        <v>6</v>
      </c>
      <c r="N27" s="16">
        <v>6</v>
      </c>
    </row>
    <row r="28" spans="1:14" x14ac:dyDescent="0.25">
      <c r="A28" s="14"/>
      <c r="B28" s="1" t="s">
        <v>25</v>
      </c>
      <c r="C28" s="16">
        <v>3</v>
      </c>
      <c r="D28" s="16">
        <v>3</v>
      </c>
      <c r="E28" s="16">
        <v>3</v>
      </c>
      <c r="F28" s="16">
        <v>3</v>
      </c>
      <c r="G28" s="16">
        <v>3</v>
      </c>
      <c r="H28" s="18">
        <v>3</v>
      </c>
      <c r="I28" s="16">
        <v>3</v>
      </c>
      <c r="J28" s="16">
        <v>3</v>
      </c>
      <c r="K28" s="16">
        <v>3</v>
      </c>
      <c r="L28" s="16">
        <v>3</v>
      </c>
      <c r="M28" s="16">
        <v>3</v>
      </c>
      <c r="N28" s="16">
        <v>3</v>
      </c>
    </row>
    <row r="29" spans="1:14" x14ac:dyDescent="0.25">
      <c r="A29" s="14"/>
      <c r="B29" s="1" t="s">
        <v>26</v>
      </c>
      <c r="C29" s="16">
        <v>68</v>
      </c>
      <c r="D29" s="16">
        <v>68</v>
      </c>
      <c r="E29" s="16">
        <v>68</v>
      </c>
      <c r="F29" s="16">
        <v>68</v>
      </c>
      <c r="G29" s="16">
        <v>57</v>
      </c>
      <c r="H29" s="16">
        <v>68</v>
      </c>
      <c r="I29" s="16">
        <v>68</v>
      </c>
      <c r="J29" s="16">
        <v>69</v>
      </c>
      <c r="K29" s="16">
        <v>69</v>
      </c>
      <c r="L29" s="16">
        <v>69</v>
      </c>
      <c r="M29" s="16">
        <v>70</v>
      </c>
      <c r="N29" s="16">
        <v>70</v>
      </c>
    </row>
    <row r="30" spans="1:14" x14ac:dyDescent="0.25">
      <c r="A30" s="14"/>
      <c r="B30" s="1" t="s">
        <v>27</v>
      </c>
      <c r="C30" s="5">
        <f t="shared" ref="C30:G30" si="6">SUM(C22:C29)</f>
        <v>319</v>
      </c>
      <c r="D30" s="5">
        <f t="shared" si="6"/>
        <v>320</v>
      </c>
      <c r="E30" s="5">
        <f t="shared" si="6"/>
        <v>323</v>
      </c>
      <c r="F30" s="5">
        <f t="shared" si="6"/>
        <v>323</v>
      </c>
      <c r="G30" s="5">
        <f t="shared" si="6"/>
        <v>306</v>
      </c>
      <c r="H30" s="5">
        <f>SUM(H22:H29)</f>
        <v>321</v>
      </c>
      <c r="I30" s="5">
        <f t="shared" ref="I30:J30" si="7">SUM(I22:I29)</f>
        <v>323</v>
      </c>
      <c r="J30" s="5">
        <f t="shared" si="7"/>
        <v>318</v>
      </c>
      <c r="K30" s="5">
        <f t="shared" ref="K30:L30" si="8">SUM(K22:K29)</f>
        <v>318</v>
      </c>
      <c r="L30" s="5">
        <f t="shared" si="8"/>
        <v>322</v>
      </c>
      <c r="M30" s="5">
        <f>SUM(M22:M29)</f>
        <v>327</v>
      </c>
      <c r="N30" s="5">
        <f>SUM(N22:N29)</f>
        <v>331</v>
      </c>
    </row>
    <row r="31" spans="1:14" x14ac:dyDescent="0.25">
      <c r="A31" s="36" t="s">
        <v>28</v>
      </c>
      <c r="B31" s="37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</row>
    <row r="32" spans="1:14" ht="30" x14ac:dyDescent="0.25">
      <c r="A32" s="17"/>
      <c r="B32" s="1" t="s">
        <v>67</v>
      </c>
      <c r="C32" s="4">
        <v>100</v>
      </c>
      <c r="D32" s="4">
        <v>100</v>
      </c>
      <c r="E32" s="4">
        <v>100</v>
      </c>
      <c r="F32" s="4">
        <v>100</v>
      </c>
      <c r="G32" s="4">
        <v>100</v>
      </c>
      <c r="H32" s="4">
        <v>100</v>
      </c>
      <c r="I32" s="4">
        <v>100</v>
      </c>
      <c r="J32" s="4">
        <v>100</v>
      </c>
      <c r="K32" s="4">
        <v>100</v>
      </c>
      <c r="L32" s="4">
        <v>100</v>
      </c>
      <c r="M32" s="4">
        <v>100</v>
      </c>
      <c r="N32" s="4">
        <v>100</v>
      </c>
    </row>
    <row r="33" spans="1:14" ht="30" x14ac:dyDescent="0.25">
      <c r="A33" s="17"/>
      <c r="B33" s="1" t="s">
        <v>68</v>
      </c>
      <c r="C33" s="4">
        <v>100</v>
      </c>
      <c r="D33" s="4">
        <v>100</v>
      </c>
      <c r="E33" s="4">
        <v>100</v>
      </c>
      <c r="F33" s="4">
        <v>100</v>
      </c>
      <c r="G33" s="4">
        <v>100</v>
      </c>
      <c r="H33" s="4">
        <v>100</v>
      </c>
      <c r="I33" s="4">
        <v>100</v>
      </c>
      <c r="J33" s="4">
        <v>100</v>
      </c>
      <c r="K33" s="4">
        <v>100</v>
      </c>
      <c r="L33" s="4">
        <v>100</v>
      </c>
      <c r="M33" s="4">
        <v>100</v>
      </c>
      <c r="N33" s="4">
        <v>100</v>
      </c>
    </row>
    <row r="34" spans="1:14" x14ac:dyDescent="0.25">
      <c r="A34" s="36" t="s">
        <v>29</v>
      </c>
      <c r="B34" s="37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</row>
    <row r="35" spans="1:14" ht="24.95" customHeight="1" x14ac:dyDescent="0.25">
      <c r="A35" s="32"/>
      <c r="B35" s="1" t="s">
        <v>30</v>
      </c>
      <c r="C35" s="4">
        <v>1054</v>
      </c>
      <c r="D35" s="4">
        <v>1113</v>
      </c>
      <c r="E35" s="4">
        <v>1113</v>
      </c>
      <c r="F35" s="4">
        <v>1113</v>
      </c>
      <c r="G35" s="4">
        <v>974</v>
      </c>
      <c r="H35" s="4">
        <v>974</v>
      </c>
      <c r="I35" s="4">
        <v>974</v>
      </c>
      <c r="J35" s="4">
        <v>974</v>
      </c>
      <c r="K35" s="4">
        <v>974</v>
      </c>
      <c r="L35" s="4">
        <v>974</v>
      </c>
      <c r="M35" s="4">
        <v>974</v>
      </c>
      <c r="N35" s="4">
        <v>974</v>
      </c>
    </row>
    <row r="36" spans="1:14" x14ac:dyDescent="0.25">
      <c r="A36" s="36" t="s">
        <v>31</v>
      </c>
      <c r="B36" s="37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</row>
    <row r="37" spans="1:14" x14ac:dyDescent="0.25">
      <c r="A37" s="33"/>
      <c r="B37" s="1" t="s">
        <v>32</v>
      </c>
      <c r="C37" s="4">
        <v>340</v>
      </c>
      <c r="D37" s="4">
        <v>339</v>
      </c>
      <c r="E37" s="4">
        <v>345</v>
      </c>
      <c r="F37" s="4">
        <v>329</v>
      </c>
      <c r="G37" s="4">
        <v>327</v>
      </c>
      <c r="H37" s="4">
        <v>325</v>
      </c>
      <c r="I37" s="4">
        <v>327</v>
      </c>
      <c r="J37" s="4">
        <v>325</v>
      </c>
      <c r="K37" s="4">
        <v>325</v>
      </c>
      <c r="L37" s="4">
        <v>325</v>
      </c>
      <c r="M37" s="4">
        <v>325</v>
      </c>
      <c r="N37" s="4">
        <v>338</v>
      </c>
    </row>
    <row r="38" spans="1:14" x14ac:dyDescent="0.25">
      <c r="A38" s="33"/>
      <c r="B38" s="1" t="s">
        <v>33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</row>
    <row r="39" spans="1:14" x14ac:dyDescent="0.25">
      <c r="A39" s="33"/>
      <c r="B39" s="1" t="s">
        <v>17</v>
      </c>
      <c r="C39" s="5">
        <f t="shared" ref="C39" si="9">SUM(C37:C38)</f>
        <v>340</v>
      </c>
      <c r="D39" s="5">
        <f t="shared" ref="D39:E39" si="10">SUM(D37:D38)</f>
        <v>339</v>
      </c>
      <c r="E39" s="5">
        <f t="shared" si="10"/>
        <v>345</v>
      </c>
      <c r="F39" s="5">
        <f>SUM(F37:F38)</f>
        <v>329</v>
      </c>
      <c r="G39" s="5">
        <f t="shared" ref="G39" si="11">SUM(G37:G38)</f>
        <v>327</v>
      </c>
      <c r="H39" s="5">
        <f t="shared" ref="H39" si="12">SUM(H37:H38)</f>
        <v>325</v>
      </c>
      <c r="I39" s="5">
        <f t="shared" ref="I39:J39" si="13">SUM(I37:I38)</f>
        <v>327</v>
      </c>
      <c r="J39" s="5">
        <f t="shared" si="13"/>
        <v>325</v>
      </c>
      <c r="K39" s="5">
        <f t="shared" ref="K39:L39" si="14">SUM(K37:K38)</f>
        <v>325</v>
      </c>
      <c r="L39" s="5">
        <f t="shared" si="14"/>
        <v>325</v>
      </c>
      <c r="M39" s="5">
        <f>SUM(M37:M38)</f>
        <v>325</v>
      </c>
      <c r="N39" s="5">
        <f>SUM(N37:N38)</f>
        <v>338</v>
      </c>
    </row>
    <row r="40" spans="1:14" ht="25.5" customHeight="1" x14ac:dyDescent="0.25">
      <c r="A40" s="38"/>
      <c r="B40" s="39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</row>
    <row r="41" spans="1:14" ht="36.950000000000003" customHeight="1" x14ac:dyDescent="0.25">
      <c r="A41" s="40" t="s">
        <v>34</v>
      </c>
      <c r="B41" s="4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</row>
    <row r="42" spans="1:14" x14ac:dyDescent="0.25">
      <c r="A42" s="22"/>
      <c r="B42" s="23" t="s">
        <v>35</v>
      </c>
      <c r="C42" s="6" t="s">
        <v>52</v>
      </c>
      <c r="D42" s="6" t="s">
        <v>53</v>
      </c>
      <c r="E42" s="6" t="s">
        <v>54</v>
      </c>
      <c r="F42" s="30" t="s">
        <v>55</v>
      </c>
      <c r="G42" s="30" t="s">
        <v>56</v>
      </c>
      <c r="H42" s="30" t="s">
        <v>58</v>
      </c>
      <c r="I42" s="30" t="s">
        <v>61</v>
      </c>
      <c r="J42" s="30" t="s">
        <v>63</v>
      </c>
      <c r="K42" s="30" t="s">
        <v>36</v>
      </c>
      <c r="L42" s="30" t="s">
        <v>37</v>
      </c>
      <c r="M42" s="30" t="s">
        <v>38</v>
      </c>
      <c r="N42" s="30" t="s">
        <v>39</v>
      </c>
    </row>
    <row r="43" spans="1:14" x14ac:dyDescent="0.25">
      <c r="A43" s="17"/>
      <c r="B43" s="35" t="s">
        <v>40</v>
      </c>
      <c r="C43" s="34">
        <f t="shared" ref="C43:K43" si="15">SUM(C3,C5,C7,C8)</f>
        <v>3839</v>
      </c>
      <c r="D43" s="34">
        <f t="shared" si="15"/>
        <v>3870</v>
      </c>
      <c r="E43" s="34">
        <f t="shared" si="15"/>
        <v>3877</v>
      </c>
      <c r="F43" s="34">
        <f t="shared" si="15"/>
        <v>3726</v>
      </c>
      <c r="G43" s="34">
        <f t="shared" si="15"/>
        <v>3657</v>
      </c>
      <c r="H43" s="34">
        <f t="shared" si="15"/>
        <v>3642</v>
      </c>
      <c r="I43" s="34">
        <f t="shared" si="15"/>
        <v>2775</v>
      </c>
      <c r="J43" s="34">
        <f t="shared" si="15"/>
        <v>3653</v>
      </c>
      <c r="K43" s="34">
        <f t="shared" si="15"/>
        <v>3596</v>
      </c>
      <c r="L43" s="34">
        <v>3365</v>
      </c>
      <c r="M43" s="34">
        <f>SUM(M3,M5,M7,M8)</f>
        <v>3365</v>
      </c>
      <c r="N43" s="34">
        <f>SUM(N3,N5,N7,N8)</f>
        <v>3311</v>
      </c>
    </row>
    <row r="44" spans="1:14" x14ac:dyDescent="0.25">
      <c r="A44" s="17"/>
      <c r="B44" s="35" t="s">
        <v>41</v>
      </c>
      <c r="C44" s="34">
        <f>SUM(C9,C11,C13)</f>
        <v>3005</v>
      </c>
      <c r="D44" s="34">
        <f>SUM(D9,D11,D13)</f>
        <v>3005</v>
      </c>
      <c r="E44" s="34">
        <f>SUM(E9,E11,E13)</f>
        <v>3005</v>
      </c>
      <c r="F44" s="34">
        <f t="shared" ref="F44:N44" si="16">SUM(F9,F11,F12,F13)</f>
        <v>2631</v>
      </c>
      <c r="G44" s="34">
        <f t="shared" si="16"/>
        <v>2596</v>
      </c>
      <c r="H44" s="34">
        <f t="shared" si="16"/>
        <v>2605</v>
      </c>
      <c r="I44" s="34">
        <f t="shared" si="16"/>
        <v>2807</v>
      </c>
      <c r="J44" s="34">
        <f t="shared" si="16"/>
        <v>2604</v>
      </c>
      <c r="K44" s="34">
        <f t="shared" si="16"/>
        <v>2618</v>
      </c>
      <c r="L44" s="34">
        <f t="shared" si="16"/>
        <v>2581</v>
      </c>
      <c r="M44" s="34">
        <f t="shared" si="16"/>
        <v>2426</v>
      </c>
      <c r="N44" s="34">
        <f t="shared" si="16"/>
        <v>2800</v>
      </c>
    </row>
    <row r="45" spans="1:14" ht="24.95" customHeight="1" x14ac:dyDescent="0.25">
      <c r="A45" s="17"/>
      <c r="B45" s="35" t="s">
        <v>41</v>
      </c>
      <c r="C45" s="34"/>
      <c r="D45" s="34"/>
      <c r="E45" s="34"/>
      <c r="F45" s="34"/>
      <c r="G45" s="34"/>
      <c r="H45" s="34"/>
      <c r="I45" s="34"/>
      <c r="J45" s="34"/>
      <c r="K45" s="34"/>
      <c r="L45" s="34">
        <f>SUM(L11)</f>
        <v>575</v>
      </c>
      <c r="M45" s="34">
        <f>SUM(M11)</f>
        <v>561</v>
      </c>
      <c r="N45" s="34">
        <f>SUM(N11)</f>
        <v>572</v>
      </c>
    </row>
    <row r="46" spans="1:14" ht="30" x14ac:dyDescent="0.25">
      <c r="A46" s="17"/>
      <c r="B46" s="35" t="s">
        <v>57</v>
      </c>
      <c r="C46" s="34">
        <f>SUM(C20,C30,C32:C33,C35)</f>
        <v>5563</v>
      </c>
      <c r="D46" s="34">
        <f t="shared" ref="D46:N46" si="17">SUM(D30,D32:D33,D35)</f>
        <v>1633</v>
      </c>
      <c r="E46" s="34">
        <f t="shared" si="17"/>
        <v>1636</v>
      </c>
      <c r="F46" s="34">
        <f t="shared" si="17"/>
        <v>1636</v>
      </c>
      <c r="G46" s="34">
        <f t="shared" si="17"/>
        <v>1480</v>
      </c>
      <c r="H46" s="34">
        <f t="shared" si="17"/>
        <v>1495</v>
      </c>
      <c r="I46" s="34">
        <f t="shared" si="17"/>
        <v>1497</v>
      </c>
      <c r="J46" s="34">
        <f t="shared" si="17"/>
        <v>1492</v>
      </c>
      <c r="K46" s="34">
        <f t="shared" si="17"/>
        <v>1492</v>
      </c>
      <c r="L46" s="34">
        <f t="shared" si="17"/>
        <v>1496</v>
      </c>
      <c r="M46" s="34">
        <f t="shared" si="17"/>
        <v>1501</v>
      </c>
      <c r="N46" s="34">
        <f t="shared" si="17"/>
        <v>1505</v>
      </c>
    </row>
    <row r="47" spans="1:14" ht="30" x14ac:dyDescent="0.25">
      <c r="A47" s="17"/>
      <c r="B47" s="35" t="s">
        <v>42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</row>
    <row r="48" spans="1:14" x14ac:dyDescent="0.25">
      <c r="A48" s="17"/>
      <c r="B48" s="35" t="s">
        <v>43</v>
      </c>
      <c r="C48" s="34">
        <f t="shared" ref="C48:N48" si="18">SUM(C39)</f>
        <v>340</v>
      </c>
      <c r="D48" s="34">
        <f t="shared" si="18"/>
        <v>339</v>
      </c>
      <c r="E48" s="34">
        <f t="shared" si="18"/>
        <v>345</v>
      </c>
      <c r="F48" s="34">
        <f t="shared" si="18"/>
        <v>329</v>
      </c>
      <c r="G48" s="34">
        <f t="shared" si="18"/>
        <v>327</v>
      </c>
      <c r="H48" s="34">
        <f t="shared" si="18"/>
        <v>325</v>
      </c>
      <c r="I48" s="34">
        <f t="shared" si="18"/>
        <v>327</v>
      </c>
      <c r="J48" s="34">
        <f t="shared" si="18"/>
        <v>325</v>
      </c>
      <c r="K48" s="34">
        <f t="shared" si="18"/>
        <v>325</v>
      </c>
      <c r="L48" s="34">
        <f t="shared" si="18"/>
        <v>325</v>
      </c>
      <c r="M48" s="34">
        <f t="shared" si="18"/>
        <v>325</v>
      </c>
      <c r="N48" s="34">
        <f t="shared" si="18"/>
        <v>338</v>
      </c>
    </row>
    <row r="49" spans="1:14" ht="30" x14ac:dyDescent="0.25">
      <c r="A49" s="17"/>
      <c r="B49" s="35" t="s">
        <v>44</v>
      </c>
      <c r="C49" s="2" t="e">
        <f>SUM(#REF!)</f>
        <v>#REF!</v>
      </c>
      <c r="D49" s="2" t="e">
        <f>SUM(#REF!)</f>
        <v>#REF!</v>
      </c>
      <c r="E49" s="2" t="e">
        <f>SUM(#REF!)</f>
        <v>#REF!</v>
      </c>
      <c r="F49" s="2" t="e">
        <f>SUM(#REF!)</f>
        <v>#REF!</v>
      </c>
      <c r="G49" s="2" t="e">
        <f>SUM(#REF!)</f>
        <v>#REF!</v>
      </c>
      <c r="H49" s="2" t="e">
        <f>SUM(#REF!)</f>
        <v>#REF!</v>
      </c>
      <c r="I49" s="2" t="e">
        <f>SUM(#REF!)</f>
        <v>#REF!</v>
      </c>
      <c r="J49" s="2" t="e">
        <f>SUM(#REF!)</f>
        <v>#REF!</v>
      </c>
      <c r="K49" s="2" t="e">
        <f>SUM(#REF!)</f>
        <v>#REF!</v>
      </c>
      <c r="L49" s="2" t="e">
        <f>SUM(#REF!)</f>
        <v>#REF!</v>
      </c>
      <c r="M49" s="2" t="e">
        <f>SUM(#REF!)</f>
        <v>#REF!</v>
      </c>
      <c r="N49" s="2" t="e">
        <f>SUM(#REF!)</f>
        <v>#REF!</v>
      </c>
    </row>
    <row r="50" spans="1:14" ht="15.75" thickBot="1" x14ac:dyDescent="0.3">
      <c r="A50" s="24" t="s">
        <v>70</v>
      </c>
      <c r="B50" s="25" t="s">
        <v>45</v>
      </c>
      <c r="C50" s="26">
        <f>SUM(C43,C44,C46,C47)</f>
        <v>12407</v>
      </c>
      <c r="D50" s="26" t="e">
        <f>SUM(D43,D44,D46,D47,D49)</f>
        <v>#REF!</v>
      </c>
      <c r="E50" s="26" t="e">
        <f t="shared" ref="E50:G50" si="19">SUM(E43,E44,E46,E47,E49)</f>
        <v>#REF!</v>
      </c>
      <c r="F50" s="26" t="e">
        <f t="shared" si="19"/>
        <v>#REF!</v>
      </c>
      <c r="G50" s="26" t="e">
        <f t="shared" si="19"/>
        <v>#REF!</v>
      </c>
      <c r="H50" s="26" t="e">
        <f t="shared" ref="H50" si="20">SUM(H43,H44,H46,H47,H49)</f>
        <v>#REF!</v>
      </c>
      <c r="I50" s="26" t="e">
        <f t="shared" ref="I50:N50" si="21">SUM(I43,I44,I46,I47,I49)</f>
        <v>#REF!</v>
      </c>
      <c r="J50" s="26" t="e">
        <f t="shared" si="21"/>
        <v>#REF!</v>
      </c>
      <c r="K50" s="26" t="e">
        <f t="shared" si="21"/>
        <v>#REF!</v>
      </c>
      <c r="L50" s="26" t="e">
        <f t="shared" si="21"/>
        <v>#REF!</v>
      </c>
      <c r="M50" s="26" t="e">
        <f t="shared" si="21"/>
        <v>#REF!</v>
      </c>
      <c r="N50" s="26" t="e">
        <f t="shared" si="21"/>
        <v>#REF!</v>
      </c>
    </row>
    <row r="51" spans="1:14" ht="15.75" thickBot="1" x14ac:dyDescent="0.3">
      <c r="A51" s="28" t="s">
        <v>71</v>
      </c>
      <c r="B51" s="29" t="s">
        <v>72</v>
      </c>
      <c r="M51" s="31">
        <f>SUM(M43,M45,M46)</f>
        <v>5427</v>
      </c>
      <c r="N51" s="31">
        <f>SUM(N43,N45,N46)</f>
        <v>5388</v>
      </c>
    </row>
  </sheetData>
  <mergeCells count="11">
    <mergeCell ref="A21:B21"/>
    <mergeCell ref="A1:B1"/>
    <mergeCell ref="A4:B4"/>
    <mergeCell ref="A6:B6"/>
    <mergeCell ref="A10:B10"/>
    <mergeCell ref="A14:B14"/>
    <mergeCell ref="A31:B31"/>
    <mergeCell ref="A34:B34"/>
    <mergeCell ref="A36:B36"/>
    <mergeCell ref="A40:B40"/>
    <mergeCell ref="A41:B41"/>
  </mergeCells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578f499-71ac-45d4-af23-b0c05f26365c" xsi:nil="true"/>
    <lcf76f155ced4ddcb4097134ff3c332f xmlns="7fd5583f-097b-4bd5-846b-8210c51c1752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FE265E4BB299A4BA05BF8AE07FF7670" ma:contentTypeVersion="14" ma:contentTypeDescription="Create a new document." ma:contentTypeScope="" ma:versionID="4b4a127c91ea98d631b205c37186085e">
  <xsd:schema xmlns:xsd="http://www.w3.org/2001/XMLSchema" xmlns:xs="http://www.w3.org/2001/XMLSchema" xmlns:p="http://schemas.microsoft.com/office/2006/metadata/properties" xmlns:ns2="7fd5583f-097b-4bd5-846b-8210c51c1752" xmlns:ns3="f578f499-71ac-45d4-af23-b0c05f26365c" targetNamespace="http://schemas.microsoft.com/office/2006/metadata/properties" ma:root="true" ma:fieldsID="0fa00741016dbf880dfe798f3c0650a0" ns2:_="" ns3:_="">
    <xsd:import namespace="7fd5583f-097b-4bd5-846b-8210c51c1752"/>
    <xsd:import namespace="f578f499-71ac-45d4-af23-b0c05f2636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d5583f-097b-4bd5-846b-8210c51c175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2f9b6b14-b2e9-4229-8a92-3cede8e5973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78f499-71ac-45d4-af23-b0c05f26365c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772176c0-c17a-4738-9f19-8440844eae48}" ma:internalName="TaxCatchAll" ma:showField="CatchAllData" ma:web="f578f499-71ac-45d4-af23-b0c05f2636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A8650A2-2F3E-4EC8-B544-74B0A1A4CA5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F2C11DC-E923-44FF-B1B5-28B03B10DA40}">
  <ds:schemaRefs>
    <ds:schemaRef ds:uri="883d2d45-8c20-4570-b3f2-d407eff5f989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terms/"/>
    <ds:schemaRef ds:uri="aab01f8f-102d-4767-9b85-2247d4663044"/>
    <ds:schemaRef ds:uri="http://schemas.microsoft.com/office/2006/metadata/properties"/>
    <ds:schemaRef ds:uri="http://www.w3.org/XML/1998/namespace"/>
    <ds:schemaRef ds:uri="f578f499-71ac-45d4-af23-b0c05f26365c"/>
    <ds:schemaRef ds:uri="7fd5583f-097b-4bd5-846b-8210c51c1752"/>
  </ds:schemaRefs>
</ds:datastoreItem>
</file>

<file path=customXml/itemProps3.xml><?xml version="1.0" encoding="utf-8"?>
<ds:datastoreItem xmlns:ds="http://schemas.openxmlformats.org/officeDocument/2006/customXml" ds:itemID="{EB7D5E41-FE2C-4E8B-A9B7-0F69A59DA5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fd5583f-097b-4bd5-846b-8210c51c1752"/>
    <ds:schemaRef ds:uri="f578f499-71ac-45d4-af23-b0c05f26365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FY24 Monthly Reporting</vt:lpstr>
    </vt:vector>
  </TitlesOfParts>
  <Manager/>
  <Company>DHS-FLETC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Peifer, Robert M</dc:creator>
  <cp:keywords/>
  <dc:description/>
  <cp:lastModifiedBy>Abel, Edward B</cp:lastModifiedBy>
  <cp:revision/>
  <dcterms:created xsi:type="dcterms:W3CDTF">2018-05-15T12:49:06Z</dcterms:created>
  <dcterms:modified xsi:type="dcterms:W3CDTF">2025-11-03T15:03:23Z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37dd7f12-f31c-43c9-b705-b4a7a35c3b88</vt:lpwstr>
  </property>
  <property fmtid="{D5CDD505-2E9C-101B-9397-08002B2CF9AE}" pid="3" name="ContentTypeId">
    <vt:lpwstr>0x0101001FE265E4BB299A4BA05BF8AE07FF7670</vt:lpwstr>
  </property>
  <property fmtid="{D5CDD505-2E9C-101B-9397-08002B2CF9AE}" pid="4" name="MSIP_Label_a2eef23d-2e95-4428-9a3c-2526d95b164a_Enabled">
    <vt:lpwstr>true</vt:lpwstr>
  </property>
  <property fmtid="{D5CDD505-2E9C-101B-9397-08002B2CF9AE}" pid="5" name="MSIP_Label_a2eef23d-2e95-4428-9a3c-2526d95b164a_SetDate">
    <vt:lpwstr>2022-11-18T14:57:33Z</vt:lpwstr>
  </property>
  <property fmtid="{D5CDD505-2E9C-101B-9397-08002B2CF9AE}" pid="6" name="MSIP_Label_a2eef23d-2e95-4428-9a3c-2526d95b164a_Method">
    <vt:lpwstr>Standard</vt:lpwstr>
  </property>
  <property fmtid="{D5CDD505-2E9C-101B-9397-08002B2CF9AE}" pid="7" name="MSIP_Label_a2eef23d-2e95-4428-9a3c-2526d95b164a_Name">
    <vt:lpwstr>For Official Use Only (FOUO)</vt:lpwstr>
  </property>
  <property fmtid="{D5CDD505-2E9C-101B-9397-08002B2CF9AE}" pid="8" name="MSIP_Label_a2eef23d-2e95-4428-9a3c-2526d95b164a_SiteId">
    <vt:lpwstr>3ccde76c-946d-4a12-bb7a-fc9d0842354a</vt:lpwstr>
  </property>
  <property fmtid="{D5CDD505-2E9C-101B-9397-08002B2CF9AE}" pid="9" name="MSIP_Label_a2eef23d-2e95-4428-9a3c-2526d95b164a_ActionId">
    <vt:lpwstr>0c4d033b-f14f-40a6-a5c0-eecc3c7c457f</vt:lpwstr>
  </property>
  <property fmtid="{D5CDD505-2E9C-101B-9397-08002B2CF9AE}" pid="10" name="MSIP_Label_a2eef23d-2e95-4428-9a3c-2526d95b164a_ContentBits">
    <vt:lpwstr>0</vt:lpwstr>
  </property>
  <property fmtid="{D5CDD505-2E9C-101B-9397-08002B2CF9AE}" pid="11" name="MediaServiceImageTags">
    <vt:lpwstr/>
  </property>
</Properties>
</file>