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K:\NIAAA CMB\NIEHS Acquisitions\NIEHS NAMS Dr. Yao\Request for Proposal\AMENDMENTS\Amendment 2 - Q and As\"/>
    </mc:Choice>
  </mc:AlternateContent>
  <xr:revisionPtr revIDLastSave="0" documentId="14_{E4D53041-7491-491D-BD00-C898CCA39FCD}" xr6:coauthVersionLast="47" xr6:coauthVersionMax="47" xr10:uidLastSave="{00000000-0000-0000-0000-000000000000}"/>
  <bookViews>
    <workbookView xWindow="30825" yWindow="1305" windowWidth="21600" windowHeight="12585" tabRatio="841" xr2:uid="{843A85F6-8D93-0647-B59F-9C05A7B0D8C1}"/>
  </bookViews>
  <sheets>
    <sheet name="Instruction Tab" sheetId="21" r:id="rId1"/>
    <sheet name="Overall Summary" sheetId="22" r:id="rId2"/>
    <sheet name="Rates" sheetId="23" r:id="rId3"/>
    <sheet name="Admin RO" sheetId="1" r:id="rId4"/>
    <sheet name="Sample RO I" sheetId="2" r:id="rId5"/>
    <sheet name="Sample RO II" sheetId="8" r:id="rId6"/>
    <sheet name="Sample RO III-Phase 1" sheetId="5" r:id="rId7"/>
    <sheet name="Sample RO III-Phase 2" sheetId="12" r:id="rId8"/>
    <sheet name="Sample RO IV" sheetId="4" r:id="rId9"/>
    <sheet name="Sample RO V" sheetId="6" r:id="rId10"/>
    <sheet name="Sample RO VI" sheetId="7" r:id="rId11"/>
    <sheet name="Sample RO VII" sheetId="15" r:id="rId12"/>
    <sheet name="Website maintenance" sheetId="17" r:id="rId13"/>
    <sheet name="Training" sheetId="16" r:id="rId14"/>
    <sheet name="Expert Group" sheetId="18" r:id="rId15"/>
    <sheet name="Workshop" sheetId="20" r:id="rId16"/>
    <sheet name="Contractor Travel" sheetId="19" r:id="rId17"/>
    <sheet name="SUMMARY" sheetId="11" r:id="rId18"/>
    <sheet name="Exec Summary" sheetId="14" r:id="rId19"/>
    <sheet name="Total Estimate" sheetId="24" r:id="rId2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4" l="1"/>
  <c r="G9" i="14"/>
  <c r="D10" i="14"/>
  <c r="D9" i="14"/>
  <c r="E24" i="24" l="1"/>
  <c r="E23" i="24"/>
  <c r="E22" i="24"/>
  <c r="E21" i="24"/>
  <c r="E20" i="24"/>
  <c r="E19" i="24"/>
  <c r="E18" i="24"/>
  <c r="E17" i="24"/>
  <c r="E16" i="24"/>
  <c r="E15" i="24"/>
  <c r="E12" i="24"/>
  <c r="E11" i="24"/>
  <c r="E10" i="24"/>
  <c r="E9" i="24"/>
  <c r="E8" i="24"/>
  <c r="E7" i="24"/>
  <c r="E6" i="24"/>
  <c r="E5" i="24"/>
  <c r="E4" i="24"/>
  <c r="E3" i="24"/>
  <c r="D61" i="11"/>
  <c r="E61" i="11" s="1"/>
  <c r="F61" i="11" s="1"/>
  <c r="G61" i="11" s="1"/>
  <c r="H61" i="11" s="1"/>
  <c r="I61" i="11" s="1"/>
  <c r="J61" i="11" s="1"/>
  <c r="K61" i="11" s="1"/>
  <c r="C61" i="11"/>
  <c r="D60" i="11"/>
  <c r="E60" i="11" s="1"/>
  <c r="F60" i="11" s="1"/>
  <c r="G60" i="11" s="1"/>
  <c r="H60" i="11" s="1"/>
  <c r="I60" i="11" s="1"/>
  <c r="J60" i="11" s="1"/>
  <c r="K60" i="11" s="1"/>
  <c r="C60" i="11"/>
  <c r="K44" i="11"/>
  <c r="J44" i="11"/>
  <c r="I44" i="11"/>
  <c r="H44" i="11"/>
  <c r="G44" i="11"/>
  <c r="F44" i="11"/>
  <c r="E44" i="11"/>
  <c r="D44" i="11"/>
  <c r="C44" i="11"/>
  <c r="K43" i="11"/>
  <c r="J43" i="11"/>
  <c r="I43" i="11"/>
  <c r="H43" i="11"/>
  <c r="G43" i="11"/>
  <c r="F43" i="11"/>
  <c r="E43" i="11"/>
  <c r="D43" i="11"/>
  <c r="C43" i="11"/>
  <c r="G11" i="14" l="1"/>
  <c r="X22" i="18"/>
  <c r="X21" i="18"/>
  <c r="X20" i="18"/>
  <c r="X19" i="18"/>
  <c r="X18" i="18"/>
  <c r="X17" i="18"/>
  <c r="X10" i="18"/>
  <c r="X9" i="18"/>
  <c r="X8" i="18"/>
  <c r="X7" i="18"/>
  <c r="X11" i="18" s="1"/>
  <c r="X12" i="18" s="1"/>
  <c r="X13" i="18" s="1"/>
  <c r="X14" i="18" s="1"/>
  <c r="X79" i="19"/>
  <c r="X78" i="19"/>
  <c r="X77" i="19"/>
  <c r="X75" i="19"/>
  <c r="X74" i="19"/>
  <c r="X73" i="19"/>
  <c r="X64" i="19"/>
  <c r="X65" i="19" s="1"/>
  <c r="X66" i="19" s="1"/>
  <c r="X67" i="19" s="1"/>
  <c r="X68" i="19" s="1"/>
  <c r="X69" i="19" s="1"/>
  <c r="X55" i="19"/>
  <c r="X54" i="19"/>
  <c r="X53" i="19"/>
  <c r="X51" i="19"/>
  <c r="X50" i="19"/>
  <c r="X49" i="19"/>
  <c r="X40" i="19"/>
  <c r="X39" i="19"/>
  <c r="X37" i="19"/>
  <c r="X36" i="19"/>
  <c r="X35" i="19"/>
  <c r="X41" i="19" s="1"/>
  <c r="X42" i="19" s="1"/>
  <c r="X43" i="19" s="1"/>
  <c r="X44" i="19" s="1"/>
  <c r="X45" i="19" s="1"/>
  <c r="X26" i="19"/>
  <c r="X25" i="19"/>
  <c r="X23" i="19"/>
  <c r="X22" i="19"/>
  <c r="X21" i="19"/>
  <c r="X27" i="19" s="1"/>
  <c r="X28" i="19" s="1"/>
  <c r="X29" i="19" s="1"/>
  <c r="X30" i="19" s="1"/>
  <c r="X31" i="19" s="1"/>
  <c r="X12" i="19"/>
  <c r="X11" i="19"/>
  <c r="X9" i="19"/>
  <c r="X8" i="19"/>
  <c r="X7" i="19"/>
  <c r="X26" i="18" l="1"/>
  <c r="X28" i="18" s="1"/>
  <c r="X30" i="18" s="1"/>
  <c r="X80" i="19"/>
  <c r="X81" i="19" s="1"/>
  <c r="X82" i="19" s="1"/>
  <c r="X83" i="19" s="1"/>
  <c r="X84" i="19" s="1"/>
  <c r="X56" i="19"/>
  <c r="X57" i="19" s="1"/>
  <c r="X58" i="19" s="1"/>
  <c r="X59" i="19" s="1"/>
  <c r="X60" i="19" s="1"/>
  <c r="X13" i="19"/>
  <c r="X14" i="19" s="1"/>
  <c r="X15" i="19" s="1"/>
  <c r="X16" i="19" s="1"/>
  <c r="X17" i="19" s="1"/>
  <c r="X86" i="19" s="1"/>
  <c r="B60" i="11" s="1"/>
  <c r="X23" i="18"/>
  <c r="X24" i="18" s="1"/>
  <c r="X25" i="18" s="1"/>
  <c r="X22" i="20" l="1"/>
  <c r="X21" i="20"/>
  <c r="X20" i="20"/>
  <c r="X19" i="20"/>
  <c r="X18" i="20"/>
  <c r="X11" i="20"/>
  <c r="X10" i="20"/>
  <c r="X9" i="20"/>
  <c r="X8" i="20"/>
  <c r="X23" i="20" l="1"/>
  <c r="X24" i="20" s="1"/>
  <c r="X25" i="20" s="1"/>
  <c r="X26" i="20" s="1"/>
  <c r="X12" i="20"/>
  <c r="X13" i="20" s="1"/>
  <c r="X14" i="20" s="1"/>
  <c r="X15" i="20" s="1"/>
  <c r="X28" i="20" s="1"/>
  <c r="X30" i="20" s="1"/>
  <c r="B61" i="11" s="1"/>
  <c r="I7" i="16" l="1"/>
  <c r="B7" i="16"/>
  <c r="K6" i="16"/>
  <c r="M6" i="16" s="1"/>
  <c r="F6" i="16"/>
  <c r="K5" i="16"/>
  <c r="M5" i="16" s="1"/>
  <c r="F5" i="16"/>
  <c r="I7" i="17"/>
  <c r="B7" i="17"/>
  <c r="K6" i="17"/>
  <c r="M6" i="17" s="1"/>
  <c r="F6" i="17"/>
  <c r="K5" i="17"/>
  <c r="M5" i="17" s="1"/>
  <c r="F5" i="17"/>
  <c r="I7" i="15"/>
  <c r="B7" i="15"/>
  <c r="K6" i="15"/>
  <c r="M6" i="15" s="1"/>
  <c r="F6" i="15"/>
  <c r="K5" i="15"/>
  <c r="M5" i="15" s="1"/>
  <c r="F5" i="15"/>
  <c r="I7" i="7"/>
  <c r="B7" i="7"/>
  <c r="K6" i="7"/>
  <c r="M6" i="7" s="1"/>
  <c r="F6" i="7"/>
  <c r="K5" i="7"/>
  <c r="M5" i="7" s="1"/>
  <c r="F5" i="7"/>
  <c r="I7" i="6"/>
  <c r="B7" i="6"/>
  <c r="K6" i="6"/>
  <c r="M6" i="6" s="1"/>
  <c r="F6" i="6"/>
  <c r="K5" i="6"/>
  <c r="M5" i="6" s="1"/>
  <c r="F5" i="6"/>
  <c r="I7" i="4"/>
  <c r="B7" i="4"/>
  <c r="K6" i="4"/>
  <c r="M6" i="4" s="1"/>
  <c r="F6" i="4"/>
  <c r="K5" i="4"/>
  <c r="M5" i="4" s="1"/>
  <c r="F5" i="4"/>
  <c r="I7" i="12"/>
  <c r="B7" i="12"/>
  <c r="K6" i="12"/>
  <c r="M6" i="12" s="1"/>
  <c r="F6" i="12"/>
  <c r="K5" i="12"/>
  <c r="M5" i="12" s="1"/>
  <c r="F5" i="12"/>
  <c r="I7" i="5"/>
  <c r="B7" i="5"/>
  <c r="K6" i="5"/>
  <c r="M6" i="5" s="1"/>
  <c r="F6" i="5"/>
  <c r="K5" i="5"/>
  <c r="M5" i="5" s="1"/>
  <c r="F5" i="5"/>
  <c r="I7" i="8"/>
  <c r="B7" i="8"/>
  <c r="K6" i="8"/>
  <c r="M6" i="8" s="1"/>
  <c r="F6" i="8"/>
  <c r="K5" i="8"/>
  <c r="M5" i="8" s="1"/>
  <c r="F5" i="8"/>
  <c r="K6" i="2"/>
  <c r="M6" i="2" s="1"/>
  <c r="K5" i="2"/>
  <c r="M5" i="2" s="1"/>
  <c r="I7" i="2"/>
  <c r="G4" i="14" l="1"/>
  <c r="G3" i="14"/>
  <c r="F7" i="8"/>
  <c r="F9" i="8" s="1"/>
  <c r="F10" i="8" s="1"/>
  <c r="F14" i="8" s="1"/>
  <c r="F16" i="8" s="1"/>
  <c r="F17" i="8" s="1"/>
  <c r="M7" i="2"/>
  <c r="M9" i="2" s="1"/>
  <c r="M10" i="2" s="1"/>
  <c r="M14" i="2" s="1"/>
  <c r="M16" i="2" s="1"/>
  <c r="M17" i="2" s="1"/>
  <c r="M7" i="17"/>
  <c r="M9" i="17" s="1"/>
  <c r="M10" i="17" s="1"/>
  <c r="M14" i="17" s="1"/>
  <c r="M7" i="16"/>
  <c r="M9" i="16" s="1"/>
  <c r="M10" i="16" s="1"/>
  <c r="M14" i="16" s="1"/>
  <c r="M16" i="16" s="1"/>
  <c r="M17" i="16" s="1"/>
  <c r="F7" i="16"/>
  <c r="F9" i="16" s="1"/>
  <c r="F10" i="16" s="1"/>
  <c r="F14" i="16" s="1"/>
  <c r="F16" i="16" s="1"/>
  <c r="F17" i="16" s="1"/>
  <c r="F7" i="17"/>
  <c r="F9" i="17" s="1"/>
  <c r="F10" i="17" s="1"/>
  <c r="F14" i="17" s="1"/>
  <c r="F16" i="17" s="1"/>
  <c r="M7" i="15"/>
  <c r="M9" i="15" s="1"/>
  <c r="M10" i="15" s="1"/>
  <c r="M14" i="15" s="1"/>
  <c r="M16" i="15" s="1"/>
  <c r="M17" i="15" s="1"/>
  <c r="F7" i="15"/>
  <c r="F9" i="15" s="1"/>
  <c r="F10" i="15" s="1"/>
  <c r="F14" i="15" s="1"/>
  <c r="F16" i="15" s="1"/>
  <c r="F17" i="15" s="1"/>
  <c r="M7" i="7"/>
  <c r="M9" i="7" s="1"/>
  <c r="M10" i="7" s="1"/>
  <c r="M14" i="7" s="1"/>
  <c r="M16" i="7" s="1"/>
  <c r="M17" i="7" s="1"/>
  <c r="F7" i="7"/>
  <c r="F9" i="7" s="1"/>
  <c r="F10" i="7" s="1"/>
  <c r="F14" i="7" s="1"/>
  <c r="F16" i="7" s="1"/>
  <c r="F17" i="7" s="1"/>
  <c r="M7" i="6"/>
  <c r="M9" i="6" s="1"/>
  <c r="M10" i="6" s="1"/>
  <c r="M14" i="6" s="1"/>
  <c r="M16" i="6" s="1"/>
  <c r="M17" i="6" s="1"/>
  <c r="F7" i="6"/>
  <c r="F9" i="6" s="1"/>
  <c r="F10" i="6" s="1"/>
  <c r="F14" i="6" s="1"/>
  <c r="F16" i="6" s="1"/>
  <c r="F17" i="6" s="1"/>
  <c r="M7" i="4"/>
  <c r="M9" i="4" s="1"/>
  <c r="M10" i="4" s="1"/>
  <c r="M14" i="4" s="1"/>
  <c r="M16" i="4" s="1"/>
  <c r="M17" i="4" s="1"/>
  <c r="F7" i="4"/>
  <c r="F9" i="4" s="1"/>
  <c r="F10" i="4" s="1"/>
  <c r="F14" i="4" s="1"/>
  <c r="F16" i="4" s="1"/>
  <c r="M7" i="12"/>
  <c r="M9" i="12" s="1"/>
  <c r="M10" i="12" s="1"/>
  <c r="M14" i="12" s="1"/>
  <c r="M16" i="12" s="1"/>
  <c r="M17" i="12" s="1"/>
  <c r="F7" i="12"/>
  <c r="F9" i="12" s="1"/>
  <c r="F10" i="12" s="1"/>
  <c r="F14" i="12" s="1"/>
  <c r="F16" i="12" s="1"/>
  <c r="F17" i="12" s="1"/>
  <c r="F7" i="5"/>
  <c r="F9" i="5" s="1"/>
  <c r="F10" i="5" s="1"/>
  <c r="F14" i="5" s="1"/>
  <c r="F16" i="5" s="1"/>
  <c r="F17" i="5" s="1"/>
  <c r="M7" i="8"/>
  <c r="M9" i="8" s="1"/>
  <c r="M10" i="8" s="1"/>
  <c r="M14" i="8" s="1"/>
  <c r="M16" i="8" s="1"/>
  <c r="M17" i="8" s="1"/>
  <c r="M16" i="17"/>
  <c r="M17" i="17" s="1"/>
  <c r="M7" i="5"/>
  <c r="M9" i="5" s="1"/>
  <c r="M10" i="5" s="1"/>
  <c r="M14" i="5" s="1"/>
  <c r="F17" i="17" l="1"/>
  <c r="F19" i="17" s="1"/>
  <c r="F20" i="17" s="1"/>
  <c r="F22" i="17" s="1"/>
  <c r="F17" i="4"/>
  <c r="F19" i="4" s="1"/>
  <c r="F20" i="4" s="1"/>
  <c r="F22" i="4" s="1"/>
  <c r="M19" i="16"/>
  <c r="M20" i="16" s="1"/>
  <c r="M22" i="16" s="1"/>
  <c r="F19" i="16"/>
  <c r="F20" i="16" s="1"/>
  <c r="F22" i="16" s="1"/>
  <c r="M19" i="17"/>
  <c r="M20" i="17" s="1"/>
  <c r="M22" i="17" s="1"/>
  <c r="M19" i="15"/>
  <c r="M20" i="15" s="1"/>
  <c r="M22" i="15" s="1"/>
  <c r="F19" i="15"/>
  <c r="F20" i="15" s="1"/>
  <c r="F22" i="15" s="1"/>
  <c r="M19" i="7"/>
  <c r="M20" i="7" s="1"/>
  <c r="M22" i="7" s="1"/>
  <c r="F19" i="7"/>
  <c r="F20" i="7" s="1"/>
  <c r="F22" i="7" s="1"/>
  <c r="F19" i="6"/>
  <c r="F20" i="6" s="1"/>
  <c r="F22" i="6" s="1"/>
  <c r="M19" i="6"/>
  <c r="M20" i="6" s="1"/>
  <c r="M22" i="6" s="1"/>
  <c r="M19" i="4"/>
  <c r="M20" i="4" s="1"/>
  <c r="M22" i="4" s="1"/>
  <c r="M19" i="12"/>
  <c r="M20" i="12" s="1"/>
  <c r="M22" i="12" s="1"/>
  <c r="F19" i="12"/>
  <c r="F20" i="12" s="1"/>
  <c r="F22" i="12" s="1"/>
  <c r="F19" i="5"/>
  <c r="F20" i="5" s="1"/>
  <c r="F22" i="5" s="1"/>
  <c r="M16" i="5"/>
  <c r="M17" i="5" s="1"/>
  <c r="F19" i="8"/>
  <c r="F20" i="8" s="1"/>
  <c r="F22" i="8" s="1"/>
  <c r="M19" i="8"/>
  <c r="M20" i="8" s="1"/>
  <c r="M22" i="8" s="1"/>
  <c r="M19" i="2"/>
  <c r="M20" i="2" s="1"/>
  <c r="M22" i="2" s="1"/>
  <c r="O22" i="17" l="1"/>
  <c r="O22" i="16"/>
  <c r="O22" i="15"/>
  <c r="O22" i="12"/>
  <c r="O22" i="7"/>
  <c r="O22" i="6"/>
  <c r="O22" i="4"/>
  <c r="M19" i="5"/>
  <c r="M20" i="5" s="1"/>
  <c r="M22" i="5" s="1"/>
  <c r="O22" i="5" s="1"/>
  <c r="O22" i="8"/>
  <c r="E3" i="14" l="1"/>
  <c r="E4" i="14"/>
  <c r="N64" i="19" l="1"/>
  <c r="N65" i="19" s="1"/>
  <c r="N66" i="19" s="1"/>
  <c r="N67" i="19" s="1"/>
  <c r="N40" i="19" l="1"/>
  <c r="N26" i="19"/>
  <c r="N12" i="19"/>
  <c r="N8" i="19"/>
  <c r="N55" i="19" l="1"/>
  <c r="N79" i="19"/>
  <c r="N78" i="19"/>
  <c r="N73" i="19"/>
  <c r="N49" i="19"/>
  <c r="N35" i="19"/>
  <c r="N21" i="19"/>
  <c r="N77" i="19"/>
  <c r="N75" i="19"/>
  <c r="N74" i="19"/>
  <c r="N53" i="19"/>
  <c r="N51" i="19"/>
  <c r="N50" i="19"/>
  <c r="N39" i="19"/>
  <c r="N37" i="19"/>
  <c r="N36" i="19"/>
  <c r="N25" i="19"/>
  <c r="N23" i="19"/>
  <c r="N22" i="19"/>
  <c r="N11" i="19"/>
  <c r="N9" i="19"/>
  <c r="N7" i="19"/>
  <c r="N19" i="20"/>
  <c r="N20" i="20"/>
  <c r="N18" i="20"/>
  <c r="N9" i="20"/>
  <c r="N10" i="20"/>
  <c r="N11" i="20"/>
  <c r="N8" i="20"/>
  <c r="N21" i="20"/>
  <c r="N22" i="20"/>
  <c r="N18" i="18"/>
  <c r="N19" i="18"/>
  <c r="N20" i="18"/>
  <c r="N21" i="18"/>
  <c r="N22" i="18"/>
  <c r="N17" i="18"/>
  <c r="N8" i="18"/>
  <c r="N9" i="18"/>
  <c r="N10" i="18"/>
  <c r="N7" i="18"/>
  <c r="N27" i="19" l="1"/>
  <c r="N28" i="19" s="1"/>
  <c r="N29" i="19" s="1"/>
  <c r="N30" i="19" s="1"/>
  <c r="N80" i="19"/>
  <c r="N81" i="19" s="1"/>
  <c r="N82" i="19" s="1"/>
  <c r="N83" i="19" s="1"/>
  <c r="N84" i="19" s="1"/>
  <c r="Z84" i="19" s="1"/>
  <c r="N11" i="18"/>
  <c r="N12" i="18" s="1"/>
  <c r="N13" i="18" s="1"/>
  <c r="N14" i="18" s="1"/>
  <c r="N23" i="20"/>
  <c r="N24" i="20" s="1"/>
  <c r="N25" i="20" s="1"/>
  <c r="N26" i="20" s="1"/>
  <c r="N23" i="18"/>
  <c r="N12" i="20"/>
  <c r="N13" i="20" s="1"/>
  <c r="N14" i="20" s="1"/>
  <c r="N15" i="20" s="1"/>
  <c r="N13" i="19"/>
  <c r="N41" i="19"/>
  <c r="N42" i="19" s="1"/>
  <c r="N43" i="19" s="1"/>
  <c r="N44" i="19" s="1"/>
  <c r="N45" i="19" s="1"/>
  <c r="Z45" i="19" s="1"/>
  <c r="B13" i="11"/>
  <c r="D11" i="14"/>
  <c r="N31" i="19" l="1"/>
  <c r="Z31" i="19" s="1"/>
  <c r="N24" i="18"/>
  <c r="N25" i="18" s="1"/>
  <c r="N14" i="19"/>
  <c r="B4" i="14"/>
  <c r="B3" i="14"/>
  <c r="B27" i="11"/>
  <c r="B11" i="11"/>
  <c r="B59" i="11" l="1"/>
  <c r="C27" i="11"/>
  <c r="D27" i="11" s="1"/>
  <c r="E27" i="11" s="1"/>
  <c r="F27" i="11" s="1"/>
  <c r="G27" i="11" s="1"/>
  <c r="H27" i="11" s="1"/>
  <c r="I27" i="11" s="1"/>
  <c r="J27" i="11" s="1"/>
  <c r="K27" i="11" s="1"/>
  <c r="N15" i="19"/>
  <c r="N16" i="19" s="1"/>
  <c r="N17" i="19" s="1"/>
  <c r="H77" i="11"/>
  <c r="C92" i="11"/>
  <c r="D92" i="11"/>
  <c r="E92" i="11"/>
  <c r="F92" i="11"/>
  <c r="G92" i="11"/>
  <c r="H92" i="11"/>
  <c r="I92" i="11"/>
  <c r="J92" i="11"/>
  <c r="B92" i="11"/>
  <c r="L92" i="11" s="1"/>
  <c r="K92" i="11"/>
  <c r="B42" i="11"/>
  <c r="B5" i="14"/>
  <c r="E5" i="14"/>
  <c r="G77" i="11"/>
  <c r="C77" i="11"/>
  <c r="F77" i="11"/>
  <c r="E77" i="11"/>
  <c r="D77" i="11"/>
  <c r="K77" i="11"/>
  <c r="B77" i="11"/>
  <c r="J77" i="11"/>
  <c r="I77" i="11"/>
  <c r="D13" i="11"/>
  <c r="C59" i="11" l="1"/>
  <c r="Z17" i="19"/>
  <c r="D59" i="11"/>
  <c r="C42" i="11"/>
  <c r="E13" i="24" l="1"/>
  <c r="E25" i="24" s="1"/>
  <c r="E59" i="11"/>
  <c r="D42" i="11"/>
  <c r="N54" i="19"/>
  <c r="N56" i="19" s="1"/>
  <c r="N57" i="19" s="1"/>
  <c r="N58" i="19" s="1"/>
  <c r="B76" i="11" l="1"/>
  <c r="H76" i="11"/>
  <c r="G76" i="11"/>
  <c r="K91" i="11"/>
  <c r="I76" i="11"/>
  <c r="H91" i="11"/>
  <c r="F91" i="11"/>
  <c r="F76" i="11"/>
  <c r="J76" i="11"/>
  <c r="E76" i="11"/>
  <c r="E91" i="11"/>
  <c r="C76" i="11"/>
  <c r="B91" i="11"/>
  <c r="L91" i="11" s="1"/>
  <c r="C91" i="11"/>
  <c r="D76" i="11"/>
  <c r="K76" i="11"/>
  <c r="G91" i="11"/>
  <c r="J91" i="11"/>
  <c r="D91" i="11"/>
  <c r="I91" i="11"/>
  <c r="N59" i="19"/>
  <c r="N60" i="19" s="1"/>
  <c r="F59" i="11"/>
  <c r="E42" i="11"/>
  <c r="N26" i="18"/>
  <c r="Z60" i="19" l="1"/>
  <c r="N28" i="20"/>
  <c r="N30" i="20" s="1"/>
  <c r="N68" i="19"/>
  <c r="N69" i="19" s="1"/>
  <c r="N86" i="19" s="1"/>
  <c r="G59" i="11"/>
  <c r="F42" i="11"/>
  <c r="B12" i="11"/>
  <c r="N28" i="18"/>
  <c r="N30" i="18" s="1"/>
  <c r="Z30" i="18" s="1"/>
  <c r="B43" i="11" l="1"/>
  <c r="Z86" i="19"/>
  <c r="Z69" i="19"/>
  <c r="Z30" i="20"/>
  <c r="B44" i="11"/>
  <c r="B26" i="11"/>
  <c r="C26" i="11" s="1"/>
  <c r="D26" i="11" s="1"/>
  <c r="E26" i="11" s="1"/>
  <c r="F26" i="11" s="1"/>
  <c r="G26" i="11" s="1"/>
  <c r="H26" i="11" s="1"/>
  <c r="I26" i="11" s="1"/>
  <c r="J26" i="11" s="1"/>
  <c r="K26" i="11" s="1"/>
  <c r="D12" i="11"/>
  <c r="H59" i="11"/>
  <c r="G42" i="11"/>
  <c r="B58" i="11" l="1"/>
  <c r="B41" i="11"/>
  <c r="I59" i="11"/>
  <c r="H42" i="11"/>
  <c r="L43" i="11"/>
  <c r="L44" i="11" l="1"/>
  <c r="F90" i="11"/>
  <c r="I90" i="11"/>
  <c r="B90" i="11"/>
  <c r="E90" i="11"/>
  <c r="G90" i="11"/>
  <c r="K90" i="11"/>
  <c r="C90" i="11"/>
  <c r="H90" i="11"/>
  <c r="J90" i="11"/>
  <c r="D90" i="11"/>
  <c r="F89" i="11"/>
  <c r="C89" i="11"/>
  <c r="G89" i="11"/>
  <c r="E89" i="11"/>
  <c r="H89" i="11"/>
  <c r="B89" i="11"/>
  <c r="I89" i="11"/>
  <c r="J89" i="11"/>
  <c r="K89" i="11"/>
  <c r="D89" i="11"/>
  <c r="C58" i="11"/>
  <c r="C41" i="11"/>
  <c r="J59" i="11"/>
  <c r="I42" i="11"/>
  <c r="D75" i="11"/>
  <c r="E75" i="11"/>
  <c r="F75" i="11"/>
  <c r="I75" i="11"/>
  <c r="J75" i="11"/>
  <c r="K75" i="11"/>
  <c r="B75" i="11"/>
  <c r="C75" i="11"/>
  <c r="G75" i="11"/>
  <c r="H75" i="11"/>
  <c r="L76" i="11"/>
  <c r="F74" i="11"/>
  <c r="J74" i="11"/>
  <c r="C74" i="11"/>
  <c r="G74" i="11"/>
  <c r="H74" i="11"/>
  <c r="D74" i="11"/>
  <c r="E74" i="11"/>
  <c r="I74" i="11"/>
  <c r="K74" i="11"/>
  <c r="B74" i="11"/>
  <c r="C86" i="11" l="1"/>
  <c r="D86" i="11"/>
  <c r="E86" i="11"/>
  <c r="F86" i="11"/>
  <c r="G86" i="11"/>
  <c r="H86" i="11"/>
  <c r="I86" i="11"/>
  <c r="J86" i="11"/>
  <c r="B86" i="11"/>
  <c r="K86" i="11"/>
  <c r="D58" i="11"/>
  <c r="D41" i="11"/>
  <c r="K59" i="11"/>
  <c r="J42" i="11"/>
  <c r="B71" i="11"/>
  <c r="K71" i="11"/>
  <c r="F71" i="11"/>
  <c r="I71" i="11"/>
  <c r="D71" i="11"/>
  <c r="G71" i="11"/>
  <c r="E71" i="11"/>
  <c r="C71" i="11"/>
  <c r="H71" i="11"/>
  <c r="J71" i="11"/>
  <c r="L77" i="11"/>
  <c r="L90" i="11"/>
  <c r="L89" i="11"/>
  <c r="B7" i="2"/>
  <c r="F6" i="2"/>
  <c r="F5" i="2"/>
  <c r="B7" i="1"/>
  <c r="F6" i="1"/>
  <c r="D4" i="14" s="1"/>
  <c r="F5" i="1"/>
  <c r="D3" i="14" l="1"/>
  <c r="K67" i="11"/>
  <c r="B67" i="11"/>
  <c r="C67" i="11"/>
  <c r="D67" i="11"/>
  <c r="F67" i="11"/>
  <c r="G67" i="11"/>
  <c r="H67" i="11"/>
  <c r="I67" i="11"/>
  <c r="J67" i="11"/>
  <c r="E67" i="11"/>
  <c r="C83" i="11"/>
  <c r="D83" i="11"/>
  <c r="E83" i="11"/>
  <c r="F83" i="11"/>
  <c r="G83" i="11"/>
  <c r="H83" i="11"/>
  <c r="K83" i="11"/>
  <c r="B83" i="11"/>
  <c r="I83" i="11"/>
  <c r="J83" i="11"/>
  <c r="C85" i="11"/>
  <c r="D85" i="11"/>
  <c r="E85" i="11"/>
  <c r="F85" i="11"/>
  <c r="G85" i="11"/>
  <c r="H85" i="11"/>
  <c r="I85" i="11"/>
  <c r="B85" i="11"/>
  <c r="J85" i="11"/>
  <c r="K85" i="11"/>
  <c r="E58" i="11"/>
  <c r="E41" i="11"/>
  <c r="C88" i="11"/>
  <c r="D88" i="11"/>
  <c r="E88" i="11"/>
  <c r="F88" i="11"/>
  <c r="H88" i="11"/>
  <c r="I88" i="11"/>
  <c r="J88" i="11"/>
  <c r="K88" i="11"/>
  <c r="G88" i="11"/>
  <c r="B88" i="11"/>
  <c r="H73" i="11"/>
  <c r="C73" i="11"/>
  <c r="D73" i="11"/>
  <c r="E73" i="11"/>
  <c r="F73" i="11"/>
  <c r="J73" i="11"/>
  <c r="G73" i="11"/>
  <c r="B73" i="11"/>
  <c r="I73" i="11"/>
  <c r="K73" i="11"/>
  <c r="C87" i="11"/>
  <c r="D87" i="11"/>
  <c r="G87" i="11"/>
  <c r="I87" i="11"/>
  <c r="E87" i="11"/>
  <c r="F87" i="11"/>
  <c r="J87" i="11"/>
  <c r="H87" i="11"/>
  <c r="K87" i="11"/>
  <c r="B87" i="11"/>
  <c r="C84" i="11"/>
  <c r="D84" i="11"/>
  <c r="E84" i="11"/>
  <c r="F84" i="11"/>
  <c r="G84" i="11"/>
  <c r="B84" i="11"/>
  <c r="H84" i="11"/>
  <c r="I84" i="11"/>
  <c r="J84" i="11"/>
  <c r="K84" i="11"/>
  <c r="L86" i="11"/>
  <c r="K42" i="11"/>
  <c r="L42" i="11" s="1"/>
  <c r="B70" i="11"/>
  <c r="H70" i="11"/>
  <c r="I70" i="11"/>
  <c r="F70" i="11"/>
  <c r="E70" i="11"/>
  <c r="C70" i="11"/>
  <c r="D70" i="11"/>
  <c r="J70" i="11"/>
  <c r="G70" i="11"/>
  <c r="K70" i="11"/>
  <c r="I68" i="11"/>
  <c r="J68" i="11"/>
  <c r="K68" i="11"/>
  <c r="H68" i="11"/>
  <c r="D68" i="11"/>
  <c r="F68" i="11"/>
  <c r="G68" i="11"/>
  <c r="E68" i="11"/>
  <c r="C68" i="11"/>
  <c r="K69" i="11"/>
  <c r="G69" i="11"/>
  <c r="E69" i="11"/>
  <c r="F69" i="11"/>
  <c r="J69" i="11"/>
  <c r="C69" i="11"/>
  <c r="H69" i="11"/>
  <c r="D69" i="11"/>
  <c r="I69" i="11"/>
  <c r="B69" i="11"/>
  <c r="C72" i="11"/>
  <c r="D72" i="11"/>
  <c r="E72" i="11"/>
  <c r="F72" i="11"/>
  <c r="G72" i="11"/>
  <c r="H72" i="11"/>
  <c r="I72" i="11"/>
  <c r="J72" i="11"/>
  <c r="K72" i="11"/>
  <c r="B68" i="11"/>
  <c r="B72" i="11"/>
  <c r="G5" i="14"/>
  <c r="F7" i="1"/>
  <c r="F9" i="1" s="1"/>
  <c r="F10" i="1" s="1"/>
  <c r="F7" i="2"/>
  <c r="F9" i="2" s="1"/>
  <c r="F10" i="2" s="1"/>
  <c r="F14" i="2" s="1"/>
  <c r="I78" i="11" l="1"/>
  <c r="J78" i="11"/>
  <c r="H78" i="11"/>
  <c r="E78" i="11"/>
  <c r="G78" i="11"/>
  <c r="K78" i="11"/>
  <c r="F78" i="11"/>
  <c r="D78" i="11"/>
  <c r="C78" i="11"/>
  <c r="B78" i="11"/>
  <c r="L67" i="11"/>
  <c r="G7" i="14"/>
  <c r="F16" i="2"/>
  <c r="F17" i="2" s="1"/>
  <c r="L88" i="11"/>
  <c r="F58" i="11"/>
  <c r="F41" i="11"/>
  <c r="J93" i="11"/>
  <c r="K93" i="11"/>
  <c r="I93" i="11"/>
  <c r="B93" i="11"/>
  <c r="H93" i="11"/>
  <c r="G93" i="11"/>
  <c r="F93" i="11"/>
  <c r="E93" i="11"/>
  <c r="D93" i="11"/>
  <c r="C93" i="11"/>
  <c r="L87" i="11"/>
  <c r="L72" i="11"/>
  <c r="F14" i="1"/>
  <c r="F16" i="1" s="1"/>
  <c r="D5" i="14"/>
  <c r="L75" i="11"/>
  <c r="L73" i="11"/>
  <c r="G8" i="14" l="1"/>
  <c r="G12" i="14" s="1"/>
  <c r="D7" i="14"/>
  <c r="D8" i="14" s="1"/>
  <c r="F19" i="2"/>
  <c r="F20" i="2" s="1"/>
  <c r="F22" i="2" s="1"/>
  <c r="O22" i="2" s="1"/>
  <c r="G58" i="11"/>
  <c r="G41" i="11"/>
  <c r="M93" i="11"/>
  <c r="B7" i="11"/>
  <c r="F17" i="1"/>
  <c r="F19" i="1" s="1"/>
  <c r="L83" i="11"/>
  <c r="L84" i="11"/>
  <c r="L69" i="11"/>
  <c r="L68" i="11"/>
  <c r="D12" i="14" l="1"/>
  <c r="D14" i="14" s="1"/>
  <c r="G14" i="14"/>
  <c r="G15" i="14" s="1"/>
  <c r="H58" i="11"/>
  <c r="H41" i="11"/>
  <c r="F20" i="1"/>
  <c r="L74" i="11"/>
  <c r="B4" i="11"/>
  <c r="L71" i="11"/>
  <c r="L70" i="11"/>
  <c r="L78" i="11" s="1"/>
  <c r="D15" i="14" l="1"/>
  <c r="B3" i="24" s="1"/>
  <c r="B4" i="24" s="1"/>
  <c r="G17" i="14"/>
  <c r="G18" i="14" s="1"/>
  <c r="G21" i="14" s="1"/>
  <c r="G22" i="14" s="1"/>
  <c r="G23" i="14" s="1"/>
  <c r="G24" i="14" s="1"/>
  <c r="G25" i="14" s="1"/>
  <c r="G26" i="14" s="1"/>
  <c r="G27" i="14" s="1"/>
  <c r="G28" i="14" s="1"/>
  <c r="G29" i="14" s="1"/>
  <c r="G30" i="14" s="1"/>
  <c r="B15" i="24"/>
  <c r="B16" i="24" s="1"/>
  <c r="B17" i="24" s="1"/>
  <c r="B18" i="24" s="1"/>
  <c r="B19" i="24" s="1"/>
  <c r="B20" i="24" s="1"/>
  <c r="B21" i="24" s="1"/>
  <c r="B22" i="24" s="1"/>
  <c r="B23" i="24" s="1"/>
  <c r="B24" i="24" s="1"/>
  <c r="B3" i="11"/>
  <c r="F22" i="1"/>
  <c r="F3" i="22" s="1"/>
  <c r="I58" i="11"/>
  <c r="I41" i="11"/>
  <c r="D3" i="11"/>
  <c r="B9" i="11"/>
  <c r="B6" i="11"/>
  <c r="B8" i="11"/>
  <c r="B25" i="11"/>
  <c r="D11" i="11"/>
  <c r="L85" i="11"/>
  <c r="L93" i="11" s="1"/>
  <c r="D4" i="11"/>
  <c r="B18" i="11"/>
  <c r="B57" i="11" l="1"/>
  <c r="C25" i="11"/>
  <c r="D25" i="11" s="1"/>
  <c r="E25" i="11" s="1"/>
  <c r="F25" i="11" s="1"/>
  <c r="G25" i="11" s="1"/>
  <c r="H25" i="11" s="1"/>
  <c r="I25" i="11" s="1"/>
  <c r="J25" i="11" s="1"/>
  <c r="K25" i="11" s="1"/>
  <c r="B50" i="11"/>
  <c r="C18" i="11"/>
  <c r="D18" i="11" s="1"/>
  <c r="E18" i="11" s="1"/>
  <c r="F18" i="11" s="1"/>
  <c r="G18" i="11" s="1"/>
  <c r="H18" i="11" s="1"/>
  <c r="I18" i="11" s="1"/>
  <c r="J18" i="11" s="1"/>
  <c r="K18" i="11" s="1"/>
  <c r="D17" i="14"/>
  <c r="D18" i="14" s="1"/>
  <c r="D21" i="14" s="1"/>
  <c r="D22" i="14" s="1"/>
  <c r="D23" i="14" s="1"/>
  <c r="D24" i="14" s="1"/>
  <c r="D25" i="14" s="1"/>
  <c r="D26" i="14" s="1"/>
  <c r="D27" i="14" s="1"/>
  <c r="D28" i="14" s="1"/>
  <c r="D29" i="14" s="1"/>
  <c r="D30" i="14" s="1"/>
  <c r="C15" i="24"/>
  <c r="D15" i="24" s="1"/>
  <c r="B5" i="24"/>
  <c r="C4" i="24"/>
  <c r="C16" i="24"/>
  <c r="D16" i="24" s="1"/>
  <c r="C3" i="24"/>
  <c r="D3" i="24" s="1"/>
  <c r="F4" i="22"/>
  <c r="F5" i="22" s="1"/>
  <c r="F6" i="22" s="1"/>
  <c r="F7" i="22" s="1"/>
  <c r="F8" i="22" s="1"/>
  <c r="F9" i="22" s="1"/>
  <c r="F10" i="22" s="1"/>
  <c r="F11" i="22" s="1"/>
  <c r="F12" i="22" s="1"/>
  <c r="F13" i="22" s="1"/>
  <c r="J58" i="11"/>
  <c r="J41" i="11"/>
  <c r="D32" i="14"/>
  <c r="B40" i="11"/>
  <c r="B5" i="11"/>
  <c r="B23" i="11"/>
  <c r="D9" i="11"/>
  <c r="B33" i="11"/>
  <c r="B22" i="11"/>
  <c r="D8" i="11"/>
  <c r="C57" i="11"/>
  <c r="B10" i="11"/>
  <c r="D10" i="11" s="1"/>
  <c r="C50" i="11"/>
  <c r="P66" i="11"/>
  <c r="P67" i="11" s="1"/>
  <c r="P68" i="11" s="1"/>
  <c r="B20" i="11"/>
  <c r="D6" i="11"/>
  <c r="B55" i="11" l="1"/>
  <c r="C23" i="11"/>
  <c r="D23" i="11" s="1"/>
  <c r="E23" i="11" s="1"/>
  <c r="F23" i="11" s="1"/>
  <c r="G23" i="11" s="1"/>
  <c r="H23" i="11" s="1"/>
  <c r="I23" i="11" s="1"/>
  <c r="J23" i="11" s="1"/>
  <c r="K23" i="11" s="1"/>
  <c r="B54" i="11"/>
  <c r="C22" i="11"/>
  <c r="D22" i="11" s="1"/>
  <c r="E22" i="11" s="1"/>
  <c r="F22" i="11" s="1"/>
  <c r="G22" i="11" s="1"/>
  <c r="H22" i="11" s="1"/>
  <c r="I22" i="11" s="1"/>
  <c r="J22" i="11" s="1"/>
  <c r="K22" i="11" s="1"/>
  <c r="B52" i="11"/>
  <c r="C20" i="11"/>
  <c r="D20" i="11" s="1"/>
  <c r="E20" i="11" s="1"/>
  <c r="F20" i="11" s="1"/>
  <c r="G20" i="11" s="1"/>
  <c r="H20" i="11" s="1"/>
  <c r="I20" i="11" s="1"/>
  <c r="J20" i="11" s="1"/>
  <c r="K20" i="11" s="1"/>
  <c r="B6" i="24"/>
  <c r="C5" i="24"/>
  <c r="C17" i="24"/>
  <c r="D17" i="24" s="1"/>
  <c r="D4" i="24"/>
  <c r="F15" i="22"/>
  <c r="K58" i="11"/>
  <c r="K41" i="11"/>
  <c r="L41" i="11" s="1"/>
  <c r="C40" i="11"/>
  <c r="D33" i="14"/>
  <c r="D5" i="11"/>
  <c r="B19" i="11"/>
  <c r="B35" i="11"/>
  <c r="B38" i="11"/>
  <c r="C55" i="11"/>
  <c r="C33" i="11"/>
  <c r="B37" i="11"/>
  <c r="C54" i="11"/>
  <c r="B24" i="11"/>
  <c r="D57" i="11"/>
  <c r="D7" i="11"/>
  <c r="B21" i="11"/>
  <c r="C52" i="11"/>
  <c r="D50" i="11"/>
  <c r="B56" i="11" l="1"/>
  <c r="C24" i="11"/>
  <c r="D24" i="11" s="1"/>
  <c r="E24" i="11" s="1"/>
  <c r="F24" i="11" s="1"/>
  <c r="G24" i="11" s="1"/>
  <c r="H24" i="11" s="1"/>
  <c r="I24" i="11" s="1"/>
  <c r="J24" i="11" s="1"/>
  <c r="K24" i="11" s="1"/>
  <c r="B53" i="11"/>
  <c r="C21" i="11"/>
  <c r="D21" i="11" s="1"/>
  <c r="E21" i="11" s="1"/>
  <c r="F21" i="11" s="1"/>
  <c r="G21" i="11" s="1"/>
  <c r="H21" i="11" s="1"/>
  <c r="I21" i="11" s="1"/>
  <c r="J21" i="11" s="1"/>
  <c r="K21" i="11" s="1"/>
  <c r="B51" i="11"/>
  <c r="C19" i="11"/>
  <c r="D19" i="11" s="1"/>
  <c r="E19" i="11" s="1"/>
  <c r="F19" i="11" s="1"/>
  <c r="G19" i="11" s="1"/>
  <c r="H19" i="11" s="1"/>
  <c r="I19" i="11" s="1"/>
  <c r="J19" i="11" s="1"/>
  <c r="K19" i="11" s="1"/>
  <c r="B7" i="24"/>
  <c r="C6" i="24"/>
  <c r="C18" i="24"/>
  <c r="D18" i="24" s="1"/>
  <c r="D5" i="24"/>
  <c r="D40" i="11"/>
  <c r="D31" i="14"/>
  <c r="D34" i="14" s="1"/>
  <c r="B39" i="11"/>
  <c r="B34" i="11"/>
  <c r="D52" i="11"/>
  <c r="C35" i="11"/>
  <c r="B62" i="11"/>
  <c r="B36" i="11"/>
  <c r="D55" i="11"/>
  <c r="C38" i="11"/>
  <c r="C37" i="11"/>
  <c r="D33" i="11"/>
  <c r="D54" i="11"/>
  <c r="E57" i="11"/>
  <c r="E50" i="11"/>
  <c r="C53" i="11" l="1"/>
  <c r="B8" i="24"/>
  <c r="C7" i="24"/>
  <c r="C19" i="24"/>
  <c r="D19" i="24" s="1"/>
  <c r="D6" i="24"/>
  <c r="D56" i="11"/>
  <c r="C56" i="11"/>
  <c r="C34" i="11"/>
  <c r="C51" i="11"/>
  <c r="C39" i="11"/>
  <c r="E40" i="11"/>
  <c r="E52" i="11"/>
  <c r="D35" i="11"/>
  <c r="D53" i="11"/>
  <c r="C36" i="11"/>
  <c r="E55" i="11"/>
  <c r="D38" i="11"/>
  <c r="D37" i="11"/>
  <c r="E33" i="11"/>
  <c r="E54" i="11"/>
  <c r="F57" i="11"/>
  <c r="F50" i="11"/>
  <c r="B9" i="24" l="1"/>
  <c r="C8" i="24"/>
  <c r="C20" i="24"/>
  <c r="D20" i="24" s="1"/>
  <c r="D7" i="24"/>
  <c r="E56" i="11"/>
  <c r="D39" i="11"/>
  <c r="E51" i="11"/>
  <c r="D51" i="11"/>
  <c r="D62" i="11" s="1"/>
  <c r="C62" i="11"/>
  <c r="D34" i="11"/>
  <c r="F40" i="11"/>
  <c r="F52" i="11"/>
  <c r="E35" i="11"/>
  <c r="E53" i="11"/>
  <c r="D36" i="11"/>
  <c r="F55" i="11"/>
  <c r="E38" i="11"/>
  <c r="E37" i="11"/>
  <c r="F33" i="11"/>
  <c r="F54" i="11"/>
  <c r="G57" i="11"/>
  <c r="G50" i="11"/>
  <c r="B10" i="24" l="1"/>
  <c r="C9" i="24"/>
  <c r="C21" i="24"/>
  <c r="D21" i="24" s="1"/>
  <c r="D8" i="24"/>
  <c r="F56" i="11"/>
  <c r="E39" i="11"/>
  <c r="F51" i="11"/>
  <c r="E34" i="11"/>
  <c r="G40" i="11"/>
  <c r="G52" i="11"/>
  <c r="F35" i="11"/>
  <c r="F53" i="11"/>
  <c r="E62" i="11"/>
  <c r="E36" i="11"/>
  <c r="G55" i="11"/>
  <c r="F38" i="11"/>
  <c r="F37" i="11"/>
  <c r="G33" i="11"/>
  <c r="G54" i="11"/>
  <c r="H57" i="11"/>
  <c r="H50" i="11"/>
  <c r="B11" i="24" l="1"/>
  <c r="C10" i="24"/>
  <c r="C22" i="24"/>
  <c r="D22" i="24" s="1"/>
  <c r="D9" i="24"/>
  <c r="G56" i="11"/>
  <c r="F39" i="11"/>
  <c r="G51" i="11"/>
  <c r="F34" i="11"/>
  <c r="H40" i="11"/>
  <c r="G34" i="11"/>
  <c r="H52" i="11"/>
  <c r="G35" i="11"/>
  <c r="G53" i="11"/>
  <c r="F36" i="11"/>
  <c r="F62" i="11"/>
  <c r="H55" i="11"/>
  <c r="G38" i="11"/>
  <c r="G37" i="11"/>
  <c r="H33" i="11"/>
  <c r="H54" i="11"/>
  <c r="I57" i="11"/>
  <c r="I50" i="11"/>
  <c r="B12" i="24" l="1"/>
  <c r="C12" i="24" s="1"/>
  <c r="C11" i="24"/>
  <c r="C23" i="24"/>
  <c r="D23" i="24" s="1"/>
  <c r="D10" i="24"/>
  <c r="H51" i="11"/>
  <c r="H56" i="11"/>
  <c r="G39" i="11"/>
  <c r="I40" i="11"/>
  <c r="I52" i="11"/>
  <c r="H35" i="11"/>
  <c r="H53" i="11"/>
  <c r="G36" i="11"/>
  <c r="G62" i="11"/>
  <c r="I55" i="11"/>
  <c r="H38" i="11"/>
  <c r="H37" i="11"/>
  <c r="I33" i="11"/>
  <c r="I54" i="11"/>
  <c r="J57" i="11"/>
  <c r="J50" i="11"/>
  <c r="C24" i="24" l="1"/>
  <c r="D24" i="24" s="1"/>
  <c r="D12" i="24"/>
  <c r="D11" i="24"/>
  <c r="I51" i="11"/>
  <c r="I56" i="11"/>
  <c r="H34" i="11"/>
  <c r="H39" i="11"/>
  <c r="J40" i="11"/>
  <c r="J52" i="11"/>
  <c r="I35" i="11"/>
  <c r="I53" i="11"/>
  <c r="H36" i="11"/>
  <c r="H62" i="11"/>
  <c r="J55" i="11"/>
  <c r="I38" i="11"/>
  <c r="I37" i="11"/>
  <c r="J33" i="11"/>
  <c r="J54" i="11"/>
  <c r="K57" i="11"/>
  <c r="K50" i="11"/>
  <c r="B13" i="24" l="1"/>
  <c r="C13" i="24" s="1"/>
  <c r="C25" i="24" s="1"/>
  <c r="I34" i="11"/>
  <c r="J56" i="11"/>
  <c r="I39" i="11"/>
  <c r="J51" i="11"/>
  <c r="K40" i="11"/>
  <c r="L40" i="11" s="1"/>
  <c r="L60" i="11"/>
  <c r="L61" i="11"/>
  <c r="L58" i="11"/>
  <c r="K52" i="11"/>
  <c r="J35" i="11"/>
  <c r="J53" i="11"/>
  <c r="I62" i="11"/>
  <c r="I36" i="11"/>
  <c r="K55" i="11"/>
  <c r="J38" i="11"/>
  <c r="J37" i="11"/>
  <c r="K33" i="11"/>
  <c r="K54" i="11"/>
  <c r="B25" i="24" l="1"/>
  <c r="D13" i="24"/>
  <c r="D25" i="24" s="1"/>
  <c r="K51" i="11"/>
  <c r="L51" i="11" s="1"/>
  <c r="J34" i="11"/>
  <c r="J39" i="11"/>
  <c r="K56" i="11"/>
  <c r="L56" i="11" s="1"/>
  <c r="L57" i="11"/>
  <c r="L59" i="11"/>
  <c r="K35" i="11"/>
  <c r="L52" i="11"/>
  <c r="K53" i="11"/>
  <c r="J36" i="11"/>
  <c r="J62" i="11"/>
  <c r="K38" i="11"/>
  <c r="L38" i="11" s="1"/>
  <c r="L55" i="11"/>
  <c r="K37" i="11"/>
  <c r="L37" i="11" s="1"/>
  <c r="L54" i="11"/>
  <c r="L50" i="11"/>
  <c r="L33" i="11"/>
  <c r="K34" i="11" l="1"/>
  <c r="L34" i="11" s="1"/>
  <c r="K39" i="11"/>
  <c r="L39" i="11" s="1"/>
  <c r="K36" i="11"/>
  <c r="L36" i="11" s="1"/>
  <c r="L53" i="11"/>
  <c r="L62" i="11" s="1"/>
  <c r="L35" i="11"/>
  <c r="K62" i="11" l="1"/>
  <c r="B17" i="11" l="1"/>
  <c r="B32" i="11" l="1"/>
  <c r="C17" i="11"/>
  <c r="D17" i="11" s="1"/>
  <c r="E17" i="11" s="1"/>
  <c r="F17" i="11" s="1"/>
  <c r="G17" i="11" s="1"/>
  <c r="H17" i="11" s="1"/>
  <c r="I17" i="11" s="1"/>
  <c r="J17" i="11" s="1"/>
  <c r="K17" i="11" s="1"/>
  <c r="B45" i="11"/>
  <c r="C32" i="11"/>
  <c r="C45" i="11" s="1"/>
  <c r="D32" i="11" l="1"/>
  <c r="D45" i="11" l="1"/>
  <c r="E32" i="11"/>
  <c r="E45" i="11" s="1"/>
  <c r="F32" i="11" l="1"/>
  <c r="F45" i="11" s="1"/>
  <c r="G32" i="11" l="1"/>
  <c r="G45" i="11" l="1"/>
  <c r="H32" i="11"/>
  <c r="H45" i="11" s="1"/>
  <c r="I32" i="11" l="1"/>
  <c r="I45" i="11" s="1"/>
  <c r="K32" i="11" l="1"/>
  <c r="J32" i="11"/>
  <c r="J45" i="11" s="1"/>
  <c r="K45" i="11" l="1"/>
  <c r="M62" i="11" s="1"/>
  <c r="L32" i="11"/>
  <c r="L45" i="11" s="1"/>
  <c r="P31" i="11" s="1"/>
  <c r="P32" i="11" s="1"/>
  <c r="P33" i="11" l="1"/>
</calcChain>
</file>

<file path=xl/sharedStrings.xml><?xml version="1.0" encoding="utf-8"?>
<sst xmlns="http://schemas.openxmlformats.org/spreadsheetml/2006/main" count="1217" uniqueCount="200">
  <si>
    <t>Base Year</t>
  </si>
  <si>
    <t>Option Year 1</t>
  </si>
  <si>
    <t>Option Year 2</t>
  </si>
  <si>
    <t>Option Year 3</t>
  </si>
  <si>
    <t>Option Year 4</t>
  </si>
  <si>
    <t>Option Year 5</t>
  </si>
  <si>
    <t>Option Year 6</t>
  </si>
  <si>
    <t>Option Year 7</t>
  </si>
  <si>
    <t>Option Year 8</t>
  </si>
  <si>
    <t>Option Year 9</t>
  </si>
  <si>
    <t>Option 2: Optional 6-month Extension</t>
  </si>
  <si>
    <t>Grand Total Base + All Options</t>
  </si>
  <si>
    <t>Rates for Base Year</t>
  </si>
  <si>
    <t>Fringe</t>
  </si>
  <si>
    <t>Overhead</t>
  </si>
  <si>
    <t>G&amp;A</t>
  </si>
  <si>
    <t>Fee</t>
  </si>
  <si>
    <t>Option Year escalation</t>
  </si>
  <si>
    <t>Protcol Outline for Administrative Support/Contract Administration</t>
  </si>
  <si>
    <t>Direct Labor</t>
  </si>
  <si>
    <t>hours</t>
  </si>
  <si>
    <t>x</t>
  </si>
  <si>
    <t>rate ($/hr)</t>
  </si>
  <si>
    <t>dollars</t>
  </si>
  <si>
    <t>Professional</t>
  </si>
  <si>
    <t>=</t>
  </si>
  <si>
    <t>Technical</t>
  </si>
  <si>
    <t>Total hours and direct labor cost</t>
  </si>
  <si>
    <t>with Fringe</t>
  </si>
  <si>
    <t>with Overhead</t>
  </si>
  <si>
    <t>Other Direct Costs</t>
  </si>
  <si>
    <t>Materials/Supplies</t>
  </si>
  <si>
    <t>Total Direct/Indirect</t>
  </si>
  <si>
    <t>Gen &amp; Administrative</t>
  </si>
  <si>
    <t>Total with G&amp;A</t>
  </si>
  <si>
    <t>Total per project (base year 1)</t>
  </si>
  <si>
    <t>Total Projects per year</t>
  </si>
  <si>
    <t>Grand Total</t>
  </si>
  <si>
    <t>Assumptions</t>
  </si>
  <si>
    <t>Assumptions for this RO</t>
  </si>
  <si>
    <t>Use for activities associated with overall contract management and coordination, such as preparing monthly status report, monthly budget summary report, invoice and annual report, planning for attending periodic progress meetings with the Government, maintaining contract and research records, onboarding/offboarding Contractor staff, license fee, etc</t>
  </si>
  <si>
    <t xml:space="preserve">Sample Research Outline I. Information and data extraction -Mining ICE for chemical information </t>
  </si>
  <si>
    <t xml:space="preserve"> </t>
    <phoneticPr fontId="0"/>
  </si>
  <si>
    <t>Total Base &amp; Option 1</t>
  </si>
  <si>
    <t>Sample Research Outline II. Computational tool development - Pathway-Based Predictive Approaches for Cardiovascular Toxicity Assessment</t>
  </si>
  <si>
    <t xml:space="preserve">Sample Research Outline IV. Problem formulation - Development of NAM Sets for Evaluation of Emerging Contaminants </t>
  </si>
  <si>
    <t xml:space="preserve"> </t>
  </si>
  <si>
    <t xml:space="preserve">Sample Research Outline V. Modeling - Structural- and Functional Pharmacokinetic-Based Prediction </t>
  </si>
  <si>
    <t>Website Maintenance</t>
  </si>
  <si>
    <t>Training support</t>
  </si>
  <si>
    <r>
      <t>Assumptions: 5 international participants</t>
    </r>
    <r>
      <rPr>
        <sz val="11"/>
        <color theme="1"/>
        <rFont val="Calibri"/>
        <family val="2"/>
      </rPr>
      <t>, 10 domestic travelers</t>
    </r>
    <r>
      <rPr>
        <sz val="12"/>
        <color theme="1"/>
        <rFont val="Calibri"/>
        <family val="2"/>
        <scheme val="minor"/>
      </rPr>
      <t xml:space="preserve">; meeting held RTP; Government location; </t>
    </r>
    <r>
      <rPr>
        <sz val="11"/>
        <color theme="1"/>
        <rFont val="Calibri"/>
        <family val="2"/>
      </rPr>
      <t xml:space="preserve">2 </t>
    </r>
    <r>
      <rPr>
        <sz val="12"/>
        <color theme="1"/>
        <rFont val="Calibri"/>
        <family val="2"/>
        <scheme val="minor"/>
      </rPr>
      <t>day meeting + 2 travel day</t>
    </r>
  </si>
  <si>
    <t>Units</t>
  </si>
  <si>
    <t>$</t>
  </si>
  <si>
    <t>#</t>
  </si>
  <si>
    <t>Airfare - International</t>
  </si>
  <si>
    <t>per person</t>
  </si>
  <si>
    <t>X</t>
  </si>
  <si>
    <t>persons</t>
  </si>
  <si>
    <t>Airfare - Domestic</t>
  </si>
  <si>
    <t>people</t>
  </si>
  <si>
    <t>Lodging (Durham, NC Gov't rate)</t>
  </si>
  <si>
    <t>per night</t>
  </si>
  <si>
    <t>nights</t>
  </si>
  <si>
    <t>Per Diem and Incidental expenses</t>
  </si>
  <si>
    <t>per day</t>
  </si>
  <si>
    <t>days</t>
  </si>
  <si>
    <t xml:space="preserve">Total </t>
  </si>
  <si>
    <t>With Gen &amp; Administrative</t>
  </si>
  <si>
    <t>With Fee</t>
  </si>
  <si>
    <t>TOTAL</t>
  </si>
  <si>
    <t>Miscelleneous</t>
  </si>
  <si>
    <t>Miscelleneous (to cover airport parking, ground transportation, tolls, telephone)</t>
  </si>
  <si>
    <t>Baggage ($30 each way)</t>
  </si>
  <si>
    <t>Honorarium</t>
  </si>
  <si>
    <t xml:space="preserve">Equipment rental (computers, copier, printer) </t>
  </si>
  <si>
    <t>Transcriptionist</t>
  </si>
  <si>
    <t>Material and Supplies (paper, pens, name tags, etc.)</t>
  </si>
  <si>
    <t>per meeting</t>
  </si>
  <si>
    <t>NA</t>
  </si>
  <si>
    <t>MEETING AND PARTICIPANT TRAVEL GRAND TOTAL</t>
  </si>
  <si>
    <r>
      <t>Contract Other Direct Costs: Meeting material and Participant travel for Workshop/Symposia</t>
    </r>
    <r>
      <rPr>
        <b/>
        <sz val="11"/>
        <color theme="1"/>
        <rFont val="Calibri"/>
        <family val="2"/>
      </rPr>
      <t>/Seminar/Webinar (1 1/2 days) (3 travel days)</t>
    </r>
  </si>
  <si>
    <r>
      <rPr>
        <sz val="11"/>
        <color theme="1"/>
        <rFont val="Calibri"/>
        <family val="2"/>
      </rPr>
      <t xml:space="preserve">For in-person meetings, </t>
    </r>
    <r>
      <rPr>
        <sz val="12"/>
        <color theme="1"/>
        <rFont val="Calibri"/>
        <family val="2"/>
        <scheme val="minor"/>
      </rPr>
      <t>12 panel members will be invited</t>
    </r>
  </si>
  <si>
    <r>
      <t xml:space="preserve">Assumptions: 3 international, 9 domestic travelers; meeting held in </t>
    </r>
    <r>
      <rPr>
        <sz val="11"/>
        <color theme="1"/>
        <rFont val="Calibri"/>
        <family val="2"/>
      </rPr>
      <t>DC metro area</t>
    </r>
  </si>
  <si>
    <r>
      <t>Lodging (</t>
    </r>
    <r>
      <rPr>
        <sz val="11"/>
        <color theme="1"/>
        <rFont val="Calibri"/>
        <family val="2"/>
      </rPr>
      <t>Washington, DC</t>
    </r>
    <r>
      <rPr>
        <sz val="12"/>
        <color theme="1"/>
        <rFont val="Calibri"/>
        <family val="2"/>
        <scheme val="minor"/>
      </rPr>
      <t xml:space="preserve"> Gov't rate)</t>
    </r>
  </si>
  <si>
    <t>MISCELLENEOUS</t>
  </si>
  <si>
    <t>Baggage</t>
  </si>
  <si>
    <t>Webcast/teleconference costs for remote viewing</t>
  </si>
  <si>
    <t>Contract Other Direct Costs: Contractor Travel</t>
  </si>
  <si>
    <t>Airfare</t>
  </si>
  <si>
    <t>Lodging</t>
  </si>
  <si>
    <t>Per diem</t>
  </si>
  <si>
    <t>day</t>
  </si>
  <si>
    <t xml:space="preserve">ICCVAM MEETING GRAND TOTAL </t>
  </si>
  <si>
    <t xml:space="preserve">EXPERT GROUP MEETING GRAND TOTAL </t>
  </si>
  <si>
    <t>Workshop/Symposium</t>
  </si>
  <si>
    <t xml:space="preserve">WORKSHOP/SYMPOSIUM MEETING GRAND TOTAL </t>
  </si>
  <si>
    <t>Professional Meetings (Domestic, non-local)(based on cost estimates for the 2023 SOT Meeting)</t>
  </si>
  <si>
    <t>Registration (SOT member)</t>
  </si>
  <si>
    <t xml:space="preserve">DOMESTIC PROFESSIONAL MEETING GRAND TOTAL </t>
  </si>
  <si>
    <t>Professional Meetings (local)(based on registration fee for 2023 SOT meeting )</t>
  </si>
  <si>
    <t>Registration</t>
  </si>
  <si>
    <t xml:space="preserve">LOCAL PROFESSIONAL MEETING GRAND TOTAL </t>
  </si>
  <si>
    <t xml:space="preserve">INTERNATIONAL PROFESSIONAL MEETING GRAND TOTAL </t>
  </si>
  <si>
    <t>Cost Yr 1</t>
    <phoneticPr fontId="0" type="noConversion"/>
  </si>
  <si>
    <t>Hrs</t>
    <phoneticPr fontId="0" type="noConversion"/>
  </si>
  <si>
    <t>Cost/hr</t>
    <phoneticPr fontId="0" type="noConversion"/>
  </si>
  <si>
    <t>Admin RO.</t>
  </si>
  <si>
    <t xml:space="preserve">RO.I. Information and data extraction -Mining ICE for chemical information </t>
  </si>
  <si>
    <t>RO.II. Computational tool development - Pathway-Based Predictive Approaches for Cardiovascular Toxicity Assessment</t>
  </si>
  <si>
    <t xml:space="preserve">RO.IV. Problem formulation - Development of NAM Sets for Evaluation of Emerging Contaminants </t>
  </si>
  <si>
    <t xml:space="preserve">RO.V. Modeling - Structural- and Functional Pharmacokinetic-Based Prediction </t>
  </si>
  <si>
    <t>Training Support</t>
  </si>
  <si>
    <t xml:space="preserve"> Start Yr 1</t>
  </si>
  <si>
    <t xml:space="preserve"> Start Yr 2</t>
  </si>
  <si>
    <t xml:space="preserve"> Start Yr 3</t>
  </si>
  <si>
    <t xml:space="preserve"> Start Yr 4</t>
  </si>
  <si>
    <t xml:space="preserve"> Start Yr 5</t>
  </si>
  <si>
    <t xml:space="preserve"> Start Yr 6</t>
  </si>
  <si>
    <t xml:space="preserve"> Start Yr 7</t>
  </si>
  <si>
    <t xml:space="preserve"> Start Yr 8</t>
  </si>
  <si>
    <t xml:space="preserve"> Start Yr 9</t>
  </si>
  <si>
    <t xml:space="preserve"> Start Yr 10</t>
  </si>
  <si>
    <t>Cost Summary</t>
  </si>
  <si>
    <t>Base and Option Years</t>
  </si>
  <si>
    <t>Total</t>
  </si>
  <si>
    <t>Base Total</t>
  </si>
  <si>
    <t>Contractor Travel Cost</t>
  </si>
  <si>
    <t>Other Meeting and Travel Cost (Expert Group and Workshop)</t>
  </si>
  <si>
    <t>Base Per Year</t>
  </si>
  <si>
    <t>Option 2</t>
  </si>
  <si>
    <t>Options 1 and 2</t>
  </si>
  <si>
    <t>Total Option 1</t>
  </si>
  <si>
    <t>Option Per Year</t>
  </si>
  <si>
    <t>Labor Summary</t>
  </si>
  <si>
    <t>Total</t>
    <phoneticPr fontId="0"/>
  </si>
  <si>
    <t>Base/Option Years</t>
  </si>
  <si>
    <t>Hours</t>
  </si>
  <si>
    <t>Total Direct Labor</t>
  </si>
  <si>
    <t>Total (base year 1)</t>
  </si>
  <si>
    <t>Base/Option 1 Total</t>
  </si>
  <si>
    <t>Option 1 Total</t>
  </si>
  <si>
    <t>GRAND TOTAL</t>
  </si>
  <si>
    <t>Notes/Assumptions</t>
  </si>
  <si>
    <t>Fringe applied to direct labor cost</t>
  </si>
  <si>
    <t>Base + Option 1 Total</t>
  </si>
  <si>
    <t>Base +  Option 1 + Option 2 Total</t>
  </si>
  <si>
    <t>Period</t>
  </si>
  <si>
    <t xml:space="preserve">Estimated cost </t>
  </si>
  <si>
    <t>Fixed Fee</t>
  </si>
  <si>
    <t>Estimated Cost Plus Fixed Fee</t>
  </si>
  <si>
    <t>Level of Effort (LOE)</t>
  </si>
  <si>
    <t>Base Period</t>
  </si>
  <si>
    <t>Option Period 1</t>
  </si>
  <si>
    <t>Option Period 2</t>
  </si>
  <si>
    <t>Option Period 3</t>
  </si>
  <si>
    <t>Option Period 4</t>
  </si>
  <si>
    <t>Option Period 5</t>
  </si>
  <si>
    <t>Option Period 6</t>
  </si>
  <si>
    <t>Option Period 7</t>
  </si>
  <si>
    <t>Option Period 8</t>
  </si>
  <si>
    <t>Option Period 9</t>
  </si>
  <si>
    <t>Optional 6-month
Extension IAW
FAR 52.217-8</t>
  </si>
  <si>
    <t>Period - Optional
LOE Increase</t>
  </si>
  <si>
    <t>Total Base Period and All Options</t>
  </si>
  <si>
    <t>RO.III. Interlaboratory study - phase I - iPSC-microglia Protocol development</t>
  </si>
  <si>
    <t xml:space="preserve">RO.III. Interlaboratory  study - phase II - iPSC-microglia Screening test </t>
  </si>
  <si>
    <t>RO.VI. Database and Information Support - AI-powered tool development</t>
  </si>
  <si>
    <t>RO.VII. Meeting Support - Workshop</t>
  </si>
  <si>
    <t>Specific Scientific Meeting</t>
  </si>
  <si>
    <r>
      <t xml:space="preserve">Assumptions: Specific Scientific Meeting, Expert </t>
    </r>
    <r>
      <rPr>
        <sz val="12"/>
        <rFont val="Calibri"/>
        <family val="2"/>
      </rPr>
      <t>Group</t>
    </r>
    <r>
      <rPr>
        <sz val="12"/>
        <rFont val="Calibri"/>
        <family val="2"/>
        <scheme val="minor"/>
      </rPr>
      <t>, and Workshops/Symposium in-person meetings held in DC metro area; locations of SOT and World Congress shall be based on 2023 meetings.</t>
    </r>
  </si>
  <si>
    <r>
      <rPr>
        <b/>
        <sz val="12"/>
        <rFont val="Calibri"/>
        <family val="2"/>
      </rPr>
      <t>Expert group Meeting (assume held in Washington, DC)</t>
    </r>
  </si>
  <si>
    <r>
      <t xml:space="preserve">Professional Meeting (International) (based on cost estimates for the </t>
    </r>
    <r>
      <rPr>
        <b/>
        <sz val="12"/>
        <rFont val="Calibri"/>
        <family val="2"/>
      </rPr>
      <t>2023 World Congress Meeting)</t>
    </r>
  </si>
  <si>
    <r>
      <t>Contract Other Direct Costs: Meeting material and Participant travel for Exper Group Meetings  (</t>
    </r>
    <r>
      <rPr>
        <b/>
        <sz val="11"/>
        <color theme="1"/>
        <rFont val="Calibri"/>
        <family val="2"/>
      </rPr>
      <t>4 travel days)</t>
    </r>
  </si>
  <si>
    <t>Sample Research Outline VI. Database and Information Support - Development of AI-Powered Liver Fibrosis Prediction</t>
  </si>
  <si>
    <t xml:space="preserve">Sample Research Outline III. Interlaboratory study - phase II - iPSC-microglia Screening test </t>
  </si>
  <si>
    <t>Sample Research Outline III. Interlaboratory study - phase I - iPSC-microglia Protocol development</t>
  </si>
  <si>
    <t xml:space="preserve">All activities (Research Outlines and non-Research Outlines) Cost and Hours per project </t>
  </si>
  <si>
    <t>Cost by activites (per project)</t>
  </si>
  <si>
    <t xml:space="preserve">Total Cost for cumulative number of projects anticipated </t>
  </si>
  <si>
    <t>Labor Hours for total number of projects anticipated</t>
  </si>
  <si>
    <t xml:space="preserve">Gen &amp; Administrative </t>
  </si>
  <si>
    <t xml:space="preserve">Fee </t>
  </si>
  <si>
    <t>Overhead applied to Labor plus Fringe</t>
  </si>
  <si>
    <t>G&amp;A applied to all costs (excluding G&amp;A and fee)</t>
  </si>
  <si>
    <t>Fringe Benefits</t>
  </si>
  <si>
    <t xml:space="preserve">Overhead </t>
  </si>
  <si>
    <t>Option 1 - Additional LOE Option -- Base Period</t>
  </si>
  <si>
    <t>Option 1 -- Additional LOE Option -- Base Period</t>
  </si>
  <si>
    <t>Option 1 -- Additional LOE Option Base Period</t>
  </si>
  <si>
    <t xml:space="preserve">Option 1 -- Additional LOE Option -- Base Period </t>
  </si>
  <si>
    <t>Base Period per project costs</t>
  </si>
  <si>
    <t>Base Period per trip costs</t>
  </si>
  <si>
    <t>Option 1- Additional Level of Effort Options</t>
  </si>
  <si>
    <t>Option 2 -- Option to Extend Services</t>
  </si>
  <si>
    <t>up to 6 Month Extension</t>
  </si>
  <si>
    <t>Option 1 -- Additional LOE Options (start year 1)</t>
  </si>
  <si>
    <t>Sample Research Outline VII. Meeting Support - Workshop</t>
  </si>
  <si>
    <t>Subcontracts</t>
  </si>
  <si>
    <t>NOTE:  For Fields C3:C13, include subcontract hours</t>
  </si>
  <si>
    <t>Twenty-seven (27) meeting events are expected for base peroid, including Specific Scientific Meetings, Expert Group meeting, Workshops and professional meetings. For costing purposes, the intension is to use the estimated labor hours for Workshop described in this RO to apply to other meeting support. Materials/Supplies for hosting Expert Group meetings and Workshops are expected to be more abundant and captured in "Expert Group" and "Workshop" tabs and not in this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</si>
</sst>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2" formatCode="_(&quot;$&quot;* #,##0_);_(&quot;$&quot;* \(#,##0\);_(&quot;$&quot;* &quot;-&quot;_);_(@_)"/>
    <numFmt numFmtId="44" formatCode="_(&quot;$&quot;* #,##0.00_);_(&quot;$&quot;* \(#,##0.00\);_(&quot;$&quot;* &quot;-&quot;??_);_(@_)"/>
    <numFmt numFmtId="164" formatCode="&quot;$&quot;#,##0"/>
    <numFmt numFmtId="165" formatCode="&quot;$&quot;#,##0.00"/>
    <numFmt numFmtId="166" formatCode="_(&quot;$&quot;* #,##0_);_(&quot;$&quot;* \(#,##0\);_(&quot;$&quot;* &quot;-&quot;??_);_(@_)"/>
  </numFmts>
  <fonts count="23" x14ac:knownFonts="1">
    <font>
      <sz val="12"/>
      <color theme="1"/>
      <name val="Calibri"/>
      <family val="2"/>
      <scheme val="minor"/>
    </font>
    <font>
      <sz val="11"/>
      <color theme="1"/>
      <name val="Calibri"/>
      <family val="2"/>
      <scheme val="minor"/>
    </font>
    <font>
      <b/>
      <sz val="12"/>
      <color theme="1"/>
      <name val="Calibri"/>
      <family val="2"/>
      <scheme val="minor"/>
    </font>
    <font>
      <b/>
      <sz val="12"/>
      <name val="Calibri"/>
      <family val="2"/>
    </font>
    <font>
      <sz val="12"/>
      <name val="Calibri"/>
      <family val="2"/>
    </font>
    <font>
      <u/>
      <sz val="12"/>
      <name val="Calibri"/>
      <family val="2"/>
    </font>
    <font>
      <sz val="12"/>
      <color theme="1"/>
      <name val="Calibri"/>
      <family val="2"/>
    </font>
    <font>
      <u/>
      <sz val="12"/>
      <color theme="1"/>
      <name val="Calibri"/>
      <family val="2"/>
    </font>
    <font>
      <b/>
      <sz val="12"/>
      <color theme="1"/>
      <name val="Calibri"/>
      <family val="2"/>
    </font>
    <font>
      <sz val="8"/>
      <name val="Calibri"/>
      <family val="2"/>
      <scheme val="minor"/>
    </font>
    <font>
      <sz val="12"/>
      <color rgb="FFFF0000"/>
      <name val="Calibri"/>
      <family val="2"/>
      <scheme val="minor"/>
    </font>
    <font>
      <b/>
      <sz val="11"/>
      <color theme="1"/>
      <name val="Calibri"/>
      <family val="2"/>
      <scheme val="minor"/>
    </font>
    <font>
      <b/>
      <sz val="14"/>
      <color theme="1"/>
      <name val="Calibri"/>
      <family val="2"/>
      <scheme val="minor"/>
    </font>
    <font>
      <b/>
      <sz val="11"/>
      <color theme="1"/>
      <name val="Calibri"/>
      <family val="2"/>
    </font>
    <font>
      <sz val="11"/>
      <color theme="1"/>
      <name val="Calibri"/>
      <family val="2"/>
    </font>
    <font>
      <sz val="12"/>
      <color theme="1"/>
      <name val="Calibri"/>
      <family val="2"/>
      <scheme val="minor"/>
    </font>
    <font>
      <u/>
      <sz val="12"/>
      <color theme="1"/>
      <name val="Calibri"/>
      <family val="2"/>
      <scheme val="minor"/>
    </font>
    <font>
      <b/>
      <sz val="12"/>
      <name val="Calibri"/>
      <family val="2"/>
      <scheme val="minor"/>
    </font>
    <font>
      <sz val="12"/>
      <name val="Calibri"/>
      <family val="2"/>
      <scheme val="minor"/>
    </font>
    <font>
      <u/>
      <sz val="12"/>
      <name val="Calibri"/>
      <family val="2"/>
      <scheme val="minor"/>
    </font>
    <font>
      <b/>
      <sz val="12"/>
      <color rgb="FFFF0000"/>
      <name val="Calibri"/>
      <family val="2"/>
    </font>
    <font>
      <sz val="12"/>
      <color rgb="FFFF0000"/>
      <name val="Calibri"/>
      <family val="2"/>
    </font>
    <font>
      <b/>
      <sz val="12"/>
      <color rgb="FF0070C0"/>
      <name val="Calibri"/>
      <family val="2"/>
    </font>
  </fonts>
  <fills count="8">
    <fill>
      <patternFill patternType="none"/>
    </fill>
    <fill>
      <patternFill patternType="gray125"/>
    </fill>
    <fill>
      <patternFill patternType="solid">
        <fgColor theme="8" tint="0.59999389629810485"/>
        <bgColor indexed="64"/>
      </patternFill>
    </fill>
    <fill>
      <patternFill patternType="solid">
        <fgColor theme="0" tint="-4.9989318521683403E-2"/>
        <bgColor indexed="64"/>
      </patternFill>
    </fill>
    <fill>
      <patternFill patternType="solid">
        <fgColor rgb="FFFFFFCC"/>
      </patternFill>
    </fill>
    <fill>
      <patternFill patternType="solid">
        <fgColor theme="6" tint="0.79998168889431442"/>
        <bgColor indexed="64"/>
      </patternFill>
    </fill>
    <fill>
      <patternFill patternType="solid">
        <fgColor theme="2"/>
        <bgColor indexed="64"/>
      </patternFill>
    </fill>
    <fill>
      <patternFill patternType="solid">
        <fgColor rgb="FFFFFF00"/>
        <bgColor indexed="64"/>
      </patternFill>
    </fill>
  </fills>
  <borders count="5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bottom style="thin">
        <color indexed="64"/>
      </bottom>
      <diagonal/>
    </border>
    <border>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thin">
        <color rgb="FFB2B2B2"/>
      </left>
      <right style="thin">
        <color rgb="FFB2B2B2"/>
      </right>
      <top style="thin">
        <color rgb="FFB2B2B2"/>
      </top>
      <bottom style="thin">
        <color rgb="FFB2B2B2"/>
      </bottom>
      <diagonal/>
    </border>
    <border>
      <left/>
      <right/>
      <top style="thin">
        <color indexed="64"/>
      </top>
      <bottom style="double">
        <color indexed="64"/>
      </bottom>
      <diagonal/>
    </border>
    <border>
      <left style="thin">
        <color rgb="FFB2B2B2"/>
      </left>
      <right/>
      <top/>
      <bottom/>
      <diagonal/>
    </border>
    <border>
      <left style="thin">
        <color indexed="64"/>
      </left>
      <right/>
      <top/>
      <bottom style="thin">
        <color indexed="64"/>
      </bottom>
      <diagonal/>
    </border>
    <border>
      <left/>
      <right/>
      <top/>
      <bottom style="double">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diagonal/>
    </border>
  </borders>
  <cellStyleXfs count="3">
    <xf numFmtId="0" fontId="0" fillId="0" borderId="0"/>
    <xf numFmtId="0" fontId="15" fillId="4" borderId="47" applyNumberFormat="0" applyFont="0" applyAlignment="0" applyProtection="0"/>
    <xf numFmtId="44" fontId="15" fillId="0" borderId="0" applyFont="0" applyFill="0" applyBorder="0" applyAlignment="0" applyProtection="0"/>
  </cellStyleXfs>
  <cellXfs count="321">
    <xf numFmtId="0" fontId="0" fillId="0" borderId="0" xfId="0"/>
    <xf numFmtId="0" fontId="4" fillId="0" borderId="0" xfId="0" applyFont="1"/>
    <xf numFmtId="0" fontId="4" fillId="0" borderId="0" xfId="0" applyFont="1" applyAlignment="1">
      <alignment horizontal="left"/>
    </xf>
    <xf numFmtId="0" fontId="4" fillId="0" borderId="0" xfId="0" applyFont="1" applyAlignment="1">
      <alignment horizontal="right"/>
    </xf>
    <xf numFmtId="0" fontId="4" fillId="0" borderId="0" xfId="0" applyFont="1" applyAlignment="1">
      <alignment horizontal="center"/>
    </xf>
    <xf numFmtId="3" fontId="4" fillId="0" borderId="0" xfId="0" applyNumberFormat="1" applyFont="1" applyAlignment="1">
      <alignment horizontal="right"/>
    </xf>
    <xf numFmtId="0" fontId="4" fillId="0" borderId="1" xfId="0" applyFont="1" applyBorder="1" applyAlignment="1">
      <alignment horizontal="right"/>
    </xf>
    <xf numFmtId="3" fontId="4" fillId="0" borderId="1" xfId="0" applyNumberFormat="1" applyFont="1" applyBorder="1" applyAlignment="1">
      <alignment horizontal="right"/>
    </xf>
    <xf numFmtId="3" fontId="4" fillId="0" borderId="0" xfId="0" applyNumberFormat="1" applyFont="1"/>
    <xf numFmtId="0" fontId="5" fillId="0" borderId="0" xfId="0" applyFont="1" applyAlignment="1">
      <alignment horizontal="center"/>
    </xf>
    <xf numFmtId="164" fontId="4" fillId="0" borderId="0" xfId="0" applyNumberFormat="1" applyFont="1" applyAlignment="1">
      <alignment horizontal="right"/>
    </xf>
    <xf numFmtId="3" fontId="4" fillId="0" borderId="0" xfId="0" applyNumberFormat="1" applyFont="1" applyAlignment="1">
      <alignment horizontal="center"/>
    </xf>
    <xf numFmtId="0" fontId="2" fillId="0" borderId="1" xfId="0" applyFont="1" applyBorder="1"/>
    <xf numFmtId="0" fontId="3" fillId="2" borderId="0" xfId="0" applyFont="1" applyFill="1" applyAlignment="1">
      <alignment horizontal="left"/>
    </xf>
    <xf numFmtId="42" fontId="4" fillId="0" borderId="0" xfId="0" applyNumberFormat="1" applyFont="1" applyAlignment="1">
      <alignment horizontal="right"/>
    </xf>
    <xf numFmtId="165" fontId="4" fillId="0" borderId="0" xfId="0" applyNumberFormat="1" applyFont="1" applyAlignment="1">
      <alignment horizontal="right"/>
    </xf>
    <xf numFmtId="164" fontId="4" fillId="0" borderId="0" xfId="0" applyNumberFormat="1" applyFont="1" applyAlignment="1">
      <alignment horizontal="left"/>
    </xf>
    <xf numFmtId="0" fontId="4" fillId="0" borderId="1" xfId="0" applyFont="1" applyBorder="1"/>
    <xf numFmtId="3" fontId="4" fillId="0" borderId="1" xfId="0" applyNumberFormat="1" applyFont="1" applyBorder="1"/>
    <xf numFmtId="164" fontId="3" fillId="0" borderId="0" xfId="0" applyNumberFormat="1" applyFont="1" applyAlignment="1">
      <alignment horizontal="right"/>
    </xf>
    <xf numFmtId="164" fontId="3" fillId="0" borderId="0" xfId="0" applyNumberFormat="1" applyFont="1" applyAlignment="1">
      <alignment horizontal="left"/>
    </xf>
    <xf numFmtId="0" fontId="3" fillId="0" borderId="0" xfId="0" applyFont="1" applyAlignment="1">
      <alignment horizontal="left"/>
    </xf>
    <xf numFmtId="0" fontId="3" fillId="0" borderId="0" xfId="0" applyFont="1" applyAlignment="1">
      <alignment horizontal="center"/>
    </xf>
    <xf numFmtId="3" fontId="3" fillId="0" borderId="0" xfId="0" applyNumberFormat="1" applyFont="1" applyAlignment="1">
      <alignment horizontal="right"/>
    </xf>
    <xf numFmtId="3" fontId="3" fillId="0" borderId="0" xfId="0" applyNumberFormat="1" applyFont="1"/>
    <xf numFmtId="3" fontId="3" fillId="0" borderId="0" xfId="0" applyNumberFormat="1" applyFont="1" applyAlignment="1">
      <alignment horizontal="center"/>
    </xf>
    <xf numFmtId="0" fontId="6" fillId="0" borderId="0" xfId="0" applyFont="1" applyAlignment="1">
      <alignment horizontal="left"/>
    </xf>
    <xf numFmtId="0" fontId="7" fillId="0" borderId="0" xfId="0" applyFont="1" applyAlignment="1">
      <alignment horizontal="right"/>
    </xf>
    <xf numFmtId="0" fontId="7" fillId="0" borderId="0" xfId="0" applyFont="1" applyAlignment="1">
      <alignment horizontal="center"/>
    </xf>
    <xf numFmtId="0" fontId="6" fillId="0" borderId="0" xfId="0" applyFont="1" applyAlignment="1">
      <alignment horizontal="right"/>
    </xf>
    <xf numFmtId="0" fontId="6" fillId="0" borderId="0" xfId="0" applyFont="1" applyAlignment="1">
      <alignment horizontal="center"/>
    </xf>
    <xf numFmtId="0" fontId="6" fillId="0" borderId="0" xfId="0" applyFont="1"/>
    <xf numFmtId="42" fontId="4" fillId="0" borderId="0" xfId="0" applyNumberFormat="1" applyFont="1"/>
    <xf numFmtId="0" fontId="8" fillId="0" borderId="0" xfId="0" applyFont="1" applyAlignment="1">
      <alignment horizontal="left"/>
    </xf>
    <xf numFmtId="0" fontId="4" fillId="2" borderId="0" xfId="0" applyFont="1" applyFill="1" applyAlignment="1">
      <alignment horizontal="right"/>
    </xf>
    <xf numFmtId="164" fontId="3" fillId="2" borderId="0" xfId="0" applyNumberFormat="1" applyFont="1" applyFill="1" applyAlignment="1">
      <alignment horizontal="right"/>
    </xf>
    <xf numFmtId="0" fontId="4" fillId="2" borderId="0" xfId="0" applyFont="1" applyFill="1"/>
    <xf numFmtId="164" fontId="4" fillId="3" borderId="2" xfId="0" applyNumberFormat="1" applyFont="1" applyFill="1" applyBorder="1" applyAlignment="1">
      <alignment horizontal="center"/>
    </xf>
    <xf numFmtId="0" fontId="4" fillId="0" borderId="1" xfId="0" applyFont="1" applyBorder="1" applyAlignment="1">
      <alignment horizontal="left"/>
    </xf>
    <xf numFmtId="0" fontId="3" fillId="0" borderId="8" xfId="0" applyFont="1" applyBorder="1"/>
    <xf numFmtId="164" fontId="3" fillId="0" borderId="9" xfId="0" applyNumberFormat="1" applyFont="1" applyBorder="1"/>
    <xf numFmtId="0" fontId="2" fillId="0" borderId="0" xfId="0" applyFont="1"/>
    <xf numFmtId="42" fontId="2" fillId="0" borderId="0" xfId="0" applyNumberFormat="1" applyFont="1"/>
    <xf numFmtId="0" fontId="2" fillId="0" borderId="6" xfId="0" applyFont="1" applyBorder="1"/>
    <xf numFmtId="42" fontId="2" fillId="0" borderId="7" xfId="0" applyNumberFormat="1" applyFont="1" applyBorder="1"/>
    <xf numFmtId="0" fontId="2" fillId="0" borderId="8" xfId="0" applyFont="1" applyBorder="1"/>
    <xf numFmtId="42" fontId="2" fillId="0" borderId="9" xfId="0" applyNumberFormat="1" applyFont="1" applyBorder="1"/>
    <xf numFmtId="0" fontId="2" fillId="0" borderId="12" xfId="0" applyFont="1" applyBorder="1"/>
    <xf numFmtId="42" fontId="2" fillId="0" borderId="13" xfId="0" applyNumberFormat="1" applyFont="1" applyBorder="1"/>
    <xf numFmtId="0" fontId="2" fillId="0" borderId="10" xfId="0" applyFont="1" applyBorder="1"/>
    <xf numFmtId="42" fontId="2" fillId="0" borderId="11" xfId="0" applyNumberFormat="1" applyFont="1" applyBorder="1"/>
    <xf numFmtId="42" fontId="6" fillId="0" borderId="0" xfId="0" applyNumberFormat="1" applyFont="1" applyAlignment="1">
      <alignment horizontal="right"/>
    </xf>
    <xf numFmtId="3" fontId="3" fillId="0" borderId="9" xfId="0" applyNumberFormat="1" applyFont="1" applyBorder="1"/>
    <xf numFmtId="42" fontId="10" fillId="0" borderId="0" xfId="0" applyNumberFormat="1" applyFont="1"/>
    <xf numFmtId="0" fontId="3" fillId="2" borderId="6" xfId="0" applyFont="1" applyFill="1" applyBorder="1" applyAlignment="1">
      <alignment horizontal="center"/>
    </xf>
    <xf numFmtId="0" fontId="3" fillId="2" borderId="7" xfId="0" applyFont="1" applyFill="1" applyBorder="1" applyAlignment="1">
      <alignment horizontal="center"/>
    </xf>
    <xf numFmtId="0" fontId="11" fillId="0" borderId="0" xfId="0" applyFont="1"/>
    <xf numFmtId="0" fontId="12" fillId="0" borderId="0" xfId="0" applyFont="1"/>
    <xf numFmtId="164" fontId="12" fillId="0" borderId="0" xfId="0" applyNumberFormat="1" applyFont="1"/>
    <xf numFmtId="164" fontId="0" fillId="0" borderId="0" xfId="0" applyNumberFormat="1"/>
    <xf numFmtId="0" fontId="0" fillId="0" borderId="0" xfId="0" applyAlignment="1">
      <alignment vertical="top" wrapText="1"/>
    </xf>
    <xf numFmtId="0" fontId="0" fillId="0" borderId="0" xfId="0" applyAlignment="1">
      <alignment horizontal="center" vertical="top" wrapText="1"/>
    </xf>
    <xf numFmtId="164" fontId="0" fillId="0" borderId="0" xfId="0" applyNumberFormat="1" applyAlignment="1">
      <alignment horizontal="left" vertical="top" wrapText="1"/>
    </xf>
    <xf numFmtId="0" fontId="0" fillId="0" borderId="0" xfId="0" applyAlignment="1">
      <alignment horizontal="left" vertical="top" wrapText="1"/>
    </xf>
    <xf numFmtId="0" fontId="0" fillId="0" borderId="6" xfId="0" applyBorder="1" applyAlignment="1">
      <alignment vertical="top" wrapText="1"/>
    </xf>
    <xf numFmtId="0" fontId="0" fillId="0" borderId="14" xfId="0" applyBorder="1" applyAlignment="1">
      <alignment vertical="top" wrapText="1"/>
    </xf>
    <xf numFmtId="0" fontId="0" fillId="0" borderId="17" xfId="0" applyBorder="1" applyAlignment="1">
      <alignment horizontal="center" vertical="top" wrapText="1"/>
    </xf>
    <xf numFmtId="164" fontId="0" fillId="0" borderId="18" xfId="0" applyNumberFormat="1" applyBorder="1" applyAlignment="1">
      <alignment vertical="top" wrapText="1"/>
    </xf>
    <xf numFmtId="6" fontId="0" fillId="0" borderId="2" xfId="0" applyNumberFormat="1" applyBorder="1" applyAlignment="1">
      <alignment horizontal="center" vertical="top" wrapText="1"/>
    </xf>
    <xf numFmtId="0" fontId="0" fillId="0" borderId="2" xfId="0" applyBorder="1" applyAlignment="1">
      <alignment horizontal="center" vertical="top" wrapText="1"/>
    </xf>
    <xf numFmtId="164" fontId="0" fillId="0" borderId="20" xfId="0" applyNumberFormat="1" applyBorder="1" applyAlignment="1">
      <alignment vertical="top" wrapText="1"/>
    </xf>
    <xf numFmtId="0" fontId="1" fillId="0" borderId="0" xfId="0" applyFont="1" applyAlignment="1">
      <alignment vertical="top" wrapText="1"/>
    </xf>
    <xf numFmtId="6" fontId="1" fillId="0" borderId="2" xfId="0" applyNumberFormat="1" applyFont="1" applyBorder="1" applyAlignment="1">
      <alignment horizontal="center" vertical="center" wrapText="1"/>
    </xf>
    <xf numFmtId="0" fontId="1" fillId="0" borderId="2" xfId="0" applyFont="1" applyBorder="1" applyAlignment="1">
      <alignment horizontal="center" vertical="center" wrapText="1"/>
    </xf>
    <xf numFmtId="0" fontId="0" fillId="0" borderId="17" xfId="0" applyBorder="1" applyAlignment="1">
      <alignment horizontal="center" vertical="center" wrapText="1"/>
    </xf>
    <xf numFmtId="0" fontId="0" fillId="0" borderId="10" xfId="0" applyBorder="1"/>
    <xf numFmtId="0" fontId="0" fillId="0" borderId="21" xfId="0" applyBorder="1"/>
    <xf numFmtId="164" fontId="0" fillId="0" borderId="11" xfId="0" applyNumberFormat="1" applyBorder="1"/>
    <xf numFmtId="0" fontId="1" fillId="0" borderId="0" xfId="0" applyFont="1"/>
    <xf numFmtId="164" fontId="0" fillId="0" borderId="18" xfId="0" applyNumberFormat="1" applyBorder="1" applyAlignment="1">
      <alignment vertical="center" wrapText="1"/>
    </xf>
    <xf numFmtId="0" fontId="0" fillId="0" borderId="0" xfId="0" applyAlignment="1">
      <alignment vertical="center" wrapText="1"/>
    </xf>
    <xf numFmtId="6" fontId="0" fillId="0" borderId="25" xfId="0" applyNumberFormat="1" applyBorder="1" applyAlignment="1">
      <alignment horizontal="center" vertical="center" wrapText="1"/>
    </xf>
    <xf numFmtId="0" fontId="0" fillId="0" borderId="25" xfId="0" applyBorder="1" applyAlignment="1">
      <alignment horizontal="center" vertical="center" wrapText="1"/>
    </xf>
    <xf numFmtId="6" fontId="0" fillId="0" borderId="2" xfId="0" applyNumberFormat="1" applyBorder="1" applyAlignment="1">
      <alignment horizontal="center" vertical="center" wrapText="1"/>
    </xf>
    <xf numFmtId="0" fontId="0" fillId="0" borderId="2" xfId="0" applyBorder="1" applyAlignment="1">
      <alignment horizontal="center" vertical="center" wrapText="1"/>
    </xf>
    <xf numFmtId="164" fontId="0" fillId="0" borderId="20" xfId="0" applyNumberFormat="1" applyBorder="1" applyAlignment="1">
      <alignment vertical="center" wrapText="1"/>
    </xf>
    <xf numFmtId="0" fontId="0" fillId="0" borderId="21" xfId="0" applyBorder="1" applyAlignment="1">
      <alignment horizontal="center" vertical="center" wrapText="1"/>
    </xf>
    <xf numFmtId="164" fontId="0" fillId="0" borderId="9" xfId="0" applyNumberFormat="1" applyBorder="1"/>
    <xf numFmtId="164" fontId="0" fillId="0" borderId="28" xfId="0" applyNumberFormat="1" applyBorder="1"/>
    <xf numFmtId="0" fontId="1" fillId="0" borderId="40" xfId="0" applyFont="1" applyBorder="1" applyAlignment="1">
      <alignment horizontal="center" vertical="center" wrapText="1"/>
    </xf>
    <xf numFmtId="0" fontId="0" fillId="0" borderId="0" xfId="0" applyAlignment="1">
      <alignment vertical="center"/>
    </xf>
    <xf numFmtId="6" fontId="0" fillId="0" borderId="20" xfId="0" applyNumberFormat="1" applyBorder="1" applyAlignment="1">
      <alignment horizontal="right" vertical="center" wrapText="1"/>
    </xf>
    <xf numFmtId="6" fontId="0" fillId="0" borderId="35" xfId="0" applyNumberFormat="1" applyBorder="1" applyAlignment="1">
      <alignment horizontal="center" vertical="center" wrapText="1"/>
    </xf>
    <xf numFmtId="0" fontId="0" fillId="0" borderId="8" xfId="0" applyBorder="1" applyAlignment="1">
      <alignment vertical="top" wrapText="1"/>
    </xf>
    <xf numFmtId="0" fontId="0" fillId="0" borderId="8" xfId="0" applyBorder="1" applyAlignment="1">
      <alignment vertical="center" wrapText="1"/>
    </xf>
    <xf numFmtId="0" fontId="0" fillId="0" borderId="35" xfId="0" applyBorder="1" applyAlignment="1">
      <alignment horizontal="center" vertical="center" wrapText="1"/>
    </xf>
    <xf numFmtId="164" fontId="0" fillId="0" borderId="36" xfId="0" applyNumberFormat="1" applyBorder="1" applyAlignment="1">
      <alignment vertical="center" wrapText="1"/>
    </xf>
    <xf numFmtId="0" fontId="0" fillId="0" borderId="35" xfId="0" applyBorder="1"/>
    <xf numFmtId="0" fontId="8" fillId="0" borderId="0" xfId="0" applyFont="1"/>
    <xf numFmtId="42" fontId="6" fillId="0" borderId="0" xfId="0" applyNumberFormat="1" applyFont="1"/>
    <xf numFmtId="42" fontId="6" fillId="0" borderId="0" xfId="0" applyNumberFormat="1" applyFont="1" applyAlignment="1">
      <alignment horizontal="left"/>
    </xf>
    <xf numFmtId="42" fontId="7" fillId="0" borderId="0" xfId="0" applyNumberFormat="1" applyFont="1" applyAlignment="1">
      <alignment horizontal="left"/>
    </xf>
    <xf numFmtId="42" fontId="6" fillId="0" borderId="1" xfId="0" applyNumberFormat="1" applyFont="1" applyBorder="1" applyAlignment="1">
      <alignment horizontal="right"/>
    </xf>
    <xf numFmtId="42" fontId="8" fillId="0" borderId="0" xfId="0" applyNumberFormat="1" applyFont="1"/>
    <xf numFmtId="42" fontId="0" fillId="0" borderId="0" xfId="0" applyNumberFormat="1"/>
    <xf numFmtId="0" fontId="6" fillId="0" borderId="0" xfId="0" applyFont="1" applyAlignment="1">
      <alignment horizontal="center" vertical="center"/>
    </xf>
    <xf numFmtId="3" fontId="6" fillId="0" borderId="0" xfId="0" applyNumberFormat="1" applyFont="1"/>
    <xf numFmtId="164" fontId="6" fillId="0" borderId="0" xfId="0" applyNumberFormat="1" applyFont="1"/>
    <xf numFmtId="37" fontId="6" fillId="0" borderId="0" xfId="0" applyNumberFormat="1" applyFont="1" applyAlignment="1">
      <alignment horizontal="right"/>
    </xf>
    <xf numFmtId="3" fontId="6" fillId="0" borderId="0" xfId="0" applyNumberFormat="1" applyFont="1" applyAlignment="1">
      <alignment horizontal="center"/>
    </xf>
    <xf numFmtId="3" fontId="6" fillId="0" borderId="0" xfId="0" applyNumberFormat="1" applyFont="1" applyAlignment="1">
      <alignment horizontal="right"/>
    </xf>
    <xf numFmtId="42" fontId="8" fillId="0" borderId="0" xfId="0" applyNumberFormat="1" applyFont="1" applyAlignment="1">
      <alignment horizontal="right"/>
    </xf>
    <xf numFmtId="42" fontId="0" fillId="0" borderId="1" xfId="0" applyNumberFormat="1" applyBorder="1"/>
    <xf numFmtId="44" fontId="0" fillId="0" borderId="0" xfId="0" applyNumberFormat="1"/>
    <xf numFmtId="0" fontId="10" fillId="0" borderId="0" xfId="0" applyFont="1"/>
    <xf numFmtId="42" fontId="4" fillId="0" borderId="0" xfId="0" applyNumberFormat="1" applyFont="1" applyAlignment="1">
      <alignment horizontal="center"/>
    </xf>
    <xf numFmtId="164" fontId="2" fillId="0" borderId="28" xfId="0" applyNumberFormat="1" applyFont="1" applyBorder="1"/>
    <xf numFmtId="164" fontId="0" fillId="0" borderId="36" xfId="0" applyNumberFormat="1" applyBorder="1"/>
    <xf numFmtId="164" fontId="2" fillId="0" borderId="26" xfId="0" applyNumberFormat="1" applyFont="1" applyBorder="1" applyAlignment="1">
      <alignment vertical="center" wrapText="1"/>
    </xf>
    <xf numFmtId="164" fontId="0" fillId="0" borderId="44" xfId="0" applyNumberFormat="1" applyBorder="1" applyAlignment="1">
      <alignment vertical="center" wrapText="1"/>
    </xf>
    <xf numFmtId="0" fontId="0" fillId="0" borderId="22" xfId="0" applyBorder="1" applyAlignment="1">
      <alignment horizontal="center" vertical="center" wrapText="1"/>
    </xf>
    <xf numFmtId="0" fontId="0" fillId="0" borderId="37" xfId="0" applyBorder="1"/>
    <xf numFmtId="6" fontId="0" fillId="0" borderId="35" xfId="0" applyNumberFormat="1" applyBorder="1" applyAlignment="1">
      <alignment horizontal="center" vertical="top" wrapText="1"/>
    </xf>
    <xf numFmtId="0" fontId="0" fillId="0" borderId="35" xfId="0" applyBorder="1" applyAlignment="1">
      <alignment horizontal="center" vertical="top" wrapText="1"/>
    </xf>
    <xf numFmtId="164" fontId="0" fillId="0" borderId="36" xfId="0" applyNumberFormat="1" applyBorder="1" applyAlignment="1">
      <alignment vertical="top" wrapText="1"/>
    </xf>
    <xf numFmtId="6" fontId="0" fillId="0" borderId="36" xfId="0" applyNumberFormat="1" applyBorder="1" applyAlignment="1">
      <alignment horizontal="right" vertical="center" wrapText="1"/>
    </xf>
    <xf numFmtId="37" fontId="6" fillId="4" borderId="47" xfId="1" applyNumberFormat="1" applyFont="1" applyAlignment="1">
      <alignment horizontal="right"/>
    </xf>
    <xf numFmtId="0" fontId="0" fillId="4" borderId="47" xfId="1" applyFont="1"/>
    <xf numFmtId="10" fontId="0" fillId="4" borderId="47" xfId="1" applyNumberFormat="1" applyFont="1"/>
    <xf numFmtId="9" fontId="0" fillId="4" borderId="47" xfId="1" applyNumberFormat="1" applyFont="1"/>
    <xf numFmtId="42" fontId="6" fillId="4" borderId="47" xfId="1" applyNumberFormat="1" applyFont="1" applyAlignment="1">
      <alignment horizontal="right"/>
    </xf>
    <xf numFmtId="42" fontId="8" fillId="0" borderId="48" xfId="0" applyNumberFormat="1" applyFont="1" applyBorder="1"/>
    <xf numFmtId="42" fontId="2" fillId="0" borderId="48" xfId="0" applyNumberFormat="1" applyFont="1" applyBorder="1"/>
    <xf numFmtId="0" fontId="0" fillId="5" borderId="0" xfId="0" applyFill="1"/>
    <xf numFmtId="42" fontId="2" fillId="5" borderId="48" xfId="0" applyNumberFormat="1" applyFont="1" applyFill="1" applyBorder="1"/>
    <xf numFmtId="0" fontId="16" fillId="5" borderId="0" xfId="0" applyFont="1" applyFill="1"/>
    <xf numFmtId="0" fontId="4" fillId="0" borderId="0" xfId="0" applyFont="1" applyAlignment="1">
      <alignment horizontal="center" vertical="center"/>
    </xf>
    <xf numFmtId="6" fontId="0" fillId="4" borderId="47" xfId="1" applyNumberFormat="1" applyFont="1" applyAlignment="1">
      <alignment horizontal="center" vertical="center" wrapText="1"/>
    </xf>
    <xf numFmtId="0" fontId="0" fillId="4" borderId="47" xfId="1" applyFont="1" applyAlignment="1">
      <alignment horizontal="center" vertical="center" wrapText="1"/>
    </xf>
    <xf numFmtId="0" fontId="0" fillId="0" borderId="50" xfId="0" applyBorder="1" applyAlignment="1">
      <alignment horizontal="center" vertical="top" wrapText="1"/>
    </xf>
    <xf numFmtId="0" fontId="0" fillId="0" borderId="42" xfId="0" applyBorder="1" applyAlignment="1">
      <alignment horizontal="center" vertical="top" wrapText="1"/>
    </xf>
    <xf numFmtId="0" fontId="0" fillId="0" borderId="25" xfId="0" applyBorder="1" applyAlignment="1">
      <alignment horizontal="center" vertical="top" wrapText="1"/>
    </xf>
    <xf numFmtId="164" fontId="0" fillId="0" borderId="26" xfId="0" applyNumberFormat="1" applyBorder="1" applyAlignment="1">
      <alignment vertical="top" wrapText="1"/>
    </xf>
    <xf numFmtId="6" fontId="0" fillId="4" borderId="47" xfId="1" applyNumberFormat="1" applyFont="1" applyAlignment="1">
      <alignment horizontal="center" vertical="top" wrapText="1"/>
    </xf>
    <xf numFmtId="6" fontId="1" fillId="4" borderId="47" xfId="1" applyNumberFormat="1" applyFont="1" applyAlignment="1">
      <alignment horizontal="center" vertical="center" wrapText="1"/>
    </xf>
    <xf numFmtId="6" fontId="0" fillId="4" borderId="47" xfId="1" applyNumberFormat="1" applyFont="1" applyAlignment="1">
      <alignment horizontal="center"/>
    </xf>
    <xf numFmtId="0" fontId="0" fillId="4" borderId="47" xfId="1" applyFont="1" applyAlignment="1">
      <alignment horizontal="center" vertical="top" wrapText="1"/>
    </xf>
    <xf numFmtId="0" fontId="1" fillId="4" borderId="47" xfId="1" applyFont="1" applyAlignment="1">
      <alignment horizontal="center" vertical="center" wrapText="1"/>
    </xf>
    <xf numFmtId="0" fontId="1" fillId="4" borderId="47" xfId="1" applyFont="1" applyAlignment="1">
      <alignment horizontal="center" vertical="top" wrapText="1"/>
    </xf>
    <xf numFmtId="6" fontId="0" fillId="4" borderId="47" xfId="1" applyNumberFormat="1" applyFont="1" applyAlignment="1">
      <alignment horizontal="center" vertical="center"/>
    </xf>
    <xf numFmtId="166" fontId="0" fillId="0" borderId="0" xfId="0" applyNumberFormat="1"/>
    <xf numFmtId="164" fontId="2" fillId="0" borderId="51" xfId="0" applyNumberFormat="1" applyFont="1" applyBorder="1"/>
    <xf numFmtId="164" fontId="2" fillId="0" borderId="0" xfId="0" applyNumberFormat="1" applyFont="1"/>
    <xf numFmtId="0" fontId="16" fillId="6" borderId="0" xfId="0" applyFont="1" applyFill="1"/>
    <xf numFmtId="0" fontId="0" fillId="6" borderId="0" xfId="0" applyFill="1"/>
    <xf numFmtId="164" fontId="2" fillId="6" borderId="48" xfId="0" applyNumberFormat="1" applyFont="1" applyFill="1" applyBorder="1"/>
    <xf numFmtId="0" fontId="0" fillId="0" borderId="0" xfId="0" applyAlignment="1">
      <alignment horizontal="right"/>
    </xf>
    <xf numFmtId="0" fontId="3" fillId="0" borderId="0" xfId="0" applyFont="1"/>
    <xf numFmtId="164" fontId="3" fillId="0" borderId="0" xfId="0" applyNumberFormat="1" applyFont="1"/>
    <xf numFmtId="0" fontId="3" fillId="0" borderId="10" xfId="0" applyFont="1" applyBorder="1"/>
    <xf numFmtId="164" fontId="3" fillId="0" borderId="11" xfId="0" applyNumberFormat="1" applyFont="1" applyBorder="1"/>
    <xf numFmtId="3" fontId="3" fillId="0" borderId="11" xfId="0" applyNumberFormat="1" applyFont="1" applyBorder="1"/>
    <xf numFmtId="0" fontId="17" fillId="2" borderId="0" xfId="0" applyFont="1" applyFill="1" applyAlignment="1">
      <alignment horizontal="center"/>
    </xf>
    <xf numFmtId="0" fontId="18" fillId="0" borderId="0" xfId="0" applyFont="1"/>
    <xf numFmtId="44" fontId="18" fillId="0" borderId="0" xfId="2" applyFont="1"/>
    <xf numFmtId="0" fontId="18" fillId="0" borderId="0" xfId="0" applyFont="1" applyAlignment="1">
      <alignment wrapText="1"/>
    </xf>
    <xf numFmtId="0" fontId="18" fillId="0" borderId="0" xfId="2" applyNumberFormat="1" applyFont="1"/>
    <xf numFmtId="0" fontId="17" fillId="2" borderId="0" xfId="0" applyFont="1" applyFill="1" applyAlignment="1">
      <alignment horizontal="center" wrapText="1"/>
    </xf>
    <xf numFmtId="0" fontId="17" fillId="0" borderId="0" xfId="0" applyFont="1" applyAlignment="1">
      <alignment wrapText="1"/>
    </xf>
    <xf numFmtId="44" fontId="18" fillId="0" borderId="0" xfId="0" applyNumberFormat="1" applyFont="1"/>
    <xf numFmtId="0" fontId="17" fillId="0" borderId="0" xfId="0" applyFont="1"/>
    <xf numFmtId="0" fontId="18" fillId="0" borderId="0" xfId="0" applyFont="1" applyAlignment="1">
      <alignment vertical="top" wrapText="1"/>
    </xf>
    <xf numFmtId="0" fontId="18" fillId="0" borderId="0" xfId="0" applyFont="1" applyAlignment="1">
      <alignment horizontal="center" vertical="top" wrapText="1"/>
    </xf>
    <xf numFmtId="164" fontId="18" fillId="0" borderId="0" xfId="0" applyNumberFormat="1" applyFont="1" applyAlignment="1">
      <alignment horizontal="left" vertical="top" wrapText="1"/>
    </xf>
    <xf numFmtId="0" fontId="18" fillId="0" borderId="0" xfId="0" applyFont="1" applyAlignment="1">
      <alignment horizontal="left" vertical="top" wrapText="1"/>
    </xf>
    <xf numFmtId="0" fontId="19" fillId="6" borderId="0" xfId="0" applyFont="1" applyFill="1"/>
    <xf numFmtId="0" fontId="18" fillId="0" borderId="31" xfId="0" applyFont="1" applyBorder="1" applyAlignment="1">
      <alignment horizontal="center" vertical="top" wrapText="1"/>
    </xf>
    <xf numFmtId="164" fontId="18" fillId="0" borderId="32" xfId="0" applyNumberFormat="1" applyFont="1" applyBorder="1" applyAlignment="1">
      <alignment vertical="top" wrapText="1"/>
    </xf>
    <xf numFmtId="0" fontId="18" fillId="6" borderId="0" xfId="0" applyFont="1" applyFill="1"/>
    <xf numFmtId="0" fontId="18" fillId="0" borderId="17" xfId="0" applyFont="1" applyBorder="1" applyAlignment="1">
      <alignment horizontal="center" vertical="top" wrapText="1"/>
    </xf>
    <xf numFmtId="164" fontId="18" fillId="0" borderId="18" xfId="0" applyNumberFormat="1" applyFont="1" applyBorder="1" applyAlignment="1">
      <alignment vertical="top" wrapText="1"/>
    </xf>
    <xf numFmtId="0" fontId="18" fillId="0" borderId="0" xfId="0" applyFont="1" applyAlignment="1">
      <alignment vertical="center" wrapText="1"/>
    </xf>
    <xf numFmtId="6" fontId="18" fillId="4" borderId="2" xfId="1" applyNumberFormat="1" applyFont="1" applyBorder="1" applyAlignment="1">
      <alignment horizontal="center" vertical="center" wrapText="1"/>
    </xf>
    <xf numFmtId="0" fontId="18" fillId="0" borderId="2" xfId="0" applyFont="1" applyBorder="1" applyAlignment="1">
      <alignment horizontal="center" vertical="center" wrapText="1"/>
    </xf>
    <xf numFmtId="0" fontId="18" fillId="4" borderId="2" xfId="1" applyFont="1" applyBorder="1" applyAlignment="1">
      <alignment horizontal="center" vertical="center" wrapText="1"/>
    </xf>
    <xf numFmtId="164" fontId="18" fillId="0" borderId="20" xfId="0" applyNumberFormat="1" applyFont="1" applyBorder="1" applyAlignment="1">
      <alignment vertical="center" wrapText="1"/>
    </xf>
    <xf numFmtId="0" fontId="18" fillId="0" borderId="0" xfId="0" applyFont="1" applyAlignment="1">
      <alignment vertical="center"/>
    </xf>
    <xf numFmtId="6" fontId="18" fillId="4" borderId="35" xfId="1" applyNumberFormat="1" applyFont="1" applyBorder="1" applyAlignment="1">
      <alignment horizontal="center" vertical="center" wrapText="1"/>
    </xf>
    <xf numFmtId="0" fontId="18" fillId="0" borderId="35" xfId="0" applyFont="1" applyBorder="1" applyAlignment="1">
      <alignment horizontal="center" vertical="center" wrapText="1"/>
    </xf>
    <xf numFmtId="0" fontId="18" fillId="4" borderId="35" xfId="1" applyFont="1" applyBorder="1" applyAlignment="1">
      <alignment horizontal="center" vertical="center" wrapText="1"/>
    </xf>
    <xf numFmtId="164" fontId="18" fillId="0" borderId="36" xfId="0" applyNumberFormat="1" applyFont="1" applyBorder="1" applyAlignment="1">
      <alignment vertical="center" wrapText="1"/>
    </xf>
    <xf numFmtId="0" fontId="18" fillId="0" borderId="17" xfId="0" applyFont="1" applyBorder="1"/>
    <xf numFmtId="164" fontId="18" fillId="0" borderId="18" xfId="0" applyNumberFormat="1" applyFont="1" applyBorder="1"/>
    <xf numFmtId="6" fontId="18" fillId="0" borderId="17" xfId="0" applyNumberFormat="1" applyFont="1" applyBorder="1" applyAlignment="1">
      <alignment horizontal="center" vertical="center" wrapText="1"/>
    </xf>
    <xf numFmtId="0" fontId="18" fillId="0" borderId="17" xfId="0" applyFont="1" applyBorder="1" applyAlignment="1">
      <alignment horizontal="center" vertical="center" wrapText="1"/>
    </xf>
    <xf numFmtId="164" fontId="17" fillId="0" borderId="18" xfId="0" applyNumberFormat="1" applyFont="1" applyBorder="1" applyAlignment="1">
      <alignment vertical="center" wrapText="1"/>
    </xf>
    <xf numFmtId="6" fontId="18" fillId="0" borderId="2" xfId="0" applyNumberFormat="1" applyFont="1" applyBorder="1" applyAlignment="1">
      <alignment horizontal="center" vertical="center" wrapText="1"/>
    </xf>
    <xf numFmtId="6" fontId="18" fillId="0" borderId="35" xfId="0" applyNumberFormat="1" applyFont="1" applyBorder="1" applyAlignment="1">
      <alignment horizontal="center" vertical="center" wrapText="1"/>
    </xf>
    <xf numFmtId="164" fontId="17" fillId="0" borderId="26" xfId="0" applyNumberFormat="1" applyFont="1" applyBorder="1"/>
    <xf numFmtId="0" fontId="18" fillId="0" borderId="35" xfId="0" applyFont="1" applyBorder="1" applyAlignment="1">
      <alignment horizontal="center" vertical="center"/>
    </xf>
    <xf numFmtId="164" fontId="17" fillId="0" borderId="36" xfId="0" applyNumberFormat="1" applyFont="1" applyBorder="1"/>
    <xf numFmtId="164" fontId="17" fillId="6" borderId="48" xfId="0" applyNumberFormat="1" applyFont="1" applyFill="1" applyBorder="1"/>
    <xf numFmtId="0" fontId="18" fillId="0" borderId="0" xfId="0" applyFont="1" applyAlignment="1">
      <alignment horizontal="left"/>
    </xf>
    <xf numFmtId="0" fontId="17" fillId="0" borderId="0" xfId="0" applyFont="1" applyAlignment="1">
      <alignment horizontal="center"/>
    </xf>
    <xf numFmtId="0" fontId="18" fillId="0" borderId="0" xfId="0" applyFont="1" applyAlignment="1">
      <alignment horizontal="center" vertical="center"/>
    </xf>
    <xf numFmtId="164" fontId="17" fillId="0" borderId="0" xfId="0" applyNumberFormat="1" applyFont="1"/>
    <xf numFmtId="6" fontId="18" fillId="0" borderId="17" xfId="0" applyNumberFormat="1" applyFont="1" applyBorder="1" applyAlignment="1">
      <alignment horizontal="center" vertical="top" wrapText="1"/>
    </xf>
    <xf numFmtId="164" fontId="17" fillId="6" borderId="0" xfId="0" applyNumberFormat="1" applyFont="1" applyFill="1"/>
    <xf numFmtId="0" fontId="17" fillId="0" borderId="0" xfId="0" applyFont="1" applyAlignment="1">
      <alignment vertical="center"/>
    </xf>
    <xf numFmtId="0" fontId="18" fillId="0" borderId="2" xfId="0" applyFont="1" applyBorder="1" applyAlignment="1">
      <alignment horizontal="left" vertical="center" wrapText="1"/>
    </xf>
    <xf numFmtId="164" fontId="18" fillId="0" borderId="0" xfId="0" applyNumberFormat="1" applyFont="1"/>
    <xf numFmtId="0" fontId="17" fillId="0" borderId="0" xfId="0" applyFont="1" applyAlignment="1">
      <alignment horizontal="center" vertical="center" wrapText="1"/>
    </xf>
    <xf numFmtId="0" fontId="17" fillId="0" borderId="0" xfId="0" applyFont="1" applyAlignment="1">
      <alignment vertical="top" wrapText="1"/>
    </xf>
    <xf numFmtId="6" fontId="17" fillId="0" borderId="17" xfId="0" applyNumberFormat="1" applyFont="1" applyBorder="1" applyAlignment="1">
      <alignment horizontal="center" vertical="top" wrapText="1"/>
    </xf>
    <xf numFmtId="0" fontId="17" fillId="0" borderId="17" xfId="0" applyFont="1" applyBorder="1" applyAlignment="1">
      <alignment horizontal="center" vertical="top" wrapText="1"/>
    </xf>
    <xf numFmtId="164" fontId="17" fillId="0" borderId="18" xfId="0" applyNumberFormat="1" applyFont="1" applyBorder="1" applyAlignment="1">
      <alignment vertical="top" wrapText="1"/>
    </xf>
    <xf numFmtId="0" fontId="18" fillId="0" borderId="35" xfId="0" applyFont="1" applyBorder="1"/>
    <xf numFmtId="0" fontId="17" fillId="0" borderId="35" xfId="0" applyFont="1" applyBorder="1" applyAlignment="1">
      <alignment horizontal="center" vertical="center"/>
    </xf>
    <xf numFmtId="0" fontId="17" fillId="0" borderId="0" xfId="0" applyFont="1" applyAlignment="1">
      <alignment vertical="center" wrapText="1"/>
    </xf>
    <xf numFmtId="164" fontId="17" fillId="0" borderId="48" xfId="0" applyNumberFormat="1" applyFont="1" applyBorder="1"/>
    <xf numFmtId="0" fontId="18" fillId="0" borderId="0" xfId="0" applyFont="1" applyAlignment="1">
      <alignment horizontal="center"/>
    </xf>
    <xf numFmtId="37" fontId="0" fillId="0" borderId="0" xfId="0" applyNumberFormat="1"/>
    <xf numFmtId="165" fontId="0" fillId="0" borderId="0" xfId="0" applyNumberFormat="1" applyAlignment="1">
      <alignment horizontal="left"/>
    </xf>
    <xf numFmtId="0" fontId="20" fillId="7" borderId="0" xfId="0" applyFont="1" applyFill="1" applyAlignment="1">
      <alignment horizontal="left"/>
    </xf>
    <xf numFmtId="3" fontId="18" fillId="0" borderId="0" xfId="0" applyNumberFormat="1" applyFont="1"/>
    <xf numFmtId="42" fontId="0" fillId="7" borderId="0" xfId="0" applyNumberFormat="1" applyFill="1"/>
    <xf numFmtId="0" fontId="22" fillId="0" borderId="0" xfId="0" applyFont="1" applyAlignment="1">
      <alignment horizontal="left"/>
    </xf>
    <xf numFmtId="0" fontId="6" fillId="0" borderId="41" xfId="0" applyFont="1" applyBorder="1" applyAlignment="1">
      <alignment horizontal="left" wrapText="1"/>
    </xf>
    <xf numFmtId="0" fontId="6" fillId="5" borderId="0" xfId="0" applyFont="1" applyFill="1" applyAlignment="1">
      <alignment horizontal="center"/>
    </xf>
    <xf numFmtId="0" fontId="6" fillId="4" borderId="47" xfId="1" applyFont="1" applyAlignment="1">
      <alignment horizontal="left" wrapText="1"/>
    </xf>
    <xf numFmtId="0" fontId="21" fillId="4" borderId="47" xfId="1" applyFont="1" applyAlignment="1">
      <alignment horizontal="left" vertical="top" wrapText="1"/>
    </xf>
    <xf numFmtId="0" fontId="6" fillId="4" borderId="49" xfId="1" applyFont="1" applyBorder="1" applyAlignment="1">
      <alignment horizontal="center" wrapText="1"/>
    </xf>
    <xf numFmtId="0" fontId="6" fillId="4" borderId="0" xfId="1" applyFont="1" applyBorder="1" applyAlignment="1">
      <alignment horizontal="center" wrapText="1"/>
    </xf>
    <xf numFmtId="0" fontId="2" fillId="0" borderId="0" xfId="0" applyFont="1" applyAlignment="1">
      <alignment horizontal="right"/>
    </xf>
    <xf numFmtId="0" fontId="2" fillId="0" borderId="9" xfId="0" applyFont="1" applyBorder="1" applyAlignment="1">
      <alignment horizontal="right"/>
    </xf>
    <xf numFmtId="0" fontId="2" fillId="0" borderId="12" xfId="0" applyFont="1" applyBorder="1" applyAlignment="1">
      <alignment horizontal="left" vertical="center" wrapText="1"/>
    </xf>
    <xf numFmtId="0" fontId="2" fillId="0" borderId="1" xfId="0" applyFont="1" applyBorder="1" applyAlignment="1">
      <alignment horizontal="left" vertical="center" wrapText="1"/>
    </xf>
    <xf numFmtId="0" fontId="2" fillId="0" borderId="42" xfId="0" applyFont="1" applyBorder="1" applyAlignment="1">
      <alignment horizontal="left" vertical="center" wrapText="1"/>
    </xf>
    <xf numFmtId="0" fontId="0" fillId="0" borderId="27" xfId="0" applyBorder="1" applyAlignment="1">
      <alignment horizontal="left" vertical="top" wrapText="1" indent="1"/>
    </xf>
    <xf numFmtId="0" fontId="0" fillId="0" borderId="2" xfId="0" applyBorder="1" applyAlignment="1">
      <alignment horizontal="left" vertical="top" wrapText="1" indent="1"/>
    </xf>
    <xf numFmtId="0" fontId="0" fillId="0" borderId="37" xfId="0" applyBorder="1" applyAlignment="1">
      <alignment horizontal="left" vertical="top" wrapText="1" indent="1"/>
    </xf>
    <xf numFmtId="0" fontId="0" fillId="0" borderId="35" xfId="0" applyBorder="1" applyAlignment="1">
      <alignment horizontal="left" vertical="top" wrapText="1" indent="1"/>
    </xf>
    <xf numFmtId="0" fontId="0" fillId="0" borderId="19"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27" xfId="0" applyBorder="1" applyAlignment="1">
      <alignment vertical="top" wrapText="1"/>
    </xf>
    <xf numFmtId="0" fontId="0" fillId="0" borderId="2" xfId="0" applyBorder="1" applyAlignment="1">
      <alignment vertical="top" wrapText="1"/>
    </xf>
    <xf numFmtId="0" fontId="0" fillId="0" borderId="27" xfId="0" applyBorder="1"/>
    <xf numFmtId="0" fontId="0" fillId="0" borderId="2" xfId="0" applyBorder="1"/>
    <xf numFmtId="0" fontId="0" fillId="0" borderId="45" xfId="0" applyBorder="1" applyAlignment="1">
      <alignment vertical="top" wrapText="1"/>
    </xf>
    <xf numFmtId="0" fontId="0" fillId="0" borderId="22" xfId="0" applyBorder="1" applyAlignment="1">
      <alignment vertical="top" wrapText="1"/>
    </xf>
    <xf numFmtId="0" fontId="0" fillId="0" borderId="29" xfId="0" applyBorder="1" applyAlignment="1">
      <alignment vertical="top" wrapText="1"/>
    </xf>
    <xf numFmtId="0" fontId="0" fillId="0" borderId="17" xfId="0" applyBorder="1" applyAlignment="1">
      <alignment vertical="top" wrapText="1"/>
    </xf>
    <xf numFmtId="0" fontId="0" fillId="0" borderId="39" xfId="0" applyBorder="1" applyAlignment="1">
      <alignment horizontal="right" vertical="top" wrapText="1"/>
    </xf>
    <xf numFmtId="0" fontId="0" fillId="0" borderId="46" xfId="0" applyBorder="1" applyAlignment="1">
      <alignment horizontal="right" vertical="top" wrapText="1"/>
    </xf>
    <xf numFmtId="0" fontId="0" fillId="6" borderId="21" xfId="0" applyFill="1" applyBorder="1" applyAlignment="1">
      <alignment horizontal="center" vertical="top" wrapText="1"/>
    </xf>
    <xf numFmtId="0" fontId="0" fillId="0" borderId="15" xfId="0" applyBorder="1" applyAlignment="1">
      <alignment horizontal="center" vertical="top" wrapText="1"/>
    </xf>
    <xf numFmtId="0" fontId="0" fillId="0" borderId="16" xfId="0" applyBorder="1" applyAlignment="1">
      <alignment horizontal="center" vertical="top" wrapText="1"/>
    </xf>
    <xf numFmtId="0" fontId="1" fillId="0" borderId="19" xfId="0" applyFont="1" applyBorder="1" applyAlignment="1">
      <alignment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0" fontId="0" fillId="0" borderId="19"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33" xfId="0" applyBorder="1" applyAlignment="1">
      <alignment vertical="top" wrapText="1"/>
    </xf>
    <xf numFmtId="0" fontId="0" fillId="0" borderId="34" xfId="0" applyBorder="1" applyAlignment="1">
      <alignment vertical="top" wrapText="1"/>
    </xf>
    <xf numFmtId="0" fontId="0" fillId="0" borderId="43" xfId="0" applyBorder="1" applyAlignment="1">
      <alignment horizontal="right" vertical="top" wrapText="1"/>
    </xf>
    <xf numFmtId="0" fontId="0" fillId="0" borderId="0" xfId="0" applyAlignment="1">
      <alignment horizontal="right"/>
    </xf>
    <xf numFmtId="0" fontId="0" fillId="6" borderId="21" xfId="0" applyFill="1" applyBorder="1" applyAlignment="1">
      <alignment horizontal="center"/>
    </xf>
    <xf numFmtId="0" fontId="18" fillId="0" borderId="37" xfId="0" applyFont="1" applyBorder="1" applyAlignment="1">
      <alignment horizontal="left" vertical="center" wrapText="1" indent="1"/>
    </xf>
    <xf numFmtId="0" fontId="18" fillId="0" borderId="35" xfId="0" applyFont="1" applyBorder="1" applyAlignment="1">
      <alignment horizontal="left" vertical="center" wrapText="1" indent="1"/>
    </xf>
    <xf numFmtId="0" fontId="17" fillId="0" borderId="29" xfId="0" applyFont="1" applyBorder="1" applyAlignment="1">
      <alignment vertical="top" wrapText="1"/>
    </xf>
    <xf numFmtId="0" fontId="17" fillId="0" borderId="17" xfId="0" applyFont="1" applyBorder="1" applyAlignment="1">
      <alignment vertical="top" wrapText="1"/>
    </xf>
    <xf numFmtId="0" fontId="18" fillId="0" borderId="27" xfId="0" applyFont="1" applyBorder="1" applyAlignment="1">
      <alignment horizontal="left" vertical="center" wrapText="1" indent="1"/>
    </xf>
    <xf numFmtId="0" fontId="18" fillId="0" borderId="2" xfId="0" applyFont="1" applyBorder="1" applyAlignment="1">
      <alignment horizontal="left" vertical="center" wrapText="1" indent="1"/>
    </xf>
    <xf numFmtId="0" fontId="18" fillId="0" borderId="54" xfId="0" applyFont="1" applyBorder="1" applyAlignment="1">
      <alignment horizontal="center" vertical="top" wrapText="1"/>
    </xf>
    <xf numFmtId="0" fontId="18" fillId="0" borderId="31" xfId="0" applyFont="1" applyBorder="1" applyAlignment="1">
      <alignment horizontal="center" vertical="top" wrapText="1"/>
    </xf>
    <xf numFmtId="0" fontId="18" fillId="0" borderId="25" xfId="0" applyFont="1" applyBorder="1" applyAlignment="1">
      <alignment horizontal="right"/>
    </xf>
    <xf numFmtId="0" fontId="18" fillId="0" borderId="37" xfId="0" applyFont="1" applyBorder="1" applyAlignment="1">
      <alignment horizontal="left" vertical="top" wrapText="1" indent="1"/>
    </xf>
    <xf numFmtId="0" fontId="18" fillId="0" borderId="35" xfId="0" applyFont="1" applyBorder="1" applyAlignment="1">
      <alignment horizontal="left" vertical="top" wrapText="1" indent="1"/>
    </xf>
    <xf numFmtId="0" fontId="17" fillId="0" borderId="29" xfId="0" applyFont="1" applyBorder="1" applyAlignment="1">
      <alignment horizontal="left" vertical="center" wrapText="1"/>
    </xf>
    <xf numFmtId="0" fontId="17" fillId="0" borderId="17" xfId="0" applyFont="1" applyBorder="1" applyAlignment="1">
      <alignment horizontal="left" vertical="center" wrapText="1"/>
    </xf>
    <xf numFmtId="0" fontId="18" fillId="0" borderId="27" xfId="0" applyFont="1" applyBorder="1" applyAlignment="1">
      <alignment horizontal="left" vertical="top" wrapText="1" indent="1"/>
    </xf>
    <xf numFmtId="0" fontId="18" fillId="0" borderId="2" xfId="0" applyFont="1" applyBorder="1" applyAlignment="1">
      <alignment horizontal="left" vertical="top" wrapText="1" indent="1"/>
    </xf>
    <xf numFmtId="0" fontId="18" fillId="0" borderId="37" xfId="0" applyFont="1" applyBorder="1" applyAlignment="1">
      <alignment horizontal="left"/>
    </xf>
    <xf numFmtId="0" fontId="18" fillId="0" borderId="35" xfId="0" applyFont="1" applyBorder="1" applyAlignment="1">
      <alignment horizontal="left"/>
    </xf>
    <xf numFmtId="0" fontId="17" fillId="0" borderId="35" xfId="0" applyFont="1" applyBorder="1" applyAlignment="1">
      <alignment horizontal="center"/>
    </xf>
    <xf numFmtId="0" fontId="17" fillId="0" borderId="23" xfId="0" applyFont="1" applyBorder="1" applyAlignment="1">
      <alignment horizontal="left"/>
    </xf>
    <xf numFmtId="0" fontId="17" fillId="0" borderId="24" xfId="0" applyFont="1" applyBorder="1" applyAlignment="1">
      <alignment horizontal="left"/>
    </xf>
    <xf numFmtId="0" fontId="17" fillId="0" borderId="16" xfId="0" applyFont="1" applyBorder="1" applyAlignment="1">
      <alignment horizontal="left"/>
    </xf>
    <xf numFmtId="0" fontId="18" fillId="0" borderId="12" xfId="0" applyFont="1" applyBorder="1" applyAlignment="1">
      <alignment horizontal="center"/>
    </xf>
    <xf numFmtId="0" fontId="18" fillId="0" borderId="1" xfId="0" applyFont="1" applyBorder="1" applyAlignment="1">
      <alignment horizontal="center"/>
    </xf>
    <xf numFmtId="0" fontId="18" fillId="0" borderId="42" xfId="0" applyFont="1" applyBorder="1" applyAlignment="1">
      <alignment horizontal="center"/>
    </xf>
    <xf numFmtId="0" fontId="4" fillId="0" borderId="0" xfId="1" applyFont="1" applyFill="1" applyBorder="1" applyAlignment="1">
      <alignment horizontal="center" wrapText="1"/>
    </xf>
    <xf numFmtId="0" fontId="17" fillId="0" borderId="18" xfId="0" applyFont="1" applyBorder="1" applyAlignment="1">
      <alignment vertical="top" wrapText="1"/>
    </xf>
    <xf numFmtId="0" fontId="17" fillId="0" borderId="29" xfId="0" applyFont="1" applyBorder="1"/>
    <xf numFmtId="0" fontId="17" fillId="0" borderId="17" xfId="0" applyFont="1" applyBorder="1"/>
    <xf numFmtId="0" fontId="18" fillId="0" borderId="53" xfId="0" applyFont="1" applyBorder="1" applyAlignment="1">
      <alignment horizontal="left" vertical="center" wrapText="1" indent="1"/>
    </xf>
    <xf numFmtId="0" fontId="18" fillId="0" borderId="25" xfId="0" applyFont="1" applyBorder="1" applyAlignment="1">
      <alignment horizontal="left" vertical="center" wrapText="1" indent="1"/>
    </xf>
    <xf numFmtId="0" fontId="17" fillId="0" borderId="38" xfId="0" applyFont="1" applyBorder="1" applyAlignment="1">
      <alignment horizontal="center"/>
    </xf>
    <xf numFmtId="0" fontId="17" fillId="0" borderId="34" xfId="0" applyFont="1" applyBorder="1" applyAlignment="1">
      <alignment horizontal="center"/>
    </xf>
    <xf numFmtId="0" fontId="17" fillId="0" borderId="52" xfId="0" applyFont="1" applyBorder="1" applyAlignment="1">
      <alignment horizontal="center"/>
    </xf>
    <xf numFmtId="0" fontId="18" fillId="0" borderId="6" xfId="0" applyFont="1" applyBorder="1" applyAlignment="1">
      <alignment horizontal="center" vertical="top" wrapText="1"/>
    </xf>
    <xf numFmtId="0" fontId="18" fillId="0" borderId="14" xfId="0" applyFont="1" applyBorder="1" applyAlignment="1">
      <alignment horizontal="center" vertical="top" wrapText="1"/>
    </xf>
    <xf numFmtId="0" fontId="18" fillId="0" borderId="30" xfId="0" applyFont="1" applyBorder="1" applyAlignment="1">
      <alignment horizontal="center" vertical="top" wrapText="1"/>
    </xf>
    <xf numFmtId="0" fontId="17" fillId="0" borderId="23" xfId="0" applyFont="1" applyBorder="1" applyAlignment="1">
      <alignment horizontal="left" vertical="top" wrapText="1"/>
    </xf>
    <xf numFmtId="0" fontId="17" fillId="0" borderId="24" xfId="0" applyFont="1" applyBorder="1" applyAlignment="1">
      <alignment horizontal="left" vertical="top" wrapText="1"/>
    </xf>
    <xf numFmtId="0" fontId="17" fillId="0" borderId="16" xfId="0" applyFont="1" applyBorder="1" applyAlignment="1">
      <alignment horizontal="left" vertical="top" wrapText="1"/>
    </xf>
    <xf numFmtId="0" fontId="17" fillId="0" borderId="0" xfId="0" applyFont="1"/>
    <xf numFmtId="0" fontId="18" fillId="0" borderId="0" xfId="0" applyFont="1"/>
    <xf numFmtId="0" fontId="18" fillId="0" borderId="0" xfId="0" applyFont="1" applyAlignment="1">
      <alignment wrapText="1"/>
    </xf>
    <xf numFmtId="0" fontId="18" fillId="6" borderId="0" xfId="0" applyFont="1" applyFill="1" applyAlignment="1">
      <alignment horizontal="center" wrapText="1"/>
    </xf>
    <xf numFmtId="0" fontId="18" fillId="0" borderId="12"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42" xfId="0" applyFont="1" applyBorder="1" applyAlignment="1">
      <alignment horizontal="center" vertical="center" wrapText="1"/>
    </xf>
    <xf numFmtId="0" fontId="17" fillId="0" borderId="0" xfId="0" applyFont="1" applyAlignment="1">
      <alignment horizontal="left"/>
    </xf>
    <xf numFmtId="0" fontId="4" fillId="3" borderId="3" xfId="0" applyFont="1" applyFill="1" applyBorder="1" applyAlignment="1">
      <alignment horizontal="center"/>
    </xf>
    <xf numFmtId="0" fontId="4" fillId="3" borderId="4" xfId="0" applyFont="1" applyFill="1" applyBorder="1" applyAlignment="1">
      <alignment horizontal="center"/>
    </xf>
    <xf numFmtId="0" fontId="4" fillId="3" borderId="5" xfId="0" applyFont="1" applyFill="1" applyBorder="1" applyAlignment="1">
      <alignment horizontal="center"/>
    </xf>
    <xf numFmtId="0" fontId="0" fillId="0" borderId="0" xfId="0" applyAlignment="1">
      <alignment horizontal="center"/>
    </xf>
    <xf numFmtId="0" fontId="21" fillId="4" borderId="47" xfId="1" applyFont="1" applyAlignment="1">
      <alignment horizontal="left" wrapText="1"/>
    </xf>
  </cellXfs>
  <cellStyles count="3">
    <cellStyle name="Currency" xfId="2" builtinId="4"/>
    <cellStyle name="Normal" xfId="0" builtinId="0"/>
    <cellStyle name="Note" xfId="1"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3</xdr:col>
      <xdr:colOff>419100</xdr:colOff>
      <xdr:row>3</xdr:row>
      <xdr:rowOff>26306</xdr:rowOff>
    </xdr:from>
    <xdr:to>
      <xdr:col>20</xdr:col>
      <xdr:colOff>560615</xdr:colOff>
      <xdr:row>55</xdr:row>
      <xdr:rowOff>180975</xdr:rowOff>
    </xdr:to>
    <xdr:sp macro="" textlink="">
      <xdr:nvSpPr>
        <xdr:cNvPr id="2" name="TextBox 1">
          <a:extLst>
            <a:ext uri="{FF2B5EF4-FFF2-40B4-BE49-F238E27FC236}">
              <a16:creationId xmlns:a16="http://schemas.microsoft.com/office/drawing/2014/main" id="{721785DA-A507-1723-4C92-EA8E81054B90}"/>
            </a:ext>
          </a:extLst>
        </xdr:cNvPr>
        <xdr:cNvSpPr txBox="1"/>
      </xdr:nvSpPr>
      <xdr:spPr>
        <a:xfrm>
          <a:off x="2390775" y="626381"/>
          <a:ext cx="11314340" cy="105559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Instructions:</a:t>
          </a:r>
        </a:p>
        <a:p>
          <a:r>
            <a:rPr lang="en-US" sz="1100">
              <a:solidFill>
                <a:srgbClr val="FF0000"/>
              </a:solidFill>
            </a:rPr>
            <a:t>Please fill in yellow highlighted cells on each tab. Do not update formulas unless necessary. If formulas</a:t>
          </a:r>
          <a:r>
            <a:rPr lang="en-US" sz="1100" baseline="0">
              <a:solidFill>
                <a:srgbClr val="FF0000"/>
              </a:solidFill>
            </a:rPr>
            <a:t> are updated, please leave a comment/note on that tab so it will be clearly seen.</a:t>
          </a:r>
        </a:p>
        <a:p>
          <a:endParaRPr lang="en-US" sz="1100" baseline="0">
            <a:solidFill>
              <a:srgbClr val="FF0000"/>
            </a:solidFill>
          </a:endParaRPr>
        </a:p>
        <a:p>
          <a:r>
            <a:rPr lang="en-US" sz="1100" baseline="0">
              <a:solidFill>
                <a:srgbClr val="FF0000"/>
              </a:solidFill>
            </a:rPr>
            <a:t>Direct Labor fields are for prime contractor only; Subcontracts field is for total/cumulative subcontract costs (inclusive of subcontractor labor, other subcontractor other direct costs, subcontractor indirect costs, etc.).  </a:t>
          </a:r>
        </a:p>
        <a:p>
          <a:endParaRPr lang="en-US" sz="1100" baseline="0">
            <a:solidFill>
              <a:srgbClr val="FF0000"/>
            </a:solidFill>
          </a:endParaRPr>
        </a:p>
        <a:p>
          <a:r>
            <a:rPr lang="en-US" sz="1100" baseline="0">
              <a:solidFill>
                <a:srgbClr val="FF0000"/>
              </a:solidFill>
            </a:rPr>
            <a:t>Itemized cost information and supporting narrative and cost substantiation information for each field should be supplied in the separate Business Proposal document.  </a:t>
          </a:r>
        </a:p>
        <a:p>
          <a:endParaRPr lang="en-US" sz="1100">
            <a:solidFill>
              <a:srgbClr val="FF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261257</xdr:colOff>
      <xdr:row>5</xdr:row>
      <xdr:rowOff>38100</xdr:rowOff>
    </xdr:from>
    <xdr:to>
      <xdr:col>18</xdr:col>
      <xdr:colOff>163286</xdr:colOff>
      <xdr:row>20</xdr:row>
      <xdr:rowOff>0</xdr:rowOff>
    </xdr:to>
    <xdr:sp macro="" textlink="">
      <xdr:nvSpPr>
        <xdr:cNvPr id="2" name="TextBox 1">
          <a:extLst>
            <a:ext uri="{FF2B5EF4-FFF2-40B4-BE49-F238E27FC236}">
              <a16:creationId xmlns:a16="http://schemas.microsoft.com/office/drawing/2014/main" id="{2E5D4951-359E-186E-DE82-0C2978D31FD2}"/>
            </a:ext>
          </a:extLst>
        </xdr:cNvPr>
        <xdr:cNvSpPr txBox="1"/>
      </xdr:nvSpPr>
      <xdr:spPr>
        <a:xfrm>
          <a:off x="5285014" y="1045029"/>
          <a:ext cx="6868886" cy="29826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Instructions: Insert</a:t>
          </a:r>
          <a:r>
            <a:rPr lang="en-US" sz="1100" baseline="0">
              <a:solidFill>
                <a:srgbClr val="FF0000"/>
              </a:solidFill>
            </a:rPr>
            <a:t> indirect rates into the applicable yellow boxes. Rates will flow through to applicable tabs.</a:t>
          </a:r>
          <a:endParaRPr lang="en-US" sz="1100">
            <a:solidFill>
              <a:srgbClr val="FF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3</xdr:row>
      <xdr:rowOff>0</xdr:rowOff>
    </xdr:from>
    <xdr:to>
      <xdr:col>16</xdr:col>
      <xdr:colOff>163286</xdr:colOff>
      <xdr:row>18</xdr:row>
      <xdr:rowOff>163285</xdr:rowOff>
    </xdr:to>
    <xdr:sp macro="" textlink="">
      <xdr:nvSpPr>
        <xdr:cNvPr id="2" name="TextBox 1">
          <a:extLst>
            <a:ext uri="{FF2B5EF4-FFF2-40B4-BE49-F238E27FC236}">
              <a16:creationId xmlns:a16="http://schemas.microsoft.com/office/drawing/2014/main" id="{69187A34-5543-442B-B51A-BDDEF3E546BE}"/>
            </a:ext>
          </a:extLst>
        </xdr:cNvPr>
        <xdr:cNvSpPr txBox="1"/>
      </xdr:nvSpPr>
      <xdr:spPr>
        <a:xfrm>
          <a:off x="9372600" y="604157"/>
          <a:ext cx="6868886" cy="29826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Instructions: Insert</a:t>
          </a:r>
          <a:r>
            <a:rPr lang="en-US" sz="1100" baseline="0">
              <a:solidFill>
                <a:srgbClr val="FF0000"/>
              </a:solidFill>
            </a:rPr>
            <a:t> estimated hours and labor rates into the applicable yellow boxes. Please note any assumptions or formulas changes on this tab in the yellow note box below. Please do this for all tabs.</a:t>
          </a:r>
          <a:endParaRPr lang="en-US" sz="1100">
            <a:solidFill>
              <a:srgbClr val="FF0000"/>
            </a:solidFill>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E2C5F-716D-4EE3-8AB8-59EE458FEADA}">
  <dimension ref="A1"/>
  <sheetViews>
    <sheetView showGridLines="0" tabSelected="1" workbookViewId="0">
      <selection activeCell="V18" sqref="V18"/>
    </sheetView>
  </sheetViews>
  <sheetFormatPr defaultRowHeight="15.7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9B32A-40A5-4323-9343-97D6BDE96DCB}">
  <dimension ref="C3:F16"/>
  <sheetViews>
    <sheetView showGridLines="0" workbookViewId="0">
      <selection activeCell="F3" sqref="F3"/>
    </sheetView>
  </sheetViews>
  <sheetFormatPr defaultRowHeight="15.75" x14ac:dyDescent="0.25"/>
  <cols>
    <col min="3" max="3" width="11.875" bestFit="1" customWidth="1"/>
    <col min="5" max="5" width="17.625" bestFit="1" customWidth="1"/>
    <col min="6" max="6" width="25.625" customWidth="1"/>
  </cols>
  <sheetData>
    <row r="3" spans="3:6" x14ac:dyDescent="0.25">
      <c r="C3" t="s">
        <v>0</v>
      </c>
      <c r="F3" s="104">
        <f>'Admin RO'!F22+'Sample RO I'!O22+'Sample RO II'!O22+'Sample RO III-Phase 1'!O22+'Sample RO III-Phase 2'!O22+'Sample RO IV'!O22+'Sample RO V'!O22+'Sample RO VI'!O22+'Sample RO VII'!O22+'Website maintenance'!O22+Training!O22+'Expert Group'!Z30+Workshop!Z30+'Contractor Travel'!Z86</f>
        <v>0</v>
      </c>
    </row>
    <row r="4" spans="3:6" x14ac:dyDescent="0.25">
      <c r="C4" t="s">
        <v>1</v>
      </c>
      <c r="F4" s="104">
        <f>F3*(1+Rates!$F$10)</f>
        <v>0</v>
      </c>
    </row>
    <row r="5" spans="3:6" x14ac:dyDescent="0.25">
      <c r="C5" t="s">
        <v>2</v>
      </c>
      <c r="F5" s="104">
        <f>F4*(1+Rates!$F$10)</f>
        <v>0</v>
      </c>
    </row>
    <row r="6" spans="3:6" x14ac:dyDescent="0.25">
      <c r="C6" t="s">
        <v>3</v>
      </c>
      <c r="F6" s="104">
        <f>F5*(1+Rates!$F$10)</f>
        <v>0</v>
      </c>
    </row>
    <row r="7" spans="3:6" x14ac:dyDescent="0.25">
      <c r="C7" t="s">
        <v>4</v>
      </c>
      <c r="F7" s="104">
        <f>F6*(1+Rates!$F$10)</f>
        <v>0</v>
      </c>
    </row>
    <row r="8" spans="3:6" x14ac:dyDescent="0.25">
      <c r="C8" t="s">
        <v>5</v>
      </c>
      <c r="F8" s="104">
        <f>F7*(1+Rates!$F$10)</f>
        <v>0</v>
      </c>
    </row>
    <row r="9" spans="3:6" x14ac:dyDescent="0.25">
      <c r="C9" t="s">
        <v>6</v>
      </c>
      <c r="F9" s="104">
        <f>F8*(1+Rates!$F$10)</f>
        <v>0</v>
      </c>
    </row>
    <row r="10" spans="3:6" x14ac:dyDescent="0.25">
      <c r="C10" t="s">
        <v>7</v>
      </c>
      <c r="F10" s="104">
        <f>F9*(1+Rates!$F$10)</f>
        <v>0</v>
      </c>
    </row>
    <row r="11" spans="3:6" x14ac:dyDescent="0.25">
      <c r="C11" t="s">
        <v>8</v>
      </c>
      <c r="F11" s="104">
        <f>F10*(1+Rates!$F$10)</f>
        <v>0</v>
      </c>
    </row>
    <row r="12" spans="3:6" x14ac:dyDescent="0.25">
      <c r="C12" t="s">
        <v>9</v>
      </c>
      <c r="F12" s="104">
        <f>F11*(1+Rates!$F$10)</f>
        <v>0</v>
      </c>
    </row>
    <row r="13" spans="3:6" x14ac:dyDescent="0.25">
      <c r="C13" t="s">
        <v>10</v>
      </c>
      <c r="F13" s="150">
        <f>F12/2</f>
        <v>0</v>
      </c>
    </row>
    <row r="15" spans="3:6" ht="16.5" thickBot="1" x14ac:dyDescent="0.3">
      <c r="C15" s="41" t="s">
        <v>11</v>
      </c>
      <c r="F15" s="132">
        <f>SUM(F3:F14)</f>
        <v>0</v>
      </c>
    </row>
    <row r="16" spans="3:6" ht="16.5" thickTop="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0222E-BEFD-498B-8904-0C63A84460D5}">
  <dimension ref="D5:F10"/>
  <sheetViews>
    <sheetView showGridLines="0" workbookViewId="0">
      <selection activeCell="F10" sqref="F10"/>
    </sheetView>
  </sheetViews>
  <sheetFormatPr defaultRowHeight="15.75" x14ac:dyDescent="0.25"/>
  <cols>
    <col min="4" max="4" width="19.25" bestFit="1" customWidth="1"/>
    <col min="5" max="5" width="1.875" customWidth="1"/>
  </cols>
  <sheetData>
    <row r="5" spans="4:6" x14ac:dyDescent="0.25">
      <c r="F5" t="s">
        <v>12</v>
      </c>
    </row>
    <row r="6" spans="4:6" x14ac:dyDescent="0.25">
      <c r="D6" s="26" t="s">
        <v>13</v>
      </c>
      <c r="F6" s="128"/>
    </row>
    <row r="7" spans="4:6" x14ac:dyDescent="0.25">
      <c r="D7" s="26" t="s">
        <v>14</v>
      </c>
      <c r="F7" s="129"/>
    </row>
    <row r="8" spans="4:6" x14ac:dyDescent="0.25">
      <c r="D8" s="26" t="s">
        <v>15</v>
      </c>
      <c r="F8" s="129"/>
    </row>
    <row r="9" spans="4:6" x14ac:dyDescent="0.25">
      <c r="D9" s="26" t="s">
        <v>16</v>
      </c>
      <c r="F9" s="129"/>
    </row>
    <row r="10" spans="4:6" x14ac:dyDescent="0.25">
      <c r="D10" s="26" t="s">
        <v>17</v>
      </c>
      <c r="F10" s="129"/>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D9D10-9A13-8F43-83A7-ECD39ED99DBC}">
  <dimension ref="A1:G35"/>
  <sheetViews>
    <sheetView showGridLines="0" topLeftCell="A16" workbookViewId="0">
      <selection activeCell="J28" sqref="J28"/>
    </sheetView>
  </sheetViews>
  <sheetFormatPr defaultColWidth="11" defaultRowHeight="15.75" x14ac:dyDescent="0.25"/>
  <cols>
    <col min="1" max="1" width="42.125" customWidth="1"/>
    <col min="6" max="6" width="14.875" style="104" customWidth="1"/>
  </cols>
  <sheetData>
    <row r="1" spans="1:6" x14ac:dyDescent="0.25">
      <c r="A1" s="98" t="s">
        <v>18</v>
      </c>
      <c r="B1" s="31"/>
      <c r="C1" s="31"/>
      <c r="D1" s="31"/>
      <c r="E1" s="31"/>
      <c r="F1" s="99"/>
    </row>
    <row r="2" spans="1:6" x14ac:dyDescent="0.25">
      <c r="A2" s="26"/>
      <c r="B2" s="26"/>
      <c r="C2" s="26"/>
      <c r="D2" s="26"/>
      <c r="E2" s="26"/>
      <c r="F2" s="100"/>
    </row>
    <row r="3" spans="1:6" x14ac:dyDescent="0.25">
      <c r="A3" s="26"/>
      <c r="B3" s="228" t="s">
        <v>190</v>
      </c>
      <c r="C3" s="228"/>
      <c r="D3" s="228"/>
      <c r="E3" s="228"/>
      <c r="F3" s="228"/>
    </row>
    <row r="4" spans="1:6" x14ac:dyDescent="0.25">
      <c r="A4" s="26" t="s">
        <v>19</v>
      </c>
      <c r="B4" s="27" t="s">
        <v>20</v>
      </c>
      <c r="C4" s="28" t="s">
        <v>21</v>
      </c>
      <c r="D4" s="28" t="s">
        <v>22</v>
      </c>
      <c r="E4" s="28"/>
      <c r="F4" s="101" t="s">
        <v>23</v>
      </c>
    </row>
    <row r="5" spans="1:6" x14ac:dyDescent="0.25">
      <c r="A5" s="29" t="s">
        <v>24</v>
      </c>
      <c r="B5" s="127"/>
      <c r="C5" s="30" t="s">
        <v>21</v>
      </c>
      <c r="D5" s="126"/>
      <c r="E5" s="30" t="s">
        <v>25</v>
      </c>
      <c r="F5" s="51">
        <f>B5*D5</f>
        <v>0</v>
      </c>
    </row>
    <row r="6" spans="1:6" x14ac:dyDescent="0.25">
      <c r="A6" s="29" t="s">
        <v>26</v>
      </c>
      <c r="B6" s="127"/>
      <c r="C6" s="30" t="s">
        <v>21</v>
      </c>
      <c r="D6" s="126"/>
      <c r="E6" s="30" t="s">
        <v>25</v>
      </c>
      <c r="F6" s="102">
        <f>B6*D6</f>
        <v>0</v>
      </c>
    </row>
    <row r="7" spans="1:6" x14ac:dyDescent="0.25">
      <c r="A7" s="26" t="s">
        <v>27</v>
      </c>
      <c r="B7" s="29">
        <f>SUM(B5:B6)</f>
        <v>0</v>
      </c>
      <c r="C7" s="26"/>
      <c r="D7" s="26"/>
      <c r="E7" s="26"/>
      <c r="F7" s="51">
        <f>SUM(F5:F6)</f>
        <v>0</v>
      </c>
    </row>
    <row r="8" spans="1:6" x14ac:dyDescent="0.25">
      <c r="A8" s="26"/>
      <c r="B8" s="26"/>
      <c r="C8" s="26"/>
      <c r="D8" s="26"/>
      <c r="E8" s="26"/>
      <c r="F8" s="51"/>
    </row>
    <row r="9" spans="1:6" x14ac:dyDescent="0.25">
      <c r="A9" s="26" t="s">
        <v>28</v>
      </c>
      <c r="B9" s="26"/>
      <c r="C9" s="26"/>
      <c r="D9" s="26"/>
      <c r="E9" s="26"/>
      <c r="F9" s="51">
        <f>F7*(1+Rates!F6)</f>
        <v>0</v>
      </c>
    </row>
    <row r="10" spans="1:6" x14ac:dyDescent="0.25">
      <c r="A10" s="26" t="s">
        <v>29</v>
      </c>
      <c r="B10" s="26"/>
      <c r="C10" s="26"/>
      <c r="D10" s="26"/>
      <c r="E10" s="26"/>
      <c r="F10" s="51">
        <f>F9*(1+Rates!F7)</f>
        <v>0</v>
      </c>
    </row>
    <row r="11" spans="1:6" x14ac:dyDescent="0.25">
      <c r="A11" s="26" t="s">
        <v>30</v>
      </c>
      <c r="B11" s="26"/>
      <c r="C11" s="26"/>
      <c r="D11" s="26"/>
      <c r="E11" s="26"/>
      <c r="F11" s="130"/>
    </row>
    <row r="12" spans="1:6" x14ac:dyDescent="0.25">
      <c r="A12" s="26" t="s">
        <v>197</v>
      </c>
      <c r="B12" s="26"/>
      <c r="C12" s="26"/>
      <c r="D12" s="26"/>
      <c r="E12" s="26"/>
      <c r="F12" s="130"/>
    </row>
    <row r="13" spans="1:6" x14ac:dyDescent="0.25">
      <c r="A13" s="26" t="s">
        <v>31</v>
      </c>
      <c r="B13" s="26"/>
      <c r="C13" s="26"/>
      <c r="D13" s="26"/>
      <c r="E13" s="26"/>
      <c r="F13" s="130"/>
    </row>
    <row r="14" spans="1:6" x14ac:dyDescent="0.25">
      <c r="A14" s="33" t="s">
        <v>32</v>
      </c>
      <c r="B14" s="26"/>
      <c r="C14" s="26"/>
      <c r="D14" s="26"/>
      <c r="E14" s="26"/>
      <c r="F14" s="51">
        <f>SUM(F10:F13)</f>
        <v>0</v>
      </c>
    </row>
    <row r="15" spans="1:6" x14ac:dyDescent="0.25">
      <c r="A15" s="33"/>
      <c r="B15" s="26"/>
      <c r="C15" s="26"/>
      <c r="D15" s="26"/>
      <c r="E15" s="26"/>
      <c r="F15" s="51"/>
    </row>
    <row r="16" spans="1:6" x14ac:dyDescent="0.25">
      <c r="A16" s="26" t="s">
        <v>33</v>
      </c>
      <c r="B16" s="26"/>
      <c r="C16" s="26"/>
      <c r="D16" s="26"/>
      <c r="E16" s="26"/>
      <c r="F16" s="102">
        <f>F14*Rates!F8</f>
        <v>0</v>
      </c>
    </row>
    <row r="17" spans="1:7" x14ac:dyDescent="0.25">
      <c r="A17" s="33" t="s">
        <v>34</v>
      </c>
      <c r="B17" s="31"/>
      <c r="C17" s="31"/>
      <c r="D17" s="31"/>
      <c r="E17" s="31"/>
      <c r="F17" s="99">
        <f>SUM(F14:F16)</f>
        <v>0</v>
      </c>
    </row>
    <row r="18" spans="1:7" x14ac:dyDescent="0.25">
      <c r="A18" s="26"/>
      <c r="B18" s="26"/>
      <c r="C18" s="26"/>
      <c r="D18" s="26"/>
      <c r="E18" s="26"/>
      <c r="F18" s="51"/>
    </row>
    <row r="19" spans="1:7" x14ac:dyDescent="0.25">
      <c r="A19" s="26" t="s">
        <v>16</v>
      </c>
      <c r="B19" s="26"/>
      <c r="C19" s="26"/>
      <c r="D19" s="26"/>
      <c r="E19" s="26"/>
      <c r="F19" s="102">
        <f>F17*Rates!F9</f>
        <v>0</v>
      </c>
    </row>
    <row r="20" spans="1:7" x14ac:dyDescent="0.25">
      <c r="A20" s="33" t="s">
        <v>35</v>
      </c>
      <c r="B20" s="26"/>
      <c r="C20" s="26"/>
      <c r="D20" s="26"/>
      <c r="E20" s="26"/>
      <c r="F20" s="103">
        <f>SUM(F17:F19)</f>
        <v>0</v>
      </c>
    </row>
    <row r="21" spans="1:7" x14ac:dyDescent="0.25">
      <c r="A21" s="26" t="s">
        <v>36</v>
      </c>
      <c r="B21" s="31"/>
      <c r="C21" s="31"/>
      <c r="D21" s="31"/>
      <c r="E21" s="105">
        <v>1</v>
      </c>
      <c r="F21" s="99"/>
    </row>
    <row r="22" spans="1:7" ht="16.5" thickBot="1" x14ac:dyDescent="0.3">
      <c r="A22" s="33" t="s">
        <v>37</v>
      </c>
      <c r="B22" s="31"/>
      <c r="C22" s="31"/>
      <c r="D22" s="31"/>
      <c r="E22" s="31"/>
      <c r="F22" s="131">
        <f>F20*E21</f>
        <v>0</v>
      </c>
    </row>
    <row r="23" spans="1:7" ht="16.5" thickTop="1" x14ac:dyDescent="0.25">
      <c r="A23" s="31"/>
      <c r="B23" s="31"/>
      <c r="C23" s="31"/>
      <c r="D23" s="31"/>
      <c r="E23" s="31"/>
      <c r="F23" s="99"/>
    </row>
    <row r="24" spans="1:7" x14ac:dyDescent="0.25">
      <c r="A24" s="12" t="s">
        <v>38</v>
      </c>
      <c r="B24" s="31"/>
      <c r="C24" s="31"/>
      <c r="D24" s="31"/>
      <c r="E24" s="31"/>
      <c r="F24" s="99"/>
    </row>
    <row r="25" spans="1:7" x14ac:dyDescent="0.25">
      <c r="A25" s="320"/>
      <c r="B25" s="229"/>
      <c r="C25" s="229"/>
      <c r="D25" s="229"/>
      <c r="E25" s="229"/>
      <c r="F25" s="229"/>
      <c r="G25" s="229"/>
    </row>
    <row r="26" spans="1:7" x14ac:dyDescent="0.25">
      <c r="A26" s="229"/>
      <c r="B26" s="229"/>
      <c r="C26" s="229"/>
      <c r="D26" s="229"/>
      <c r="E26" s="229"/>
      <c r="F26" s="229"/>
      <c r="G26" s="229"/>
    </row>
    <row r="27" spans="1:7" x14ac:dyDescent="0.25">
      <c r="A27" s="229"/>
      <c r="B27" s="229"/>
      <c r="C27" s="229"/>
      <c r="D27" s="229"/>
      <c r="E27" s="229"/>
      <c r="F27" s="229"/>
      <c r="G27" s="229"/>
    </row>
    <row r="28" spans="1:7" x14ac:dyDescent="0.25">
      <c r="A28" s="229"/>
      <c r="B28" s="229"/>
      <c r="C28" s="229"/>
      <c r="D28" s="229"/>
      <c r="E28" s="229"/>
      <c r="F28" s="229"/>
      <c r="G28" s="229"/>
    </row>
    <row r="29" spans="1:7" x14ac:dyDescent="0.25">
      <c r="A29" s="229"/>
      <c r="B29" s="229"/>
      <c r="C29" s="229"/>
      <c r="D29" s="229"/>
      <c r="E29" s="229"/>
      <c r="F29" s="229"/>
      <c r="G29" s="229"/>
    </row>
    <row r="30" spans="1:7" x14ac:dyDescent="0.25">
      <c r="A30" s="229"/>
      <c r="B30" s="229"/>
      <c r="C30" s="229"/>
      <c r="D30" s="229"/>
      <c r="E30" s="229"/>
      <c r="F30" s="229"/>
      <c r="G30" s="229"/>
    </row>
    <row r="31" spans="1:7" x14ac:dyDescent="0.25">
      <c r="A31" s="229"/>
      <c r="B31" s="229"/>
      <c r="C31" s="229"/>
      <c r="D31" s="229"/>
      <c r="E31" s="229"/>
      <c r="F31" s="229"/>
      <c r="G31" s="229"/>
    </row>
    <row r="32" spans="1:7" x14ac:dyDescent="0.25">
      <c r="A32" s="229"/>
      <c r="B32" s="229"/>
      <c r="C32" s="229"/>
      <c r="D32" s="229"/>
      <c r="E32" s="229"/>
      <c r="F32" s="229"/>
      <c r="G32" s="229"/>
    </row>
    <row r="33" spans="1:7" x14ac:dyDescent="0.25">
      <c r="A33" s="229"/>
      <c r="B33" s="229"/>
      <c r="C33" s="229"/>
      <c r="D33" s="229"/>
      <c r="E33" s="229"/>
      <c r="F33" s="229"/>
      <c r="G33" s="229"/>
    </row>
    <row r="34" spans="1:7" x14ac:dyDescent="0.25">
      <c r="A34" s="41" t="s">
        <v>39</v>
      </c>
      <c r="B34" s="31"/>
      <c r="C34" s="31"/>
      <c r="D34" s="31"/>
      <c r="E34" s="31"/>
      <c r="F34" s="99"/>
    </row>
    <row r="35" spans="1:7" ht="56.1" customHeight="1" x14ac:dyDescent="0.25">
      <c r="A35" s="227" t="s">
        <v>40</v>
      </c>
      <c r="B35" s="227"/>
      <c r="C35" s="227"/>
      <c r="D35" s="227"/>
      <c r="E35" s="227"/>
      <c r="F35" s="227"/>
    </row>
  </sheetData>
  <mergeCells count="3">
    <mergeCell ref="A35:F35"/>
    <mergeCell ref="B3:F3"/>
    <mergeCell ref="A25:G3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EE20F-0BA1-8549-A2EC-F654E98BF327}">
  <dimension ref="A1:O33"/>
  <sheetViews>
    <sheetView showGridLines="0" topLeftCell="A11" workbookViewId="0">
      <pane xSplit="1" topLeftCell="G1" activePane="topRight" state="frozen"/>
      <selection activeCell="K34" sqref="K34"/>
      <selection pane="topRight" activeCell="A25" sqref="A25:G33"/>
    </sheetView>
  </sheetViews>
  <sheetFormatPr defaultColWidth="11" defaultRowHeight="15.75" x14ac:dyDescent="0.25"/>
  <cols>
    <col min="1" max="1" width="44.5" customWidth="1"/>
    <col min="2" max="2" width="18.625" customWidth="1"/>
    <col min="3" max="3" width="7.125" customWidth="1"/>
    <col min="6" max="6" width="10.875" style="104"/>
    <col min="8" max="8" width="9.625" customWidth="1"/>
    <col min="15" max="15" width="18.5" bestFit="1" customWidth="1"/>
  </cols>
  <sheetData>
    <row r="1" spans="1:15" x14ac:dyDescent="0.25">
      <c r="A1" s="98" t="s">
        <v>41</v>
      </c>
      <c r="B1" s="31"/>
      <c r="C1" s="31"/>
      <c r="D1" s="31"/>
      <c r="E1" s="31" t="s">
        <v>42</v>
      </c>
      <c r="F1" s="99"/>
      <c r="G1" s="31"/>
      <c r="H1" s="31"/>
    </row>
    <row r="2" spans="1:15" x14ac:dyDescent="0.25">
      <c r="A2" s="26"/>
      <c r="B2" s="26"/>
      <c r="C2" s="26"/>
      <c r="D2" s="26"/>
      <c r="E2" s="26"/>
      <c r="F2" s="100"/>
      <c r="G2" s="26"/>
      <c r="H2" s="31"/>
    </row>
    <row r="3" spans="1:15" x14ac:dyDescent="0.25">
      <c r="A3" s="26"/>
      <c r="B3" s="228" t="s">
        <v>190</v>
      </c>
      <c r="C3" s="228"/>
      <c r="D3" s="228"/>
      <c r="E3" s="228"/>
      <c r="F3" s="228"/>
      <c r="G3" s="26"/>
      <c r="H3" s="31"/>
      <c r="I3" s="228" t="s">
        <v>186</v>
      </c>
      <c r="J3" s="228"/>
      <c r="K3" s="228"/>
      <c r="L3" s="228"/>
      <c r="M3" s="228"/>
      <c r="O3" s="135" t="s">
        <v>43</v>
      </c>
    </row>
    <row r="4" spans="1:15" x14ac:dyDescent="0.25">
      <c r="A4" s="26" t="s">
        <v>19</v>
      </c>
      <c r="B4" s="29" t="s">
        <v>20</v>
      </c>
      <c r="C4" s="30" t="s">
        <v>21</v>
      </c>
      <c r="D4" s="30" t="s">
        <v>22</v>
      </c>
      <c r="E4" s="30"/>
      <c r="F4" s="100"/>
      <c r="G4" s="26"/>
      <c r="H4" s="31"/>
      <c r="I4" s="29" t="s">
        <v>20</v>
      </c>
      <c r="J4" s="30" t="s">
        <v>21</v>
      </c>
      <c r="K4" s="30" t="s">
        <v>22</v>
      </c>
      <c r="L4" s="30"/>
      <c r="M4" s="100"/>
      <c r="O4" s="133"/>
    </row>
    <row r="5" spans="1:15" x14ac:dyDescent="0.25">
      <c r="A5" s="29" t="s">
        <v>24</v>
      </c>
      <c r="B5" s="127"/>
      <c r="C5" s="30" t="s">
        <v>21</v>
      </c>
      <c r="D5" s="126"/>
      <c r="E5" s="30" t="s">
        <v>25</v>
      </c>
      <c r="F5" s="51">
        <f>B5*D5</f>
        <v>0</v>
      </c>
      <c r="G5" s="29"/>
      <c r="H5" s="31"/>
      <c r="I5" s="127"/>
      <c r="J5" s="30" t="s">
        <v>21</v>
      </c>
      <c r="K5" s="51">
        <f>D5</f>
        <v>0</v>
      </c>
      <c r="L5" s="30" t="s">
        <v>25</v>
      </c>
      <c r="M5" s="51">
        <f>I5*K5</f>
        <v>0</v>
      </c>
      <c r="O5" s="133"/>
    </row>
    <row r="6" spans="1:15" x14ac:dyDescent="0.25">
      <c r="A6" s="29" t="s">
        <v>26</v>
      </c>
      <c r="B6" s="127"/>
      <c r="C6" s="30" t="s">
        <v>21</v>
      </c>
      <c r="D6" s="126"/>
      <c r="E6" s="30" t="s">
        <v>25</v>
      </c>
      <c r="F6" s="102">
        <f>B6*D6</f>
        <v>0</v>
      </c>
      <c r="G6" s="29"/>
      <c r="H6" s="31"/>
      <c r="I6" s="127"/>
      <c r="J6" s="30" t="s">
        <v>21</v>
      </c>
      <c r="K6" s="51">
        <f>D6</f>
        <v>0</v>
      </c>
      <c r="L6" s="30" t="s">
        <v>25</v>
      </c>
      <c r="M6" s="102">
        <f>I6*K6</f>
        <v>0</v>
      </c>
      <c r="O6" s="133"/>
    </row>
    <row r="7" spans="1:15" x14ac:dyDescent="0.25">
      <c r="A7" s="26" t="s">
        <v>27</v>
      </c>
      <c r="B7" s="29">
        <f>SUM(B5:B6)</f>
        <v>0</v>
      </c>
      <c r="C7" s="26"/>
      <c r="D7" s="26"/>
      <c r="E7" s="26"/>
      <c r="F7" s="51">
        <f>SUM(F5:F6)</f>
        <v>0</v>
      </c>
      <c r="G7" s="26"/>
      <c r="H7" s="31"/>
      <c r="I7" s="29">
        <f>SUM(I5:I6)</f>
        <v>0</v>
      </c>
      <c r="J7" s="26"/>
      <c r="K7" s="26"/>
      <c r="L7" s="26"/>
      <c r="M7" s="51">
        <f>SUM(M5:M6)</f>
        <v>0</v>
      </c>
      <c r="O7" s="133"/>
    </row>
    <row r="8" spans="1:15" x14ac:dyDescent="0.25">
      <c r="A8" s="26"/>
      <c r="B8" s="26"/>
      <c r="C8" s="26"/>
      <c r="D8" s="26"/>
      <c r="E8" s="26"/>
      <c r="F8" s="51"/>
      <c r="G8" s="26"/>
      <c r="H8" s="31"/>
      <c r="I8" s="26"/>
      <c r="J8" s="26"/>
      <c r="K8" s="26"/>
      <c r="L8" s="26"/>
      <c r="M8" s="51"/>
      <c r="O8" s="133"/>
    </row>
    <row r="9" spans="1:15" x14ac:dyDescent="0.25">
      <c r="A9" s="26" t="s">
        <v>28</v>
      </c>
      <c r="B9" s="26"/>
      <c r="C9" s="26"/>
      <c r="D9" s="26"/>
      <c r="E9" s="26"/>
      <c r="F9" s="51">
        <f>F7*(1+Rates!$F$6)</f>
        <v>0</v>
      </c>
      <c r="G9" s="26"/>
      <c r="H9" s="31"/>
      <c r="I9" s="26"/>
      <c r="J9" s="26"/>
      <c r="K9" s="26"/>
      <c r="L9" s="26"/>
      <c r="M9" s="51">
        <f>M7*(1+Rates!$F$6)</f>
        <v>0</v>
      </c>
      <c r="O9" s="133"/>
    </row>
    <row r="10" spans="1:15" x14ac:dyDescent="0.25">
      <c r="A10" s="26" t="s">
        <v>29</v>
      </c>
      <c r="B10" s="26"/>
      <c r="C10" s="26"/>
      <c r="D10" s="26"/>
      <c r="E10" s="26"/>
      <c r="F10" s="51">
        <f>F9*(1+Rates!$F$7)</f>
        <v>0</v>
      </c>
      <c r="G10" s="26"/>
      <c r="H10" s="31"/>
      <c r="I10" s="26"/>
      <c r="J10" s="26"/>
      <c r="K10" s="26"/>
      <c r="L10" s="26"/>
      <c r="M10" s="51">
        <f>M9*(1+Rates!$F$7)</f>
        <v>0</v>
      </c>
      <c r="O10" s="133"/>
    </row>
    <row r="11" spans="1:15" x14ac:dyDescent="0.25">
      <c r="A11" s="26" t="s">
        <v>30</v>
      </c>
      <c r="B11" s="26"/>
      <c r="C11" s="26"/>
      <c r="D11" s="26"/>
      <c r="E11" s="26"/>
      <c r="F11" s="130">
        <v>0</v>
      </c>
      <c r="G11" s="26"/>
      <c r="I11" s="26"/>
      <c r="J11" s="26"/>
      <c r="K11" s="26"/>
      <c r="L11" s="26"/>
      <c r="M11" s="130">
        <v>0</v>
      </c>
      <c r="O11" s="133"/>
    </row>
    <row r="12" spans="1:15" x14ac:dyDescent="0.25">
      <c r="A12" s="26" t="s">
        <v>197</v>
      </c>
      <c r="B12" s="26"/>
      <c r="C12" s="26"/>
      <c r="D12" s="26"/>
      <c r="E12" s="26"/>
      <c r="F12" s="130"/>
      <c r="G12" s="26"/>
      <c r="I12" s="26"/>
      <c r="J12" s="26"/>
      <c r="K12" s="26"/>
      <c r="L12" s="26"/>
      <c r="M12" s="130"/>
      <c r="O12" s="133"/>
    </row>
    <row r="13" spans="1:15" x14ac:dyDescent="0.25">
      <c r="A13" s="26" t="s">
        <v>31</v>
      </c>
      <c r="B13" s="26"/>
      <c r="C13" s="26"/>
      <c r="D13" s="26"/>
      <c r="E13" s="26"/>
      <c r="F13" s="130">
        <v>0</v>
      </c>
      <c r="G13" s="26"/>
      <c r="H13" s="31"/>
      <c r="I13" s="26"/>
      <c r="J13" s="26"/>
      <c r="K13" s="26"/>
      <c r="L13" s="26"/>
      <c r="M13" s="130">
        <v>0</v>
      </c>
      <c r="O13" s="133"/>
    </row>
    <row r="14" spans="1:15" x14ac:dyDescent="0.25">
      <c r="A14" s="33" t="s">
        <v>32</v>
      </c>
      <c r="B14" s="26"/>
      <c r="C14" s="26"/>
      <c r="D14" s="26"/>
      <c r="E14" s="26"/>
      <c r="F14" s="51">
        <f>SUM(F10:F13)</f>
        <v>0</v>
      </c>
      <c r="G14" s="26"/>
      <c r="H14" s="31"/>
      <c r="I14" s="26"/>
      <c r="J14" s="26"/>
      <c r="K14" s="26"/>
      <c r="L14" s="26"/>
      <c r="M14" s="51">
        <f>SUM(M10:M13)</f>
        <v>0</v>
      </c>
      <c r="O14" s="133"/>
    </row>
    <row r="15" spans="1:15" x14ac:dyDescent="0.25">
      <c r="A15" s="33"/>
      <c r="B15" s="26"/>
      <c r="C15" s="26"/>
      <c r="D15" s="26"/>
      <c r="E15" s="26"/>
      <c r="F15" s="51"/>
      <c r="G15" s="26"/>
      <c r="H15" s="31"/>
      <c r="I15" s="26"/>
      <c r="J15" s="26"/>
      <c r="K15" s="26"/>
      <c r="L15" s="26"/>
      <c r="M15" s="51"/>
      <c r="O15" s="133"/>
    </row>
    <row r="16" spans="1:15" x14ac:dyDescent="0.25">
      <c r="A16" s="26" t="s">
        <v>33</v>
      </c>
      <c r="B16" s="26"/>
      <c r="C16" s="26"/>
      <c r="D16" s="26"/>
      <c r="E16" s="26"/>
      <c r="F16" s="102">
        <f>F14*Rates!$F$8</f>
        <v>0</v>
      </c>
      <c r="G16" s="26"/>
      <c r="H16" s="31"/>
      <c r="I16" s="26"/>
      <c r="J16" s="26"/>
      <c r="K16" s="26"/>
      <c r="L16" s="26"/>
      <c r="M16" s="102">
        <f>M14*Rates!$F$8</f>
        <v>0</v>
      </c>
      <c r="O16" s="133"/>
    </row>
    <row r="17" spans="1:15" x14ac:dyDescent="0.25">
      <c r="A17" s="33" t="s">
        <v>34</v>
      </c>
      <c r="B17" s="31"/>
      <c r="C17" s="31"/>
      <c r="D17" s="31"/>
      <c r="E17" s="31"/>
      <c r="F17" s="99">
        <f>SUM(F14:F16)</f>
        <v>0</v>
      </c>
      <c r="G17" s="31"/>
      <c r="H17" s="31"/>
      <c r="I17" s="31"/>
      <c r="J17" s="31"/>
      <c r="K17" s="31"/>
      <c r="L17" s="31"/>
      <c r="M17" s="99">
        <f>SUM(M14:M16)</f>
        <v>0</v>
      </c>
      <c r="O17" s="133"/>
    </row>
    <row r="18" spans="1:15" x14ac:dyDescent="0.25">
      <c r="A18" s="26"/>
      <c r="B18" s="26"/>
      <c r="C18" s="26"/>
      <c r="D18" s="26"/>
      <c r="E18" s="26"/>
      <c r="F18" s="51"/>
      <c r="G18" s="26"/>
      <c r="H18" s="31"/>
      <c r="I18" s="26"/>
      <c r="J18" s="26"/>
      <c r="K18" s="26"/>
      <c r="L18" s="26"/>
      <c r="M18" s="51"/>
      <c r="O18" s="133"/>
    </row>
    <row r="19" spans="1:15" x14ac:dyDescent="0.25">
      <c r="A19" s="26" t="s">
        <v>16</v>
      </c>
      <c r="B19" s="26"/>
      <c r="C19" s="26"/>
      <c r="D19" s="26"/>
      <c r="E19" s="26"/>
      <c r="F19" s="102">
        <f>F17*Rates!$F$9</f>
        <v>0</v>
      </c>
      <c r="G19" s="26"/>
      <c r="H19" s="31"/>
      <c r="I19" s="26"/>
      <c r="J19" s="26"/>
      <c r="K19" s="26"/>
      <c r="L19" s="26"/>
      <c r="M19" s="102">
        <f>M17*Rates!$F$9</f>
        <v>0</v>
      </c>
      <c r="O19" s="133"/>
    </row>
    <row r="20" spans="1:15" x14ac:dyDescent="0.25">
      <c r="A20" s="33" t="s">
        <v>35</v>
      </c>
      <c r="B20" s="26"/>
      <c r="C20" s="26"/>
      <c r="D20" s="26"/>
      <c r="E20" s="26"/>
      <c r="F20" s="103">
        <f>SUM(F17:F19)</f>
        <v>0</v>
      </c>
      <c r="G20" s="107"/>
      <c r="H20" s="31"/>
      <c r="I20" s="26"/>
      <c r="J20" s="26"/>
      <c r="K20" s="26"/>
      <c r="L20" s="26"/>
      <c r="M20" s="103">
        <f>SUM(M17:M19)</f>
        <v>0</v>
      </c>
      <c r="O20" s="133"/>
    </row>
    <row r="21" spans="1:15" x14ac:dyDescent="0.25">
      <c r="A21" s="26" t="s">
        <v>36</v>
      </c>
      <c r="B21" s="31"/>
      <c r="C21" s="31"/>
      <c r="D21" s="31"/>
      <c r="E21" s="136">
        <v>10</v>
      </c>
      <c r="F21" s="99"/>
      <c r="G21" s="107"/>
      <c r="H21" s="31"/>
      <c r="I21" s="31"/>
      <c r="J21" s="31"/>
      <c r="K21" s="31"/>
      <c r="L21" s="136">
        <v>3</v>
      </c>
      <c r="M21" s="99"/>
      <c r="O21" s="133"/>
    </row>
    <row r="22" spans="1:15" ht="16.5" thickBot="1" x14ac:dyDescent="0.3">
      <c r="A22" s="33" t="s">
        <v>37</v>
      </c>
      <c r="B22" s="31"/>
      <c r="C22" s="31"/>
      <c r="D22" s="31"/>
      <c r="E22" s="31"/>
      <c r="F22" s="131">
        <f>F20*E21</f>
        <v>0</v>
      </c>
      <c r="G22" s="107"/>
      <c r="H22" s="31"/>
      <c r="I22" s="31"/>
      <c r="J22" s="31"/>
      <c r="K22" s="31"/>
      <c r="L22" s="31"/>
      <c r="M22" s="131">
        <f>M20*L21</f>
        <v>0</v>
      </c>
      <c r="O22" s="134">
        <f>F22+M22</f>
        <v>0</v>
      </c>
    </row>
    <row r="23" spans="1:15" ht="16.5" thickTop="1" x14ac:dyDescent="0.25">
      <c r="A23" s="31"/>
      <c r="B23" s="26"/>
      <c r="C23" s="31"/>
      <c r="D23" s="106"/>
      <c r="E23" s="31"/>
      <c r="F23" s="99"/>
      <c r="G23" s="107"/>
      <c r="H23" s="31"/>
    </row>
    <row r="24" spans="1:15" x14ac:dyDescent="0.25">
      <c r="A24" s="12" t="s">
        <v>38</v>
      </c>
    </row>
    <row r="25" spans="1:15" x14ac:dyDescent="0.25">
      <c r="A25" s="229"/>
      <c r="B25" s="229"/>
      <c r="C25" s="229"/>
      <c r="D25" s="229"/>
      <c r="E25" s="229"/>
      <c r="F25" s="229"/>
      <c r="G25" s="229"/>
    </row>
    <row r="26" spans="1:15" x14ac:dyDescent="0.25">
      <c r="A26" s="229"/>
      <c r="B26" s="229"/>
      <c r="C26" s="229"/>
      <c r="D26" s="229"/>
      <c r="E26" s="229"/>
      <c r="F26" s="229"/>
      <c r="G26" s="229"/>
    </row>
    <row r="27" spans="1:15" x14ac:dyDescent="0.25">
      <c r="A27" s="229"/>
      <c r="B27" s="229"/>
      <c r="C27" s="229"/>
      <c r="D27" s="229"/>
      <c r="E27" s="229"/>
      <c r="F27" s="229"/>
      <c r="G27" s="229"/>
    </row>
    <row r="28" spans="1:15" x14ac:dyDescent="0.25">
      <c r="A28" s="229"/>
      <c r="B28" s="229"/>
      <c r="C28" s="229"/>
      <c r="D28" s="229"/>
      <c r="E28" s="229"/>
      <c r="F28" s="229"/>
      <c r="G28" s="229"/>
    </row>
    <row r="29" spans="1:15" x14ac:dyDescent="0.25">
      <c r="A29" s="229"/>
      <c r="B29" s="229"/>
      <c r="C29" s="229"/>
      <c r="D29" s="229"/>
      <c r="E29" s="229"/>
      <c r="F29" s="229"/>
      <c r="G29" s="229"/>
    </row>
    <row r="30" spans="1:15" x14ac:dyDescent="0.25">
      <c r="A30" s="229"/>
      <c r="B30" s="229"/>
      <c r="C30" s="229"/>
      <c r="D30" s="229"/>
      <c r="E30" s="229"/>
      <c r="F30" s="229"/>
      <c r="G30" s="229"/>
    </row>
    <row r="31" spans="1:15" x14ac:dyDescent="0.25">
      <c r="A31" s="229"/>
      <c r="B31" s="229"/>
      <c r="C31" s="229"/>
      <c r="D31" s="229"/>
      <c r="E31" s="229"/>
      <c r="F31" s="229"/>
      <c r="G31" s="229"/>
    </row>
    <row r="32" spans="1:15" x14ac:dyDescent="0.25">
      <c r="A32" s="229"/>
      <c r="B32" s="229"/>
      <c r="C32" s="229"/>
      <c r="D32" s="229"/>
      <c r="E32" s="229"/>
      <c r="F32" s="229"/>
      <c r="G32" s="229"/>
    </row>
    <row r="33" spans="1:7" x14ac:dyDescent="0.25">
      <c r="A33" s="229"/>
      <c r="B33" s="229"/>
      <c r="C33" s="229"/>
      <c r="D33" s="229"/>
      <c r="E33" s="229"/>
      <c r="F33" s="229"/>
      <c r="G33" s="229"/>
    </row>
  </sheetData>
  <mergeCells count="3">
    <mergeCell ref="B3:F3"/>
    <mergeCell ref="A25:G33"/>
    <mergeCell ref="I3:M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52C96-E583-7842-A7C7-0247E157A83A}">
  <dimension ref="A1:O34"/>
  <sheetViews>
    <sheetView showGridLines="0" workbookViewId="0">
      <pane xSplit="1" topLeftCell="B1" activePane="topRight" state="frozen"/>
      <selection activeCell="K34" sqref="K34"/>
      <selection pane="topRight" activeCell="A12" sqref="A12"/>
    </sheetView>
  </sheetViews>
  <sheetFormatPr defaultColWidth="11" defaultRowHeight="15.75" x14ac:dyDescent="0.25"/>
  <cols>
    <col min="1" max="1" width="42" customWidth="1"/>
    <col min="2" max="2" width="13" bestFit="1" customWidth="1"/>
    <col min="15" max="15" width="18.375" customWidth="1"/>
  </cols>
  <sheetData>
    <row r="1" spans="1:15" x14ac:dyDescent="0.25">
      <c r="A1" s="98" t="s">
        <v>44</v>
      </c>
    </row>
    <row r="3" spans="1:15" x14ac:dyDescent="0.25">
      <c r="A3" s="26"/>
      <c r="B3" s="228" t="s">
        <v>190</v>
      </c>
      <c r="C3" s="228"/>
      <c r="D3" s="228"/>
      <c r="E3" s="228"/>
      <c r="F3" s="228"/>
      <c r="G3" s="26"/>
      <c r="H3" s="31"/>
      <c r="I3" s="228" t="s">
        <v>187</v>
      </c>
      <c r="J3" s="228"/>
      <c r="K3" s="228"/>
      <c r="L3" s="228"/>
      <c r="M3" s="228"/>
      <c r="O3" s="135" t="s">
        <v>43</v>
      </c>
    </row>
    <row r="4" spans="1:15" x14ac:dyDescent="0.25">
      <c r="A4" s="26" t="s">
        <v>19</v>
      </c>
      <c r="B4" s="29" t="s">
        <v>20</v>
      </c>
      <c r="C4" s="30" t="s">
        <v>21</v>
      </c>
      <c r="D4" s="30" t="s">
        <v>22</v>
      </c>
      <c r="E4" s="30"/>
      <c r="F4" s="100"/>
      <c r="G4" s="26"/>
      <c r="H4" s="31"/>
      <c r="I4" s="29" t="s">
        <v>20</v>
      </c>
      <c r="J4" s="30" t="s">
        <v>21</v>
      </c>
      <c r="K4" s="30" t="s">
        <v>22</v>
      </c>
      <c r="L4" s="30"/>
      <c r="M4" s="100"/>
      <c r="O4" s="133"/>
    </row>
    <row r="5" spans="1:15" x14ac:dyDescent="0.25">
      <c r="A5" s="29" t="s">
        <v>24</v>
      </c>
      <c r="B5" s="127"/>
      <c r="C5" s="30" t="s">
        <v>21</v>
      </c>
      <c r="D5" s="126"/>
      <c r="E5" s="30" t="s">
        <v>25</v>
      </c>
      <c r="F5" s="51">
        <f>B5*D5</f>
        <v>0</v>
      </c>
      <c r="G5" s="29"/>
      <c r="H5" s="31"/>
      <c r="I5" s="127"/>
      <c r="J5" s="30" t="s">
        <v>21</v>
      </c>
      <c r="K5" s="51">
        <f>D5</f>
        <v>0</v>
      </c>
      <c r="L5" s="30" t="s">
        <v>25</v>
      </c>
      <c r="M5" s="51">
        <f>I5*K5</f>
        <v>0</v>
      </c>
      <c r="O5" s="133"/>
    </row>
    <row r="6" spans="1:15" x14ac:dyDescent="0.25">
      <c r="A6" s="29" t="s">
        <v>26</v>
      </c>
      <c r="B6" s="127"/>
      <c r="C6" s="30" t="s">
        <v>21</v>
      </c>
      <c r="D6" s="126"/>
      <c r="E6" s="30" t="s">
        <v>25</v>
      </c>
      <c r="F6" s="102">
        <f>B6*D6</f>
        <v>0</v>
      </c>
      <c r="G6" s="29"/>
      <c r="H6" s="31"/>
      <c r="I6" s="127"/>
      <c r="J6" s="30" t="s">
        <v>21</v>
      </c>
      <c r="K6" s="51">
        <f>D6</f>
        <v>0</v>
      </c>
      <c r="L6" s="30" t="s">
        <v>25</v>
      </c>
      <c r="M6" s="102">
        <f>I6*K6</f>
        <v>0</v>
      </c>
      <c r="O6" s="133"/>
    </row>
    <row r="7" spans="1:15" x14ac:dyDescent="0.25">
      <c r="A7" s="26" t="s">
        <v>27</v>
      </c>
      <c r="B7" s="29">
        <f>SUM(B5:B6)</f>
        <v>0</v>
      </c>
      <c r="C7" s="26"/>
      <c r="D7" s="26"/>
      <c r="E7" s="26"/>
      <c r="F7" s="51">
        <f>SUM(F5:F6)</f>
        <v>0</v>
      </c>
      <c r="G7" s="26"/>
      <c r="H7" s="31"/>
      <c r="I7" s="29">
        <f>SUM(I5:I6)</f>
        <v>0</v>
      </c>
      <c r="J7" s="26"/>
      <c r="K7" s="26"/>
      <c r="L7" s="26"/>
      <c r="M7" s="51">
        <f>SUM(M5:M6)</f>
        <v>0</v>
      </c>
      <c r="O7" s="133"/>
    </row>
    <row r="8" spans="1:15" x14ac:dyDescent="0.25">
      <c r="A8" s="26"/>
      <c r="B8" s="26"/>
      <c r="C8" s="26"/>
      <c r="D8" s="26"/>
      <c r="E8" s="26"/>
      <c r="F8" s="51"/>
      <c r="G8" s="26"/>
      <c r="H8" s="31"/>
      <c r="I8" s="26"/>
      <c r="J8" s="26"/>
      <c r="K8" s="26"/>
      <c r="L8" s="26"/>
      <c r="M8" s="51"/>
      <c r="O8" s="133"/>
    </row>
    <row r="9" spans="1:15" x14ac:dyDescent="0.25">
      <c r="A9" s="26" t="s">
        <v>28</v>
      </c>
      <c r="B9" s="26"/>
      <c r="C9" s="26"/>
      <c r="D9" s="26"/>
      <c r="E9" s="26"/>
      <c r="F9" s="51">
        <f>F7*(1+Rates!$F$6)</f>
        <v>0</v>
      </c>
      <c r="G9" s="26"/>
      <c r="H9" s="31"/>
      <c r="I9" s="26"/>
      <c r="J9" s="26"/>
      <c r="K9" s="26"/>
      <c r="L9" s="26"/>
      <c r="M9" s="51">
        <f>M7*(1+Rates!$F$6)</f>
        <v>0</v>
      </c>
      <c r="O9" s="133"/>
    </row>
    <row r="10" spans="1:15" x14ac:dyDescent="0.25">
      <c r="A10" s="26" t="s">
        <v>29</v>
      </c>
      <c r="B10" s="26"/>
      <c r="C10" s="26"/>
      <c r="D10" s="26"/>
      <c r="E10" s="26"/>
      <c r="F10" s="51">
        <f>F9*(1+Rates!$F$7)</f>
        <v>0</v>
      </c>
      <c r="G10" s="26"/>
      <c r="H10" s="31"/>
      <c r="I10" s="26"/>
      <c r="J10" s="26"/>
      <c r="K10" s="26"/>
      <c r="L10" s="26"/>
      <c r="M10" s="51">
        <f>M9*(1+Rates!$F$7)</f>
        <v>0</v>
      </c>
      <c r="O10" s="133"/>
    </row>
    <row r="11" spans="1:15" x14ac:dyDescent="0.25">
      <c r="A11" s="26" t="s">
        <v>30</v>
      </c>
      <c r="B11" s="26"/>
      <c r="C11" s="26"/>
      <c r="D11" s="26"/>
      <c r="E11" s="26"/>
      <c r="F11" s="130"/>
      <c r="G11" s="26"/>
      <c r="I11" s="26"/>
      <c r="J11" s="26"/>
      <c r="K11" s="26"/>
      <c r="L11" s="26"/>
      <c r="M11" s="130"/>
      <c r="O11" s="133"/>
    </row>
    <row r="12" spans="1:15" x14ac:dyDescent="0.25">
      <c r="A12" s="26" t="s">
        <v>197</v>
      </c>
      <c r="B12" s="26"/>
      <c r="C12" s="26"/>
      <c r="D12" s="26"/>
      <c r="E12" s="26"/>
      <c r="F12" s="130"/>
      <c r="G12" s="26"/>
      <c r="I12" s="26"/>
      <c r="J12" s="26"/>
      <c r="K12" s="26"/>
      <c r="L12" s="26"/>
      <c r="M12" s="130"/>
      <c r="O12" s="133"/>
    </row>
    <row r="13" spans="1:15" x14ac:dyDescent="0.25">
      <c r="A13" s="26" t="s">
        <v>31</v>
      </c>
      <c r="B13" s="26"/>
      <c r="C13" s="26"/>
      <c r="D13" s="26"/>
      <c r="E13" s="26"/>
      <c r="F13" s="130"/>
      <c r="G13" s="26"/>
      <c r="H13" s="31"/>
      <c r="I13" s="26"/>
      <c r="J13" s="26"/>
      <c r="K13" s="26"/>
      <c r="L13" s="26"/>
      <c r="M13" s="130"/>
      <c r="O13" s="133"/>
    </row>
    <row r="14" spans="1:15" x14ac:dyDescent="0.25">
      <c r="A14" s="33" t="s">
        <v>32</v>
      </c>
      <c r="B14" s="26"/>
      <c r="C14" s="26"/>
      <c r="D14" s="26"/>
      <c r="E14" s="26"/>
      <c r="F14" s="51">
        <f>SUM(F10:F13)</f>
        <v>0</v>
      </c>
      <c r="G14" s="26"/>
      <c r="H14" s="31"/>
      <c r="I14" s="26"/>
      <c r="J14" s="26"/>
      <c r="K14" s="26"/>
      <c r="L14" s="26"/>
      <c r="M14" s="51">
        <f>SUM(M10:M13)</f>
        <v>0</v>
      </c>
      <c r="O14" s="133"/>
    </row>
    <row r="15" spans="1:15" x14ac:dyDescent="0.25">
      <c r="A15" s="33"/>
      <c r="B15" s="26"/>
      <c r="C15" s="26"/>
      <c r="D15" s="26"/>
      <c r="E15" s="26"/>
      <c r="F15" s="51"/>
      <c r="G15" s="26"/>
      <c r="H15" s="31"/>
      <c r="I15" s="26"/>
      <c r="J15" s="26"/>
      <c r="K15" s="26"/>
      <c r="L15" s="26"/>
      <c r="M15" s="51"/>
      <c r="O15" s="133"/>
    </row>
    <row r="16" spans="1:15" x14ac:dyDescent="0.25">
      <c r="A16" s="26" t="s">
        <v>33</v>
      </c>
      <c r="B16" s="26"/>
      <c r="C16" s="26"/>
      <c r="D16" s="26"/>
      <c r="E16" s="26"/>
      <c r="F16" s="102">
        <f>F14*Rates!$F$8</f>
        <v>0</v>
      </c>
      <c r="G16" s="26"/>
      <c r="H16" s="31"/>
      <c r="I16" s="26"/>
      <c r="J16" s="26"/>
      <c r="K16" s="26"/>
      <c r="L16" s="26"/>
      <c r="M16" s="102">
        <f>M14*Rates!$F$8</f>
        <v>0</v>
      </c>
      <c r="O16" s="133"/>
    </row>
    <row r="17" spans="1:15" x14ac:dyDescent="0.25">
      <c r="A17" s="33" t="s">
        <v>34</v>
      </c>
      <c r="B17" s="31"/>
      <c r="C17" s="31"/>
      <c r="D17" s="31"/>
      <c r="E17" s="31"/>
      <c r="F17" s="99">
        <f>SUM(F14:F16)</f>
        <v>0</v>
      </c>
      <c r="G17" s="31"/>
      <c r="H17" s="31"/>
      <c r="I17" s="31"/>
      <c r="J17" s="31"/>
      <c r="K17" s="31"/>
      <c r="L17" s="31"/>
      <c r="M17" s="99">
        <f>SUM(M14:M16)</f>
        <v>0</v>
      </c>
      <c r="O17" s="133"/>
    </row>
    <row r="18" spans="1:15" x14ac:dyDescent="0.25">
      <c r="A18" s="26"/>
      <c r="B18" s="26"/>
      <c r="C18" s="26"/>
      <c r="D18" s="26"/>
      <c r="E18" s="26"/>
      <c r="F18" s="51"/>
      <c r="G18" s="26"/>
      <c r="H18" s="31"/>
      <c r="I18" s="26"/>
      <c r="J18" s="26"/>
      <c r="K18" s="26"/>
      <c r="L18" s="26"/>
      <c r="M18" s="51"/>
      <c r="O18" s="133"/>
    </row>
    <row r="19" spans="1:15" x14ac:dyDescent="0.25">
      <c r="A19" s="26" t="s">
        <v>16</v>
      </c>
      <c r="B19" s="26"/>
      <c r="C19" s="26"/>
      <c r="D19" s="26"/>
      <c r="E19" s="26"/>
      <c r="F19" s="102">
        <f>F17*Rates!$F$9</f>
        <v>0</v>
      </c>
      <c r="G19" s="26"/>
      <c r="H19" s="31"/>
      <c r="I19" s="26"/>
      <c r="J19" s="26"/>
      <c r="K19" s="26"/>
      <c r="L19" s="26"/>
      <c r="M19" s="102">
        <f>M17*Rates!$F$9</f>
        <v>0</v>
      </c>
      <c r="O19" s="133"/>
    </row>
    <row r="20" spans="1:15" x14ac:dyDescent="0.25">
      <c r="A20" s="33" t="s">
        <v>35</v>
      </c>
      <c r="B20" s="26"/>
      <c r="C20" s="26"/>
      <c r="D20" s="26"/>
      <c r="E20" s="26"/>
      <c r="F20" s="103">
        <f>SUM(F17:F19)</f>
        <v>0</v>
      </c>
      <c r="G20" s="107"/>
      <c r="H20" s="31"/>
      <c r="I20" s="26"/>
      <c r="J20" s="26"/>
      <c r="K20" s="26"/>
      <c r="L20" s="26"/>
      <c r="M20" s="103">
        <f>SUM(M17:M19)</f>
        <v>0</v>
      </c>
      <c r="O20" s="133"/>
    </row>
    <row r="21" spans="1:15" x14ac:dyDescent="0.25">
      <c r="A21" s="26" t="s">
        <v>36</v>
      </c>
      <c r="B21" s="31"/>
      <c r="C21" s="31"/>
      <c r="D21" s="31"/>
      <c r="E21" s="136">
        <v>9</v>
      </c>
      <c r="F21" s="99"/>
      <c r="G21" s="107"/>
      <c r="H21" s="31"/>
      <c r="I21" s="31"/>
      <c r="J21" s="31"/>
      <c r="K21" s="31"/>
      <c r="L21" s="136">
        <v>2</v>
      </c>
      <c r="M21" s="99"/>
      <c r="O21" s="133"/>
    </row>
    <row r="22" spans="1:15" ht="16.5" thickBot="1" x14ac:dyDescent="0.3">
      <c r="A22" s="33" t="s">
        <v>37</v>
      </c>
      <c r="B22" s="31"/>
      <c r="C22" s="31"/>
      <c r="D22" s="31"/>
      <c r="E22" s="31"/>
      <c r="F22" s="131">
        <f>F20*E21</f>
        <v>0</v>
      </c>
      <c r="G22" s="107"/>
      <c r="H22" s="31"/>
      <c r="I22" s="31"/>
      <c r="J22" s="31"/>
      <c r="K22" s="31"/>
      <c r="L22" s="31"/>
      <c r="M22" s="131">
        <f>M20*L21</f>
        <v>0</v>
      </c>
      <c r="O22" s="134">
        <f>F22+M22</f>
        <v>0</v>
      </c>
    </row>
    <row r="23" spans="1:15" ht="16.5" thickTop="1" x14ac:dyDescent="0.25">
      <c r="A23" s="31"/>
      <c r="B23" s="26"/>
      <c r="C23" s="31"/>
      <c r="D23" s="106"/>
      <c r="E23" s="31"/>
      <c r="F23" s="99"/>
      <c r="G23" s="107"/>
      <c r="H23" s="31"/>
    </row>
    <row r="24" spans="1:15" x14ac:dyDescent="0.25">
      <c r="A24" s="12" t="s">
        <v>38</v>
      </c>
      <c r="F24" s="104"/>
    </row>
    <row r="25" spans="1:15" x14ac:dyDescent="0.25">
      <c r="A25" s="229"/>
      <c r="B25" s="229"/>
      <c r="C25" s="229"/>
      <c r="D25" s="229"/>
      <c r="E25" s="229"/>
      <c r="F25" s="229"/>
      <c r="G25" s="229"/>
    </row>
    <row r="26" spans="1:15" x14ac:dyDescent="0.25">
      <c r="A26" s="229"/>
      <c r="B26" s="229"/>
      <c r="C26" s="229"/>
      <c r="D26" s="229"/>
      <c r="E26" s="229"/>
      <c r="F26" s="229"/>
      <c r="G26" s="229"/>
    </row>
    <row r="27" spans="1:15" x14ac:dyDescent="0.25">
      <c r="A27" s="229"/>
      <c r="B27" s="229"/>
      <c r="C27" s="229"/>
      <c r="D27" s="229"/>
      <c r="E27" s="229"/>
      <c r="F27" s="229"/>
      <c r="G27" s="229"/>
    </row>
    <row r="28" spans="1:15" x14ac:dyDescent="0.25">
      <c r="A28" s="229"/>
      <c r="B28" s="229"/>
      <c r="C28" s="229"/>
      <c r="D28" s="229"/>
      <c r="E28" s="229"/>
      <c r="F28" s="229"/>
      <c r="G28" s="229"/>
    </row>
    <row r="29" spans="1:15" x14ac:dyDescent="0.25">
      <c r="A29" s="229"/>
      <c r="B29" s="229"/>
      <c r="C29" s="229"/>
      <c r="D29" s="229"/>
      <c r="E29" s="229"/>
      <c r="F29" s="229"/>
      <c r="G29" s="229"/>
    </row>
    <row r="30" spans="1:15" x14ac:dyDescent="0.25">
      <c r="A30" s="229"/>
      <c r="B30" s="229"/>
      <c r="C30" s="229"/>
      <c r="D30" s="229"/>
      <c r="E30" s="229"/>
      <c r="F30" s="229"/>
      <c r="G30" s="229"/>
    </row>
    <row r="31" spans="1:15" x14ac:dyDescent="0.25">
      <c r="A31" s="229"/>
      <c r="B31" s="229"/>
      <c r="C31" s="229"/>
      <c r="D31" s="229"/>
      <c r="E31" s="229"/>
      <c r="F31" s="229"/>
      <c r="G31" s="229"/>
    </row>
    <row r="32" spans="1:15" x14ac:dyDescent="0.25">
      <c r="A32" s="229"/>
      <c r="B32" s="229"/>
      <c r="C32" s="229"/>
      <c r="D32" s="229"/>
      <c r="E32" s="229"/>
      <c r="F32" s="229"/>
      <c r="G32" s="229"/>
    </row>
    <row r="33" spans="1:7" x14ac:dyDescent="0.25">
      <c r="A33" s="229"/>
      <c r="B33" s="229"/>
      <c r="C33" s="229"/>
      <c r="D33" s="229"/>
      <c r="E33" s="229"/>
      <c r="F33" s="229"/>
      <c r="G33" s="229"/>
    </row>
    <row r="34" spans="1:7" x14ac:dyDescent="0.25">
      <c r="F34" s="104"/>
    </row>
  </sheetData>
  <mergeCells count="3">
    <mergeCell ref="B3:F3"/>
    <mergeCell ref="I3:M3"/>
    <mergeCell ref="A25:G3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37D8D-5F50-2647-B8AA-C718C20F82FA}">
  <dimension ref="A1:V34"/>
  <sheetViews>
    <sheetView showGridLines="0" workbookViewId="0">
      <pane xSplit="1" topLeftCell="B1" activePane="topRight" state="frozen"/>
      <selection activeCell="K34" sqref="K34"/>
      <selection pane="topRight" activeCell="A15" sqref="A15"/>
    </sheetView>
  </sheetViews>
  <sheetFormatPr defaultColWidth="11" defaultRowHeight="15.75" x14ac:dyDescent="0.25"/>
  <cols>
    <col min="1" max="1" width="42.875" customWidth="1"/>
    <col min="2" max="2" width="15" bestFit="1" customWidth="1"/>
    <col min="6" max="6" width="10.875" style="104"/>
    <col min="8" max="8" width="12.125" bestFit="1" customWidth="1"/>
    <col min="10" max="10" width="11.5" bestFit="1" customWidth="1"/>
    <col min="11" max="11" width="11.5" style="104" bestFit="1" customWidth="1"/>
    <col min="15" max="15" width="18.5" customWidth="1"/>
    <col min="16" max="16" width="11.5" bestFit="1" customWidth="1"/>
    <col min="18" max="18" width="12" bestFit="1" customWidth="1"/>
    <col min="22" max="22" width="11.5" bestFit="1" customWidth="1"/>
  </cols>
  <sheetData>
    <row r="1" spans="1:22" x14ac:dyDescent="0.25">
      <c r="A1" s="157" t="s">
        <v>175</v>
      </c>
      <c r="B1" s="31"/>
      <c r="C1" s="31"/>
      <c r="D1" s="31"/>
      <c r="E1" s="31"/>
      <c r="F1" s="99"/>
      <c r="G1" s="31"/>
      <c r="H1" s="31"/>
      <c r="I1" s="31"/>
      <c r="J1" s="31"/>
      <c r="K1" s="99"/>
      <c r="L1" s="30"/>
    </row>
    <row r="2" spans="1:22" x14ac:dyDescent="0.25">
      <c r="A2" s="31"/>
      <c r="B2" s="31"/>
      <c r="C2" s="31"/>
      <c r="D2" s="31"/>
      <c r="E2" s="31"/>
      <c r="F2" s="99"/>
      <c r="G2" s="31"/>
      <c r="H2" s="31"/>
      <c r="I2" s="31"/>
      <c r="J2" s="31"/>
      <c r="K2" s="99"/>
      <c r="L2" s="30"/>
    </row>
    <row r="3" spans="1:22" x14ac:dyDescent="0.25">
      <c r="A3" s="26"/>
      <c r="B3" s="228" t="s">
        <v>190</v>
      </c>
      <c r="C3" s="228"/>
      <c r="D3" s="228"/>
      <c r="E3" s="228"/>
      <c r="F3" s="228"/>
      <c r="G3" s="26"/>
      <c r="H3" s="31"/>
      <c r="I3" s="228" t="s">
        <v>188</v>
      </c>
      <c r="J3" s="228"/>
      <c r="K3" s="228"/>
      <c r="L3" s="228"/>
      <c r="M3" s="228"/>
      <c r="O3" s="135" t="s">
        <v>43</v>
      </c>
    </row>
    <row r="4" spans="1:22" x14ac:dyDescent="0.25">
      <c r="A4" s="26" t="s">
        <v>19</v>
      </c>
      <c r="B4" s="29" t="s">
        <v>20</v>
      </c>
      <c r="C4" s="30" t="s">
        <v>21</v>
      </c>
      <c r="D4" s="30" t="s">
        <v>22</v>
      </c>
      <c r="E4" s="30"/>
      <c r="F4" s="100"/>
      <c r="G4" s="26"/>
      <c r="H4" s="31"/>
      <c r="I4" s="29" t="s">
        <v>20</v>
      </c>
      <c r="J4" s="30" t="s">
        <v>21</v>
      </c>
      <c r="K4" s="30" t="s">
        <v>22</v>
      </c>
      <c r="L4" s="30"/>
      <c r="M4" s="100"/>
      <c r="O4" s="133"/>
      <c r="P4" s="100"/>
      <c r="Q4" s="30"/>
      <c r="R4" s="29"/>
      <c r="S4" s="30"/>
      <c r="T4" s="30"/>
      <c r="U4" s="30"/>
      <c r="V4" s="100"/>
    </row>
    <row r="5" spans="1:22" x14ac:dyDescent="0.25">
      <c r="A5" s="29" t="s">
        <v>24</v>
      </c>
      <c r="B5" s="127"/>
      <c r="C5" s="30" t="s">
        <v>21</v>
      </c>
      <c r="D5" s="126"/>
      <c r="E5" s="30" t="s">
        <v>25</v>
      </c>
      <c r="F5" s="51">
        <f>B5*D5</f>
        <v>0</v>
      </c>
      <c r="G5" s="29"/>
      <c r="H5" s="31"/>
      <c r="I5" s="127"/>
      <c r="J5" s="30" t="s">
        <v>21</v>
      </c>
      <c r="K5" s="51">
        <f>D5</f>
        <v>0</v>
      </c>
      <c r="L5" s="30" t="s">
        <v>25</v>
      </c>
      <c r="M5" s="51">
        <f>I5*K5</f>
        <v>0</v>
      </c>
      <c r="O5" s="133"/>
      <c r="P5" s="51"/>
      <c r="Q5" s="109"/>
      <c r="R5" s="29"/>
      <c r="S5" s="30"/>
      <c r="T5" s="108"/>
      <c r="U5" s="30"/>
      <c r="V5" s="51"/>
    </row>
    <row r="6" spans="1:22" x14ac:dyDescent="0.25">
      <c r="A6" s="29" t="s">
        <v>26</v>
      </c>
      <c r="B6" s="127"/>
      <c r="C6" s="30" t="s">
        <v>21</v>
      </c>
      <c r="D6" s="126"/>
      <c r="E6" s="30" t="s">
        <v>25</v>
      </c>
      <c r="F6" s="102">
        <f>B6*D6</f>
        <v>0</v>
      </c>
      <c r="G6" s="29"/>
      <c r="H6" s="31"/>
      <c r="I6" s="127"/>
      <c r="J6" s="30" t="s">
        <v>21</v>
      </c>
      <c r="K6" s="51">
        <f>D6</f>
        <v>0</v>
      </c>
      <c r="L6" s="30" t="s">
        <v>25</v>
      </c>
      <c r="M6" s="102">
        <f>I6*K6</f>
        <v>0</v>
      </c>
      <c r="O6" s="133"/>
      <c r="P6" s="51"/>
      <c r="Q6" s="109"/>
      <c r="R6" s="29"/>
      <c r="S6" s="30"/>
      <c r="T6" s="108"/>
      <c r="U6" s="30"/>
      <c r="V6" s="51"/>
    </row>
    <row r="7" spans="1:22" x14ac:dyDescent="0.25">
      <c r="A7" s="26" t="s">
        <v>27</v>
      </c>
      <c r="B7" s="29">
        <f>SUM(B5:B6)</f>
        <v>0</v>
      </c>
      <c r="C7" s="26"/>
      <c r="D7" s="26"/>
      <c r="E7" s="26"/>
      <c r="F7" s="51">
        <f>SUM(F5:F6)</f>
        <v>0</v>
      </c>
      <c r="G7" s="26"/>
      <c r="H7" s="31"/>
      <c r="I7" s="29">
        <f>SUM(I5:I6)</f>
        <v>0</v>
      </c>
      <c r="J7" s="26"/>
      <c r="K7" s="26"/>
      <c r="L7" s="26"/>
      <c r="M7" s="51">
        <f>SUM(M5:M6)</f>
        <v>0</v>
      </c>
      <c r="O7" s="133"/>
      <c r="P7" s="51"/>
      <c r="Q7" s="109"/>
      <c r="R7" s="110"/>
      <c r="S7" s="26"/>
      <c r="T7" s="26"/>
      <c r="U7" s="26"/>
      <c r="V7" s="51"/>
    </row>
    <row r="8" spans="1:22" x14ac:dyDescent="0.25">
      <c r="A8" s="26"/>
      <c r="B8" s="26"/>
      <c r="C8" s="26"/>
      <c r="D8" s="26"/>
      <c r="E8" s="26"/>
      <c r="F8" s="51"/>
      <c r="G8" s="26"/>
      <c r="H8" s="31"/>
      <c r="I8" s="26"/>
      <c r="J8" s="26"/>
      <c r="K8" s="26"/>
      <c r="L8" s="26"/>
      <c r="M8" s="51"/>
      <c r="O8" s="133"/>
      <c r="P8" s="51"/>
      <c r="Q8" s="109"/>
      <c r="R8" s="26"/>
      <c r="S8" s="26"/>
      <c r="T8" s="26"/>
      <c r="U8" s="26"/>
      <c r="V8" s="51"/>
    </row>
    <row r="9" spans="1:22" x14ac:dyDescent="0.25">
      <c r="A9" s="26" t="s">
        <v>28</v>
      </c>
      <c r="B9" s="26"/>
      <c r="C9" s="26"/>
      <c r="D9" s="26"/>
      <c r="E9" s="26"/>
      <c r="F9" s="51">
        <f>F7*(1+Rates!$F$6)</f>
        <v>0</v>
      </c>
      <c r="G9" s="26"/>
      <c r="H9" s="31"/>
      <c r="I9" s="26"/>
      <c r="J9" s="26"/>
      <c r="K9" s="26"/>
      <c r="L9" s="26"/>
      <c r="M9" s="51">
        <f>M7*(1+Rates!$F$6)</f>
        <v>0</v>
      </c>
      <c r="O9" s="133"/>
      <c r="P9" s="51"/>
      <c r="Q9" s="109"/>
      <c r="R9" s="26"/>
      <c r="S9" s="26"/>
      <c r="T9" s="26"/>
      <c r="U9" s="26"/>
      <c r="V9" s="51"/>
    </row>
    <row r="10" spans="1:22" x14ac:dyDescent="0.25">
      <c r="A10" s="26" t="s">
        <v>29</v>
      </c>
      <c r="B10" s="26"/>
      <c r="C10" s="26"/>
      <c r="D10" s="26"/>
      <c r="E10" s="26"/>
      <c r="F10" s="51">
        <f>F9*(1+Rates!$F$7)</f>
        <v>0</v>
      </c>
      <c r="G10" s="26"/>
      <c r="H10" s="31"/>
      <c r="I10" s="26"/>
      <c r="J10" s="26"/>
      <c r="K10" s="26"/>
      <c r="L10" s="26"/>
      <c r="M10" s="51">
        <f>M9*(1+Rates!$F$7)</f>
        <v>0</v>
      </c>
      <c r="O10" s="133"/>
      <c r="P10" s="51"/>
      <c r="Q10" s="109"/>
      <c r="R10" s="26"/>
      <c r="S10" s="26"/>
      <c r="T10" s="26"/>
      <c r="U10" s="26"/>
      <c r="V10" s="51"/>
    </row>
    <row r="11" spans="1:22" x14ac:dyDescent="0.25">
      <c r="A11" s="26" t="s">
        <v>30</v>
      </c>
      <c r="B11" s="26"/>
      <c r="C11" s="26"/>
      <c r="D11" s="26"/>
      <c r="E11" s="26"/>
      <c r="F11" s="130"/>
      <c r="G11" s="26"/>
      <c r="I11" s="26"/>
      <c r="J11" s="26"/>
      <c r="K11" s="26"/>
      <c r="L11" s="26"/>
      <c r="M11" s="130"/>
      <c r="O11" s="133"/>
      <c r="P11" s="51"/>
      <c r="Q11" s="109"/>
      <c r="R11" s="26"/>
      <c r="S11" s="26"/>
      <c r="T11" s="26"/>
      <c r="U11" s="26"/>
      <c r="V11" s="51"/>
    </row>
    <row r="12" spans="1:22" x14ac:dyDescent="0.25">
      <c r="A12" s="26" t="s">
        <v>197</v>
      </c>
      <c r="B12" s="26"/>
      <c r="C12" s="26"/>
      <c r="D12" s="26"/>
      <c r="E12" s="26"/>
      <c r="F12" s="130"/>
      <c r="G12" s="26"/>
      <c r="I12" s="26"/>
      <c r="J12" s="26"/>
      <c r="K12" s="26"/>
      <c r="L12" s="26"/>
      <c r="M12" s="130"/>
      <c r="O12" s="133"/>
      <c r="P12" s="51"/>
      <c r="Q12" s="109"/>
      <c r="R12" s="26"/>
      <c r="S12" s="26"/>
      <c r="T12" s="26"/>
      <c r="U12" s="26"/>
      <c r="V12" s="51"/>
    </row>
    <row r="13" spans="1:22" x14ac:dyDescent="0.25">
      <c r="A13" s="26" t="s">
        <v>31</v>
      </c>
      <c r="B13" s="26"/>
      <c r="C13" s="26"/>
      <c r="D13" s="26"/>
      <c r="E13" s="26"/>
      <c r="F13" s="130"/>
      <c r="G13" s="26"/>
      <c r="H13" s="31"/>
      <c r="I13" s="26"/>
      <c r="J13" s="26"/>
      <c r="K13" s="26"/>
      <c r="L13" s="26"/>
      <c r="M13" s="130"/>
      <c r="O13" s="133"/>
      <c r="P13" s="51"/>
      <c r="Q13" s="109"/>
      <c r="R13" s="26"/>
      <c r="S13" s="26"/>
      <c r="T13" s="26"/>
      <c r="U13" s="26"/>
      <c r="V13" s="51"/>
    </row>
    <row r="14" spans="1:22" x14ac:dyDescent="0.25">
      <c r="A14" s="33" t="s">
        <v>32</v>
      </c>
      <c r="B14" s="26"/>
      <c r="C14" s="26"/>
      <c r="D14" s="26"/>
      <c r="E14" s="26"/>
      <c r="F14" s="51">
        <f>SUM(F10:F13)</f>
        <v>0</v>
      </c>
      <c r="G14" s="26"/>
      <c r="H14" s="31"/>
      <c r="I14" s="26"/>
      <c r="J14" s="26"/>
      <c r="K14" s="26"/>
      <c r="L14" s="26"/>
      <c r="M14" s="51">
        <f>SUM(M10:M13)</f>
        <v>0</v>
      </c>
      <c r="O14" s="133"/>
      <c r="P14" s="51"/>
      <c r="Q14" s="109"/>
      <c r="R14" s="26"/>
      <c r="S14" s="26"/>
      <c r="T14" s="26"/>
      <c r="U14" s="26"/>
      <c r="V14" s="51"/>
    </row>
    <row r="15" spans="1:22" x14ac:dyDescent="0.25">
      <c r="A15" s="33"/>
      <c r="B15" s="26"/>
      <c r="C15" s="26"/>
      <c r="D15" s="26"/>
      <c r="E15" s="26"/>
      <c r="F15" s="51"/>
      <c r="G15" s="26"/>
      <c r="H15" s="31"/>
      <c r="I15" s="26"/>
      <c r="J15" s="26"/>
      <c r="K15" s="26"/>
      <c r="L15" s="26"/>
      <c r="M15" s="51"/>
      <c r="O15" s="133"/>
      <c r="P15" s="51"/>
      <c r="Q15" s="109"/>
      <c r="R15" s="26"/>
      <c r="S15" s="26"/>
      <c r="T15" s="26"/>
      <c r="U15" s="26"/>
      <c r="V15" s="51"/>
    </row>
    <row r="16" spans="1:22" x14ac:dyDescent="0.25">
      <c r="A16" s="26" t="s">
        <v>33</v>
      </c>
      <c r="B16" s="26"/>
      <c r="C16" s="26"/>
      <c r="D16" s="26"/>
      <c r="E16" s="26"/>
      <c r="F16" s="102">
        <f>F14*Rates!$F$8</f>
        <v>0</v>
      </c>
      <c r="G16" s="26"/>
      <c r="H16" s="31"/>
      <c r="I16" s="26"/>
      <c r="J16" s="26"/>
      <c r="K16" s="26"/>
      <c r="L16" s="26"/>
      <c r="M16" s="102">
        <f>M14*Rates!$F$8</f>
        <v>0</v>
      </c>
      <c r="O16" s="133"/>
      <c r="P16" s="51"/>
      <c r="Q16" s="109"/>
      <c r="R16" s="26"/>
      <c r="S16" s="26"/>
      <c r="T16" s="26"/>
      <c r="U16" s="26"/>
      <c r="V16" s="51"/>
    </row>
    <row r="17" spans="1:22" x14ac:dyDescent="0.25">
      <c r="A17" s="33" t="s">
        <v>34</v>
      </c>
      <c r="B17" s="31"/>
      <c r="C17" s="31"/>
      <c r="D17" s="31"/>
      <c r="E17" s="31"/>
      <c r="F17" s="99">
        <f>SUM(F14:F16)</f>
        <v>0</v>
      </c>
      <c r="G17" s="31"/>
      <c r="H17" s="31"/>
      <c r="I17" s="31"/>
      <c r="J17" s="31"/>
      <c r="K17" s="31"/>
      <c r="L17" s="31"/>
      <c r="M17" s="99">
        <f>SUM(M14:M16)</f>
        <v>0</v>
      </c>
      <c r="O17" s="133"/>
      <c r="P17" s="99"/>
      <c r="Q17" s="30"/>
      <c r="R17" s="31"/>
      <c r="S17" s="31"/>
      <c r="T17" s="31"/>
      <c r="U17" s="31"/>
      <c r="V17" s="99"/>
    </row>
    <row r="18" spans="1:22" x14ac:dyDescent="0.25">
      <c r="A18" s="26"/>
      <c r="B18" s="26"/>
      <c r="C18" s="26"/>
      <c r="D18" s="26"/>
      <c r="E18" s="26"/>
      <c r="F18" s="51"/>
      <c r="G18" s="26"/>
      <c r="H18" s="31"/>
      <c r="I18" s="26"/>
      <c r="J18" s="26"/>
      <c r="K18" s="26"/>
      <c r="L18" s="26"/>
      <c r="M18" s="51"/>
      <c r="O18" s="133"/>
      <c r="P18" s="51"/>
      <c r="Q18" s="109"/>
      <c r="R18" s="26"/>
      <c r="S18" s="26"/>
      <c r="T18" s="26"/>
      <c r="U18" s="26"/>
      <c r="V18" s="51"/>
    </row>
    <row r="19" spans="1:22" x14ac:dyDescent="0.25">
      <c r="A19" s="26" t="s">
        <v>16</v>
      </c>
      <c r="B19" s="26"/>
      <c r="C19" s="26"/>
      <c r="D19" s="26"/>
      <c r="E19" s="26"/>
      <c r="F19" s="102">
        <f>F17*Rates!$F$9</f>
        <v>0</v>
      </c>
      <c r="G19" s="26"/>
      <c r="H19" s="31"/>
      <c r="I19" s="26"/>
      <c r="J19" s="26"/>
      <c r="K19" s="26"/>
      <c r="L19" s="26"/>
      <c r="M19" s="102">
        <f>M17*Rates!$F$9</f>
        <v>0</v>
      </c>
      <c r="O19" s="133"/>
      <c r="P19" s="51"/>
      <c r="Q19" s="109"/>
      <c r="R19" s="26"/>
      <c r="S19" s="26"/>
      <c r="T19" s="26"/>
      <c r="U19" s="26"/>
      <c r="V19" s="51"/>
    </row>
    <row r="20" spans="1:22" x14ac:dyDescent="0.25">
      <c r="A20" s="33" t="s">
        <v>35</v>
      </c>
      <c r="B20" s="26"/>
      <c r="C20" s="26"/>
      <c r="D20" s="26"/>
      <c r="E20" s="26"/>
      <c r="F20" s="103">
        <f>SUM(F17:F19)</f>
        <v>0</v>
      </c>
      <c r="G20" s="107"/>
      <c r="H20" s="31"/>
      <c r="I20" s="26"/>
      <c r="J20" s="26"/>
      <c r="K20" s="26"/>
      <c r="L20" s="26"/>
      <c r="M20" s="103">
        <f>SUM(M17:M19)</f>
        <v>0</v>
      </c>
      <c r="O20" s="133"/>
      <c r="P20" s="111"/>
      <c r="Q20" s="109"/>
      <c r="R20" s="26"/>
      <c r="S20" s="26"/>
      <c r="T20" s="26"/>
      <c r="U20" s="26"/>
      <c r="V20" s="111"/>
    </row>
    <row r="21" spans="1:22" x14ac:dyDescent="0.25">
      <c r="A21" s="26" t="s">
        <v>36</v>
      </c>
      <c r="B21" s="31"/>
      <c r="C21" s="31"/>
      <c r="D21" s="31"/>
      <c r="E21" s="136">
        <v>2</v>
      </c>
      <c r="F21" s="99"/>
      <c r="G21" s="107"/>
      <c r="H21" s="31"/>
      <c r="I21" s="31"/>
      <c r="J21" s="31"/>
      <c r="K21" s="31"/>
      <c r="L21" s="136">
        <v>0</v>
      </c>
      <c r="M21" s="99"/>
      <c r="O21" s="133"/>
    </row>
    <row r="22" spans="1:22" ht="16.5" thickBot="1" x14ac:dyDescent="0.3">
      <c r="A22" s="33" t="s">
        <v>37</v>
      </c>
      <c r="B22" s="31"/>
      <c r="C22" s="31"/>
      <c r="D22" s="31"/>
      <c r="E22" s="31"/>
      <c r="F22" s="131">
        <f>F20*E21</f>
        <v>0</v>
      </c>
      <c r="G22" s="107"/>
      <c r="H22" s="31"/>
      <c r="I22" s="31"/>
      <c r="J22" s="31"/>
      <c r="K22" s="31"/>
      <c r="L22" s="31"/>
      <c r="M22" s="131">
        <f>M20*L21</f>
        <v>0</v>
      </c>
      <c r="O22" s="134">
        <f>F22+M22</f>
        <v>0</v>
      </c>
    </row>
    <row r="23" spans="1:22" ht="16.5" thickTop="1" x14ac:dyDescent="0.25">
      <c r="A23" s="31"/>
      <c r="B23" s="26"/>
      <c r="C23" s="31"/>
      <c r="D23" s="106"/>
      <c r="E23" s="31"/>
      <c r="F23" s="99"/>
      <c r="G23" s="107"/>
      <c r="H23" s="31"/>
      <c r="K23"/>
    </row>
    <row r="24" spans="1:22" x14ac:dyDescent="0.25">
      <c r="A24" s="12" t="s">
        <v>38</v>
      </c>
      <c r="K24"/>
    </row>
    <row r="25" spans="1:22" x14ac:dyDescent="0.25">
      <c r="A25" s="229"/>
      <c r="B25" s="229"/>
      <c r="C25" s="229"/>
      <c r="D25" s="229"/>
      <c r="E25" s="229"/>
      <c r="F25" s="229"/>
      <c r="G25" s="229"/>
      <c r="K25"/>
    </row>
    <row r="26" spans="1:22" x14ac:dyDescent="0.25">
      <c r="A26" s="229"/>
      <c r="B26" s="229"/>
      <c r="C26" s="229"/>
      <c r="D26" s="229"/>
      <c r="E26" s="229"/>
      <c r="F26" s="229"/>
      <c r="G26" s="229"/>
      <c r="K26"/>
    </row>
    <row r="27" spans="1:22" x14ac:dyDescent="0.25">
      <c r="A27" s="229"/>
      <c r="B27" s="229"/>
      <c r="C27" s="229"/>
      <c r="D27" s="229"/>
      <c r="E27" s="229"/>
      <c r="F27" s="229"/>
      <c r="G27" s="229"/>
      <c r="K27"/>
    </row>
    <row r="28" spans="1:22" x14ac:dyDescent="0.25">
      <c r="A28" s="229"/>
      <c r="B28" s="229"/>
      <c r="C28" s="229"/>
      <c r="D28" s="229"/>
      <c r="E28" s="229"/>
      <c r="F28" s="229"/>
      <c r="G28" s="229"/>
      <c r="K28"/>
    </row>
    <row r="29" spans="1:22" x14ac:dyDescent="0.25">
      <c r="A29" s="229"/>
      <c r="B29" s="229"/>
      <c r="C29" s="229"/>
      <c r="D29" s="229"/>
      <c r="E29" s="229"/>
      <c r="F29" s="229"/>
      <c r="G29" s="229"/>
      <c r="K29"/>
    </row>
    <row r="30" spans="1:22" x14ac:dyDescent="0.25">
      <c r="A30" s="229"/>
      <c r="B30" s="229"/>
      <c r="C30" s="229"/>
      <c r="D30" s="229"/>
      <c r="E30" s="229"/>
      <c r="F30" s="229"/>
      <c r="G30" s="229"/>
      <c r="K30"/>
    </row>
    <row r="31" spans="1:22" x14ac:dyDescent="0.25">
      <c r="A31" s="229"/>
      <c r="B31" s="229"/>
      <c r="C31" s="229"/>
      <c r="D31" s="229"/>
      <c r="E31" s="229"/>
      <c r="F31" s="229"/>
      <c r="G31" s="229"/>
      <c r="K31"/>
    </row>
    <row r="32" spans="1:22" x14ac:dyDescent="0.25">
      <c r="A32" s="229"/>
      <c r="B32" s="229"/>
      <c r="C32" s="229"/>
      <c r="D32" s="229"/>
      <c r="E32" s="229"/>
      <c r="F32" s="229"/>
      <c r="G32" s="229"/>
      <c r="K32"/>
    </row>
    <row r="33" spans="1:11" x14ac:dyDescent="0.25">
      <c r="A33" s="229"/>
      <c r="B33" s="229"/>
      <c r="C33" s="229"/>
      <c r="D33" s="229"/>
      <c r="E33" s="229"/>
      <c r="F33" s="229"/>
      <c r="G33" s="229"/>
      <c r="K33"/>
    </row>
    <row r="34" spans="1:11" x14ac:dyDescent="0.25">
      <c r="K34"/>
    </row>
  </sheetData>
  <mergeCells count="3">
    <mergeCell ref="B3:F3"/>
    <mergeCell ref="I3:M3"/>
    <mergeCell ref="A25:G3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85164-C59D-8840-A5A9-E31169714406}">
  <dimension ref="A1:R34"/>
  <sheetViews>
    <sheetView showGridLines="0" workbookViewId="0">
      <selection activeCell="A17" sqref="A17"/>
    </sheetView>
  </sheetViews>
  <sheetFormatPr defaultColWidth="11" defaultRowHeight="15.75" x14ac:dyDescent="0.25"/>
  <cols>
    <col min="1" max="1" width="42.875" customWidth="1"/>
    <col min="2" max="2" width="15.5" bestFit="1" customWidth="1"/>
    <col min="6" max="6" width="11.5" bestFit="1" customWidth="1"/>
    <col min="7" max="7" width="11.5" style="104" bestFit="1" customWidth="1"/>
    <col min="12" max="12" width="11.5" bestFit="1" customWidth="1"/>
    <col min="14" max="14" width="12" bestFit="1" customWidth="1"/>
    <col min="15" max="15" width="18.375" customWidth="1"/>
    <col min="18" max="18" width="11.5" bestFit="1" customWidth="1"/>
  </cols>
  <sheetData>
    <row r="1" spans="1:18" x14ac:dyDescent="0.25">
      <c r="A1" s="157" t="s">
        <v>174</v>
      </c>
      <c r="B1" s="31"/>
      <c r="C1" s="31"/>
      <c r="D1" s="31"/>
      <c r="E1" s="31"/>
      <c r="F1" s="31"/>
      <c r="G1" s="99"/>
      <c r="H1" s="30"/>
    </row>
    <row r="2" spans="1:18" x14ac:dyDescent="0.25">
      <c r="A2" s="31"/>
      <c r="B2" s="31"/>
      <c r="C2" s="31"/>
      <c r="D2" s="31"/>
      <c r="E2" s="31"/>
      <c r="F2" s="31"/>
      <c r="G2" s="99"/>
      <c r="H2" s="30"/>
    </row>
    <row r="3" spans="1:18" x14ac:dyDescent="0.25">
      <c r="A3" s="26"/>
      <c r="B3" s="228" t="s">
        <v>190</v>
      </c>
      <c r="C3" s="228"/>
      <c r="D3" s="228"/>
      <c r="E3" s="228"/>
      <c r="F3" s="228"/>
      <c r="G3" s="26"/>
      <c r="H3" s="31"/>
      <c r="I3" s="228" t="s">
        <v>189</v>
      </c>
      <c r="J3" s="228"/>
      <c r="K3" s="228"/>
      <c r="L3" s="228"/>
      <c r="M3" s="228"/>
      <c r="O3" s="135" t="s">
        <v>43</v>
      </c>
    </row>
    <row r="4" spans="1:18" x14ac:dyDescent="0.25">
      <c r="A4" s="26" t="s">
        <v>19</v>
      </c>
      <c r="B4" s="29" t="s">
        <v>20</v>
      </c>
      <c r="C4" s="30" t="s">
        <v>21</v>
      </c>
      <c r="D4" s="30" t="s">
        <v>22</v>
      </c>
      <c r="E4" s="30"/>
      <c r="F4" s="100"/>
      <c r="G4" s="26"/>
      <c r="H4" s="31"/>
      <c r="I4" s="29" t="s">
        <v>20</v>
      </c>
      <c r="J4" s="30" t="s">
        <v>21</v>
      </c>
      <c r="K4" s="30" t="s">
        <v>22</v>
      </c>
      <c r="L4" s="30"/>
      <c r="M4" s="100"/>
      <c r="O4" s="133"/>
      <c r="P4" s="30"/>
      <c r="Q4" s="30"/>
      <c r="R4" s="100"/>
    </row>
    <row r="5" spans="1:18" x14ac:dyDescent="0.25">
      <c r="A5" s="29" t="s">
        <v>24</v>
      </c>
      <c r="B5" s="127"/>
      <c r="C5" s="30" t="s">
        <v>21</v>
      </c>
      <c r="D5" s="126"/>
      <c r="E5" s="30" t="s">
        <v>25</v>
      </c>
      <c r="F5" s="51">
        <f>B5*D5</f>
        <v>0</v>
      </c>
      <c r="G5" s="29"/>
      <c r="H5" s="31"/>
      <c r="I5" s="127"/>
      <c r="J5" s="30" t="s">
        <v>21</v>
      </c>
      <c r="K5" s="51">
        <f>D5</f>
        <v>0</v>
      </c>
      <c r="L5" s="30" t="s">
        <v>25</v>
      </c>
      <c r="M5" s="51">
        <f>I5*K5</f>
        <v>0</v>
      </c>
      <c r="O5" s="133"/>
      <c r="P5" s="108"/>
      <c r="Q5" s="30"/>
      <c r="R5" s="51"/>
    </row>
    <row r="6" spans="1:18" x14ac:dyDescent="0.25">
      <c r="A6" s="29" t="s">
        <v>26</v>
      </c>
      <c r="B6" s="127"/>
      <c r="C6" s="30" t="s">
        <v>21</v>
      </c>
      <c r="D6" s="126"/>
      <c r="E6" s="30" t="s">
        <v>25</v>
      </c>
      <c r="F6" s="102">
        <f>B6*D6</f>
        <v>0</v>
      </c>
      <c r="G6" s="29"/>
      <c r="H6" s="31"/>
      <c r="I6" s="127"/>
      <c r="J6" s="30" t="s">
        <v>21</v>
      </c>
      <c r="K6" s="51">
        <f>D6</f>
        <v>0</v>
      </c>
      <c r="L6" s="30" t="s">
        <v>25</v>
      </c>
      <c r="M6" s="102">
        <f>I6*K6</f>
        <v>0</v>
      </c>
      <c r="O6" s="133"/>
      <c r="P6" s="108"/>
      <c r="Q6" s="30"/>
      <c r="R6" s="51"/>
    </row>
    <row r="7" spans="1:18" x14ac:dyDescent="0.25">
      <c r="A7" s="26" t="s">
        <v>27</v>
      </c>
      <c r="B7" s="29">
        <f>SUM(B5:B6)</f>
        <v>0</v>
      </c>
      <c r="C7" s="26"/>
      <c r="D7" s="26"/>
      <c r="E7" s="26"/>
      <c r="F7" s="51">
        <f>SUM(F5:F6)</f>
        <v>0</v>
      </c>
      <c r="G7" s="26"/>
      <c r="H7" s="31"/>
      <c r="I7" s="29">
        <f>SUM(I5:I6)</f>
        <v>0</v>
      </c>
      <c r="J7" s="26"/>
      <c r="K7" s="26"/>
      <c r="L7" s="26"/>
      <c r="M7" s="51">
        <f>SUM(M5:M6)</f>
        <v>0</v>
      </c>
      <c r="O7" s="133"/>
      <c r="P7" s="26"/>
      <c r="Q7" s="26"/>
      <c r="R7" s="51"/>
    </row>
    <row r="8" spans="1:18" x14ac:dyDescent="0.25">
      <c r="A8" s="26"/>
      <c r="B8" s="26"/>
      <c r="C8" s="26"/>
      <c r="D8" s="26"/>
      <c r="E8" s="26"/>
      <c r="F8" s="51"/>
      <c r="G8" s="26"/>
      <c r="H8" s="31"/>
      <c r="I8" s="26"/>
      <c r="J8" s="26"/>
      <c r="K8" s="26"/>
      <c r="L8" s="26"/>
      <c r="M8" s="51"/>
      <c r="O8" s="133"/>
      <c r="P8" s="26"/>
      <c r="Q8" s="26"/>
      <c r="R8" s="51"/>
    </row>
    <row r="9" spans="1:18" x14ac:dyDescent="0.25">
      <c r="A9" s="26" t="s">
        <v>28</v>
      </c>
      <c r="B9" s="26"/>
      <c r="C9" s="26"/>
      <c r="D9" s="26"/>
      <c r="E9" s="26"/>
      <c r="F9" s="51">
        <f>F7*(1+Rates!$F$6)</f>
        <v>0</v>
      </c>
      <c r="G9" s="26"/>
      <c r="H9" s="31"/>
      <c r="I9" s="26"/>
      <c r="J9" s="26"/>
      <c r="K9" s="26"/>
      <c r="L9" s="26"/>
      <c r="M9" s="51">
        <f>M7*(1+Rates!$F$6)</f>
        <v>0</v>
      </c>
      <c r="O9" s="133"/>
      <c r="P9" s="26"/>
      <c r="Q9" s="26"/>
      <c r="R9" s="51"/>
    </row>
    <row r="10" spans="1:18" x14ac:dyDescent="0.25">
      <c r="A10" s="26" t="s">
        <v>29</v>
      </c>
      <c r="B10" s="26"/>
      <c r="C10" s="26"/>
      <c r="D10" s="26"/>
      <c r="E10" s="26"/>
      <c r="F10" s="51">
        <f>F9*(1+Rates!$F$7)</f>
        <v>0</v>
      </c>
      <c r="G10" s="26"/>
      <c r="H10" s="31"/>
      <c r="I10" s="26"/>
      <c r="J10" s="26"/>
      <c r="K10" s="26"/>
      <c r="L10" s="26"/>
      <c r="M10" s="51">
        <f>M9*(1+Rates!$F$7)</f>
        <v>0</v>
      </c>
      <c r="O10" s="133"/>
      <c r="P10" s="26"/>
      <c r="Q10" s="26"/>
      <c r="R10" s="51"/>
    </row>
    <row r="11" spans="1:18" x14ac:dyDescent="0.25">
      <c r="A11" s="26" t="s">
        <v>30</v>
      </c>
      <c r="B11" s="26"/>
      <c r="C11" s="26"/>
      <c r="D11" s="26"/>
      <c r="E11" s="26"/>
      <c r="F11" s="130"/>
      <c r="G11" s="26"/>
      <c r="I11" s="26"/>
      <c r="J11" s="26"/>
      <c r="K11" s="26"/>
      <c r="L11" s="26"/>
      <c r="M11" s="130"/>
      <c r="O11" s="133"/>
      <c r="P11" s="26"/>
      <c r="Q11" s="26"/>
      <c r="R11" s="51"/>
    </row>
    <row r="12" spans="1:18" x14ac:dyDescent="0.25">
      <c r="A12" s="26" t="s">
        <v>197</v>
      </c>
      <c r="B12" s="26"/>
      <c r="C12" s="26"/>
      <c r="D12" s="26"/>
      <c r="E12" s="26"/>
      <c r="F12" s="130"/>
      <c r="G12" s="26"/>
      <c r="I12" s="26"/>
      <c r="J12" s="26"/>
      <c r="K12" s="26"/>
      <c r="L12" s="26"/>
      <c r="M12" s="130"/>
      <c r="O12" s="133"/>
      <c r="P12" s="26"/>
      <c r="Q12" s="26"/>
      <c r="R12" s="51"/>
    </row>
    <row r="13" spans="1:18" x14ac:dyDescent="0.25">
      <c r="A13" s="26" t="s">
        <v>31</v>
      </c>
      <c r="B13" s="26"/>
      <c r="C13" s="26"/>
      <c r="D13" s="26"/>
      <c r="E13" s="26"/>
      <c r="F13" s="130"/>
      <c r="G13" s="26"/>
      <c r="H13" s="31"/>
      <c r="I13" s="26"/>
      <c r="J13" s="26"/>
      <c r="K13" s="26"/>
      <c r="L13" s="26"/>
      <c r="M13" s="130"/>
      <c r="O13" s="133"/>
      <c r="P13" s="26"/>
      <c r="Q13" s="26"/>
      <c r="R13" s="51"/>
    </row>
    <row r="14" spans="1:18" x14ac:dyDescent="0.25">
      <c r="A14" s="33" t="s">
        <v>32</v>
      </c>
      <c r="B14" s="26"/>
      <c r="C14" s="26"/>
      <c r="D14" s="26"/>
      <c r="E14" s="26"/>
      <c r="F14" s="51">
        <f>SUM(F10:F13)</f>
        <v>0</v>
      </c>
      <c r="G14" s="26"/>
      <c r="H14" s="31"/>
      <c r="I14" s="26"/>
      <c r="J14" s="26"/>
      <c r="K14" s="26"/>
      <c r="L14" s="26"/>
      <c r="M14" s="51">
        <f>SUM(M10:M13)</f>
        <v>0</v>
      </c>
      <c r="O14" s="133"/>
      <c r="P14" s="26"/>
      <c r="Q14" s="26"/>
      <c r="R14" s="51"/>
    </row>
    <row r="15" spans="1:18" x14ac:dyDescent="0.25">
      <c r="A15" s="33"/>
      <c r="B15" s="26"/>
      <c r="C15" s="26"/>
      <c r="D15" s="26"/>
      <c r="E15" s="26"/>
      <c r="F15" s="51"/>
      <c r="G15" s="26"/>
      <c r="H15" s="31"/>
      <c r="I15" s="26"/>
      <c r="J15" s="26"/>
      <c r="K15" s="26"/>
      <c r="L15" s="26"/>
      <c r="M15" s="51"/>
      <c r="O15" s="133"/>
      <c r="P15" s="26"/>
      <c r="Q15" s="26"/>
      <c r="R15" s="51"/>
    </row>
    <row r="16" spans="1:18" x14ac:dyDescent="0.25">
      <c r="A16" s="26" t="s">
        <v>33</v>
      </c>
      <c r="B16" s="26"/>
      <c r="C16" s="26"/>
      <c r="D16" s="26"/>
      <c r="E16" s="26"/>
      <c r="F16" s="102">
        <f>F14*Rates!$F$8</f>
        <v>0</v>
      </c>
      <c r="G16" s="26"/>
      <c r="H16" s="31"/>
      <c r="I16" s="26"/>
      <c r="J16" s="26"/>
      <c r="K16" s="26"/>
      <c r="L16" s="26"/>
      <c r="M16" s="102">
        <f>M14*Rates!$F$8</f>
        <v>0</v>
      </c>
      <c r="O16" s="133"/>
      <c r="P16" s="26"/>
      <c r="Q16" s="26"/>
      <c r="R16" s="51"/>
    </row>
    <row r="17" spans="1:18" x14ac:dyDescent="0.25">
      <c r="A17" s="33" t="s">
        <v>34</v>
      </c>
      <c r="B17" s="31"/>
      <c r="C17" s="31"/>
      <c r="D17" s="31"/>
      <c r="E17" s="31"/>
      <c r="F17" s="99">
        <f>SUM(F14:F16)</f>
        <v>0</v>
      </c>
      <c r="G17" s="31"/>
      <c r="H17" s="31"/>
      <c r="I17" s="31"/>
      <c r="J17" s="31"/>
      <c r="K17" s="31"/>
      <c r="L17" s="31"/>
      <c r="M17" s="99">
        <f>SUM(M14:M16)</f>
        <v>0</v>
      </c>
      <c r="O17" s="133"/>
      <c r="P17" s="31"/>
      <c r="Q17" s="31"/>
      <c r="R17" s="99"/>
    </row>
    <row r="18" spans="1:18" x14ac:dyDescent="0.25">
      <c r="A18" s="26"/>
      <c r="B18" s="26"/>
      <c r="C18" s="26"/>
      <c r="D18" s="26"/>
      <c r="E18" s="26"/>
      <c r="F18" s="51"/>
      <c r="G18" s="26"/>
      <c r="H18" s="31"/>
      <c r="I18" s="26"/>
      <c r="J18" s="26"/>
      <c r="K18" s="26"/>
      <c r="L18" s="26"/>
      <c r="M18" s="51"/>
      <c r="O18" s="133"/>
      <c r="P18" s="26"/>
      <c r="Q18" s="26"/>
      <c r="R18" s="51"/>
    </row>
    <row r="19" spans="1:18" x14ac:dyDescent="0.25">
      <c r="A19" s="26" t="s">
        <v>16</v>
      </c>
      <c r="B19" s="26"/>
      <c r="C19" s="26"/>
      <c r="D19" s="26"/>
      <c r="E19" s="26"/>
      <c r="F19" s="102">
        <f>F17*Rates!$F$9</f>
        <v>0</v>
      </c>
      <c r="G19" s="26"/>
      <c r="H19" s="31"/>
      <c r="I19" s="26"/>
      <c r="J19" s="26"/>
      <c r="K19" s="26"/>
      <c r="L19" s="26"/>
      <c r="M19" s="102">
        <f>M17*Rates!$F$9</f>
        <v>0</v>
      </c>
      <c r="O19" s="133"/>
      <c r="P19" s="26"/>
      <c r="Q19" s="26"/>
      <c r="R19" s="51"/>
    </row>
    <row r="20" spans="1:18" x14ac:dyDescent="0.25">
      <c r="A20" s="33" t="s">
        <v>35</v>
      </c>
      <c r="B20" s="26"/>
      <c r="C20" s="26"/>
      <c r="D20" s="26"/>
      <c r="E20" s="26"/>
      <c r="F20" s="103">
        <f>SUM(F17:F19)</f>
        <v>0</v>
      </c>
      <c r="G20" s="107"/>
      <c r="H20" s="31"/>
      <c r="I20" s="26"/>
      <c r="J20" s="26"/>
      <c r="K20" s="26"/>
      <c r="L20" s="26"/>
      <c r="M20" s="103">
        <f>SUM(M17:M19)</f>
        <v>0</v>
      </c>
      <c r="O20" s="133"/>
      <c r="P20" s="26"/>
      <c r="Q20" s="26"/>
      <c r="R20" s="111"/>
    </row>
    <row r="21" spans="1:18" x14ac:dyDescent="0.25">
      <c r="A21" s="26" t="s">
        <v>36</v>
      </c>
      <c r="B21" s="31"/>
      <c r="C21" s="31"/>
      <c r="D21" s="31"/>
      <c r="E21" s="136">
        <v>2</v>
      </c>
      <c r="F21" s="99"/>
      <c r="G21" s="107"/>
      <c r="H21" s="31"/>
      <c r="I21" s="31"/>
      <c r="J21" s="31"/>
      <c r="K21" s="31"/>
      <c r="L21" s="136">
        <v>0</v>
      </c>
      <c r="M21" s="99"/>
      <c r="O21" s="133"/>
    </row>
    <row r="22" spans="1:18" ht="16.5" thickBot="1" x14ac:dyDescent="0.3">
      <c r="A22" s="33" t="s">
        <v>37</v>
      </c>
      <c r="B22" s="31"/>
      <c r="C22" s="31"/>
      <c r="D22" s="31"/>
      <c r="E22" s="31"/>
      <c r="F22" s="131">
        <f>F20*E21</f>
        <v>0</v>
      </c>
      <c r="G22" s="107"/>
      <c r="H22" s="31"/>
      <c r="I22" s="31"/>
      <c r="J22" s="31"/>
      <c r="K22" s="31"/>
      <c r="L22" s="31"/>
      <c r="M22" s="131">
        <f>M20*L21</f>
        <v>0</v>
      </c>
      <c r="O22" s="134">
        <f>F22+M22</f>
        <v>0</v>
      </c>
    </row>
    <row r="23" spans="1:18" ht="16.5" thickTop="1" x14ac:dyDescent="0.25">
      <c r="A23" s="31"/>
      <c r="B23" s="26"/>
      <c r="C23" s="31"/>
      <c r="D23" s="106"/>
      <c r="E23" s="31"/>
      <c r="F23" s="99"/>
      <c r="G23" s="107"/>
      <c r="H23" s="31"/>
    </row>
    <row r="24" spans="1:18" x14ac:dyDescent="0.25">
      <c r="A24" s="12" t="s">
        <v>38</v>
      </c>
      <c r="F24" s="104"/>
      <c r="G24"/>
    </row>
    <row r="25" spans="1:18" x14ac:dyDescent="0.25">
      <c r="A25" s="229"/>
      <c r="B25" s="229"/>
      <c r="C25" s="229"/>
      <c r="D25" s="229"/>
      <c r="E25" s="229"/>
      <c r="F25" s="229"/>
      <c r="G25" s="229"/>
    </row>
    <row r="26" spans="1:18" x14ac:dyDescent="0.25">
      <c r="A26" s="229"/>
      <c r="B26" s="229"/>
      <c r="C26" s="229"/>
      <c r="D26" s="229"/>
      <c r="E26" s="229"/>
      <c r="F26" s="229"/>
      <c r="G26" s="229"/>
    </row>
    <row r="27" spans="1:18" x14ac:dyDescent="0.25">
      <c r="A27" s="229"/>
      <c r="B27" s="229"/>
      <c r="C27" s="229"/>
      <c r="D27" s="229"/>
      <c r="E27" s="229"/>
      <c r="F27" s="229"/>
      <c r="G27" s="229"/>
    </row>
    <row r="28" spans="1:18" x14ac:dyDescent="0.25">
      <c r="A28" s="229"/>
      <c r="B28" s="229"/>
      <c r="C28" s="229"/>
      <c r="D28" s="229"/>
      <c r="E28" s="229"/>
      <c r="F28" s="229"/>
      <c r="G28" s="229"/>
    </row>
    <row r="29" spans="1:18" x14ac:dyDescent="0.25">
      <c r="A29" s="229"/>
      <c r="B29" s="229"/>
      <c r="C29" s="229"/>
      <c r="D29" s="229"/>
      <c r="E29" s="229"/>
      <c r="F29" s="229"/>
      <c r="G29" s="229"/>
    </row>
    <row r="30" spans="1:18" x14ac:dyDescent="0.25">
      <c r="A30" s="229"/>
      <c r="B30" s="229"/>
      <c r="C30" s="229"/>
      <c r="D30" s="229"/>
      <c r="E30" s="229"/>
      <c r="F30" s="229"/>
      <c r="G30" s="229"/>
    </row>
    <row r="31" spans="1:18" x14ac:dyDescent="0.25">
      <c r="A31" s="229"/>
      <c r="B31" s="229"/>
      <c r="C31" s="229"/>
      <c r="D31" s="229"/>
      <c r="E31" s="229"/>
      <c r="F31" s="229"/>
      <c r="G31" s="229"/>
    </row>
    <row r="32" spans="1:18" x14ac:dyDescent="0.25">
      <c r="A32" s="229"/>
      <c r="B32" s="229"/>
      <c r="C32" s="229"/>
      <c r="D32" s="229"/>
      <c r="E32" s="229"/>
      <c r="F32" s="229"/>
      <c r="G32" s="229"/>
    </row>
    <row r="33" spans="1:7" x14ac:dyDescent="0.25">
      <c r="A33" s="229"/>
      <c r="B33" s="229"/>
      <c r="C33" s="229"/>
      <c r="D33" s="229"/>
      <c r="E33" s="229"/>
      <c r="F33" s="229"/>
      <c r="G33" s="229"/>
    </row>
    <row r="34" spans="1:7" x14ac:dyDescent="0.25">
      <c r="F34" s="104"/>
      <c r="G34"/>
    </row>
  </sheetData>
  <mergeCells count="3">
    <mergeCell ref="B3:F3"/>
    <mergeCell ref="I3:M3"/>
    <mergeCell ref="A25:G3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22441-9423-1C46-9F8C-DF4C508D5E84}">
  <dimension ref="A1:O33"/>
  <sheetViews>
    <sheetView showGridLines="0" workbookViewId="0">
      <pane xSplit="1" topLeftCell="B1" activePane="topRight" state="frozen"/>
      <selection activeCell="K34" sqref="K34"/>
      <selection pane="topRight" activeCell="B19" sqref="B19"/>
    </sheetView>
  </sheetViews>
  <sheetFormatPr defaultColWidth="11" defaultRowHeight="15.75" x14ac:dyDescent="0.25"/>
  <cols>
    <col min="1" max="1" width="42" customWidth="1"/>
    <col min="2" max="2" width="15" bestFit="1" customWidth="1"/>
    <col min="6" max="6" width="10.875" style="104"/>
    <col min="15" max="15" width="18.375" customWidth="1"/>
  </cols>
  <sheetData>
    <row r="1" spans="1:15" x14ac:dyDescent="0.25">
      <c r="A1" s="98" t="s">
        <v>45</v>
      </c>
      <c r="B1" s="31"/>
      <c r="C1" s="31"/>
      <c r="D1" s="31"/>
      <c r="E1" s="31" t="s">
        <v>46</v>
      </c>
      <c r="F1" s="99"/>
      <c r="G1" s="31"/>
    </row>
    <row r="2" spans="1:15" x14ac:dyDescent="0.25">
      <c r="A2" s="31"/>
      <c r="B2" s="31"/>
      <c r="C2" s="31"/>
      <c r="D2" s="31"/>
      <c r="E2" s="31"/>
      <c r="F2" s="99"/>
      <c r="G2" s="31"/>
    </row>
    <row r="3" spans="1:15" x14ac:dyDescent="0.25">
      <c r="A3" s="26"/>
      <c r="B3" s="228" t="s">
        <v>190</v>
      </c>
      <c r="C3" s="228"/>
      <c r="D3" s="228"/>
      <c r="E3" s="228"/>
      <c r="F3" s="228"/>
      <c r="G3" s="26"/>
      <c r="H3" s="31"/>
      <c r="I3" s="228" t="s">
        <v>187</v>
      </c>
      <c r="J3" s="228"/>
      <c r="K3" s="228"/>
      <c r="L3" s="228"/>
      <c r="M3" s="228"/>
      <c r="O3" s="135" t="s">
        <v>43</v>
      </c>
    </row>
    <row r="4" spans="1:15" x14ac:dyDescent="0.25">
      <c r="A4" s="26" t="s">
        <v>19</v>
      </c>
      <c r="B4" s="29" t="s">
        <v>20</v>
      </c>
      <c r="C4" s="30" t="s">
        <v>21</v>
      </c>
      <c r="D4" s="30" t="s">
        <v>22</v>
      </c>
      <c r="E4" s="30"/>
      <c r="F4" s="100"/>
      <c r="G4" s="26"/>
      <c r="H4" s="31"/>
      <c r="I4" s="29" t="s">
        <v>20</v>
      </c>
      <c r="J4" s="30" t="s">
        <v>21</v>
      </c>
      <c r="K4" s="30" t="s">
        <v>22</v>
      </c>
      <c r="L4" s="30"/>
      <c r="M4" s="100"/>
      <c r="O4" s="133"/>
    </row>
    <row r="5" spans="1:15" x14ac:dyDescent="0.25">
      <c r="A5" s="29" t="s">
        <v>24</v>
      </c>
      <c r="B5" s="127"/>
      <c r="C5" s="30" t="s">
        <v>21</v>
      </c>
      <c r="D5" s="126"/>
      <c r="E5" s="30" t="s">
        <v>25</v>
      </c>
      <c r="F5" s="51">
        <f>B5*D5</f>
        <v>0</v>
      </c>
      <c r="G5" s="29"/>
      <c r="H5" s="31"/>
      <c r="I5" s="127"/>
      <c r="J5" s="30" t="s">
        <v>21</v>
      </c>
      <c r="K5" s="51">
        <f>D5</f>
        <v>0</v>
      </c>
      <c r="L5" s="30" t="s">
        <v>25</v>
      </c>
      <c r="M5" s="51">
        <f>I5*K5</f>
        <v>0</v>
      </c>
      <c r="O5" s="133"/>
    </row>
    <row r="6" spans="1:15" x14ac:dyDescent="0.25">
      <c r="A6" s="29" t="s">
        <v>26</v>
      </c>
      <c r="B6" s="127"/>
      <c r="C6" s="30" t="s">
        <v>21</v>
      </c>
      <c r="D6" s="126"/>
      <c r="E6" s="30" t="s">
        <v>25</v>
      </c>
      <c r="F6" s="102">
        <f>B6*D6</f>
        <v>0</v>
      </c>
      <c r="G6" s="29"/>
      <c r="H6" s="31"/>
      <c r="I6" s="127"/>
      <c r="J6" s="30" t="s">
        <v>21</v>
      </c>
      <c r="K6" s="51">
        <f>D6</f>
        <v>0</v>
      </c>
      <c r="L6" s="30" t="s">
        <v>25</v>
      </c>
      <c r="M6" s="102">
        <f>I6*K6</f>
        <v>0</v>
      </c>
      <c r="O6" s="133"/>
    </row>
    <row r="7" spans="1:15" x14ac:dyDescent="0.25">
      <c r="A7" s="26" t="s">
        <v>27</v>
      </c>
      <c r="B7" s="29">
        <f>SUM(B5:B6)</f>
        <v>0</v>
      </c>
      <c r="C7" s="26"/>
      <c r="D7" s="26"/>
      <c r="E7" s="26"/>
      <c r="F7" s="51">
        <f>SUM(F5:F6)</f>
        <v>0</v>
      </c>
      <c r="G7" s="26"/>
      <c r="H7" s="31"/>
      <c r="I7" s="29">
        <f>SUM(I5:I6)</f>
        <v>0</v>
      </c>
      <c r="J7" s="26"/>
      <c r="K7" s="26"/>
      <c r="L7" s="26"/>
      <c r="M7" s="51">
        <f>SUM(M5:M6)</f>
        <v>0</v>
      </c>
      <c r="O7" s="133"/>
    </row>
    <row r="8" spans="1:15" x14ac:dyDescent="0.25">
      <c r="A8" s="26"/>
      <c r="B8" s="26"/>
      <c r="C8" s="26"/>
      <c r="D8" s="26"/>
      <c r="E8" s="26"/>
      <c r="F8" s="51"/>
      <c r="G8" s="26"/>
      <c r="H8" s="31"/>
      <c r="I8" s="26"/>
      <c r="J8" s="26"/>
      <c r="K8" s="26"/>
      <c r="L8" s="26"/>
      <c r="M8" s="51"/>
      <c r="O8" s="133"/>
    </row>
    <row r="9" spans="1:15" x14ac:dyDescent="0.25">
      <c r="A9" s="26" t="s">
        <v>28</v>
      </c>
      <c r="B9" s="26"/>
      <c r="C9" s="26"/>
      <c r="D9" s="26"/>
      <c r="E9" s="26"/>
      <c r="F9" s="51">
        <f>F7*(1+Rates!$F$6)</f>
        <v>0</v>
      </c>
      <c r="G9" s="26"/>
      <c r="H9" s="31"/>
      <c r="I9" s="26"/>
      <c r="J9" s="26"/>
      <c r="K9" s="26"/>
      <c r="L9" s="26"/>
      <c r="M9" s="51">
        <f>M7*(1+Rates!$F$6)</f>
        <v>0</v>
      </c>
      <c r="O9" s="133"/>
    </row>
    <row r="10" spans="1:15" x14ac:dyDescent="0.25">
      <c r="A10" s="26" t="s">
        <v>29</v>
      </c>
      <c r="B10" s="26"/>
      <c r="C10" s="26"/>
      <c r="D10" s="26"/>
      <c r="E10" s="26"/>
      <c r="F10" s="51">
        <f>F9*(1+Rates!$F$7)</f>
        <v>0</v>
      </c>
      <c r="G10" s="26"/>
      <c r="H10" s="31"/>
      <c r="I10" s="26"/>
      <c r="J10" s="26"/>
      <c r="K10" s="26"/>
      <c r="L10" s="26"/>
      <c r="M10" s="51">
        <f>M9*(1+Rates!$F$7)</f>
        <v>0</v>
      </c>
      <c r="O10" s="133"/>
    </row>
    <row r="11" spans="1:15" x14ac:dyDescent="0.25">
      <c r="A11" s="26" t="s">
        <v>30</v>
      </c>
      <c r="B11" s="26"/>
      <c r="C11" s="26"/>
      <c r="D11" s="26"/>
      <c r="E11" s="26"/>
      <c r="F11" s="130">
        <v>0</v>
      </c>
      <c r="G11" s="26"/>
      <c r="I11" s="26"/>
      <c r="J11" s="26"/>
      <c r="K11" s="26"/>
      <c r="L11" s="26"/>
      <c r="M11" s="130">
        <v>0</v>
      </c>
      <c r="O11" s="133"/>
    </row>
    <row r="12" spans="1:15" x14ac:dyDescent="0.25">
      <c r="A12" s="26" t="s">
        <v>197</v>
      </c>
      <c r="B12" s="26"/>
      <c r="C12" s="26"/>
      <c r="D12" s="26"/>
      <c r="E12" s="26"/>
      <c r="F12" s="130"/>
      <c r="G12" s="26"/>
      <c r="I12" s="26"/>
      <c r="J12" s="26"/>
      <c r="K12" s="26"/>
      <c r="L12" s="26"/>
      <c r="M12" s="130"/>
      <c r="O12" s="133"/>
    </row>
    <row r="13" spans="1:15" x14ac:dyDescent="0.25">
      <c r="A13" s="26" t="s">
        <v>31</v>
      </c>
      <c r="B13" s="26"/>
      <c r="C13" s="26"/>
      <c r="D13" s="26"/>
      <c r="E13" s="26"/>
      <c r="F13" s="130">
        <v>0</v>
      </c>
      <c r="G13" s="26"/>
      <c r="H13" s="31"/>
      <c r="I13" s="26"/>
      <c r="J13" s="26"/>
      <c r="K13" s="26"/>
      <c r="L13" s="26"/>
      <c r="M13" s="130">
        <v>0</v>
      </c>
      <c r="O13" s="133"/>
    </row>
    <row r="14" spans="1:15" x14ac:dyDescent="0.25">
      <c r="A14" s="33" t="s">
        <v>32</v>
      </c>
      <c r="B14" s="26"/>
      <c r="C14" s="26"/>
      <c r="D14" s="26"/>
      <c r="E14" s="26"/>
      <c r="F14" s="51">
        <f>SUM(F10:F13)</f>
        <v>0</v>
      </c>
      <c r="G14" s="26"/>
      <c r="H14" s="31"/>
      <c r="I14" s="26"/>
      <c r="J14" s="26"/>
      <c r="K14" s="26"/>
      <c r="L14" s="26"/>
      <c r="M14" s="51">
        <f>SUM(M10:M13)</f>
        <v>0</v>
      </c>
      <c r="O14" s="133"/>
    </row>
    <row r="15" spans="1:15" x14ac:dyDescent="0.25">
      <c r="A15" s="33"/>
      <c r="B15" s="26"/>
      <c r="C15" s="26"/>
      <c r="D15" s="26"/>
      <c r="E15" s="26"/>
      <c r="F15" s="51"/>
      <c r="G15" s="26"/>
      <c r="H15" s="31"/>
      <c r="I15" s="26"/>
      <c r="J15" s="26"/>
      <c r="K15" s="26"/>
      <c r="L15" s="26"/>
      <c r="M15" s="51"/>
      <c r="O15" s="133"/>
    </row>
    <row r="16" spans="1:15" x14ac:dyDescent="0.25">
      <c r="A16" s="26" t="s">
        <v>33</v>
      </c>
      <c r="B16" s="26"/>
      <c r="C16" s="26"/>
      <c r="D16" s="26"/>
      <c r="E16" s="26"/>
      <c r="F16" s="102">
        <f>F14*Rates!$F$8</f>
        <v>0</v>
      </c>
      <c r="G16" s="26"/>
      <c r="H16" s="31"/>
      <c r="I16" s="26"/>
      <c r="J16" s="26"/>
      <c r="K16" s="26"/>
      <c r="L16" s="26"/>
      <c r="M16" s="102">
        <f>M14*Rates!$F$8</f>
        <v>0</v>
      </c>
      <c r="O16" s="133"/>
    </row>
    <row r="17" spans="1:15" x14ac:dyDescent="0.25">
      <c r="A17" s="33" t="s">
        <v>34</v>
      </c>
      <c r="B17" s="31"/>
      <c r="C17" s="31"/>
      <c r="D17" s="31"/>
      <c r="E17" s="31"/>
      <c r="F17" s="99">
        <f>SUM(F14:F16)</f>
        <v>0</v>
      </c>
      <c r="G17" s="31"/>
      <c r="H17" s="31"/>
      <c r="I17" s="31"/>
      <c r="J17" s="31"/>
      <c r="K17" s="31"/>
      <c r="L17" s="31"/>
      <c r="M17" s="99">
        <f>SUM(M14:M16)</f>
        <v>0</v>
      </c>
      <c r="O17" s="133"/>
    </row>
    <row r="18" spans="1:15" x14ac:dyDescent="0.25">
      <c r="A18" s="26"/>
      <c r="B18" s="26"/>
      <c r="C18" s="26"/>
      <c r="D18" s="26"/>
      <c r="E18" s="26"/>
      <c r="F18" s="51"/>
      <c r="G18" s="26"/>
      <c r="H18" s="31"/>
      <c r="I18" s="26"/>
      <c r="J18" s="26"/>
      <c r="K18" s="26"/>
      <c r="L18" s="26"/>
      <c r="M18" s="51"/>
      <c r="O18" s="133"/>
    </row>
    <row r="19" spans="1:15" x14ac:dyDescent="0.25">
      <c r="A19" s="26" t="s">
        <v>16</v>
      </c>
      <c r="B19" s="26"/>
      <c r="C19" s="26"/>
      <c r="D19" s="26"/>
      <c r="E19" s="26"/>
      <c r="F19" s="102">
        <f>F17*Rates!$F$9</f>
        <v>0</v>
      </c>
      <c r="G19" s="26"/>
      <c r="H19" s="31"/>
      <c r="I19" s="26"/>
      <c r="J19" s="26"/>
      <c r="K19" s="26"/>
      <c r="L19" s="26"/>
      <c r="M19" s="102">
        <f>M17*Rates!$F$9</f>
        <v>0</v>
      </c>
      <c r="O19" s="133"/>
    </row>
    <row r="20" spans="1:15" x14ac:dyDescent="0.25">
      <c r="A20" s="33" t="s">
        <v>35</v>
      </c>
      <c r="B20" s="26"/>
      <c r="C20" s="26"/>
      <c r="D20" s="26"/>
      <c r="E20" s="26"/>
      <c r="F20" s="103">
        <f>SUM(F17:F19)</f>
        <v>0</v>
      </c>
      <c r="G20" s="107"/>
      <c r="H20" s="31"/>
      <c r="I20" s="26"/>
      <c r="J20" s="26"/>
      <c r="K20" s="26"/>
      <c r="L20" s="26"/>
      <c r="M20" s="103">
        <f>SUM(M17:M19)</f>
        <v>0</v>
      </c>
      <c r="O20" s="133"/>
    </row>
    <row r="21" spans="1:15" x14ac:dyDescent="0.25">
      <c r="A21" s="26" t="s">
        <v>36</v>
      </c>
      <c r="B21" s="31"/>
      <c r="C21" s="31"/>
      <c r="D21" s="31"/>
      <c r="E21" s="136">
        <v>6</v>
      </c>
      <c r="F21" s="99"/>
      <c r="G21" s="107"/>
      <c r="H21" s="31"/>
      <c r="I21" s="31"/>
      <c r="J21" s="31"/>
      <c r="K21" s="31"/>
      <c r="L21" s="136">
        <v>1</v>
      </c>
      <c r="M21" s="99"/>
      <c r="O21" s="133"/>
    </row>
    <row r="22" spans="1:15" ht="16.5" thickBot="1" x14ac:dyDescent="0.3">
      <c r="A22" s="33" t="s">
        <v>37</v>
      </c>
      <c r="B22" s="31"/>
      <c r="C22" s="31"/>
      <c r="D22" s="31"/>
      <c r="E22" s="31"/>
      <c r="F22" s="131">
        <f>F20*E21</f>
        <v>0</v>
      </c>
      <c r="G22" s="107"/>
      <c r="H22" s="31"/>
      <c r="I22" s="31"/>
      <c r="J22" s="31"/>
      <c r="K22" s="31"/>
      <c r="L22" s="31"/>
      <c r="M22" s="131">
        <f>M20*L21</f>
        <v>0</v>
      </c>
      <c r="O22" s="134">
        <f>F22+M22</f>
        <v>0</v>
      </c>
    </row>
    <row r="23" spans="1:15" ht="16.5" thickTop="1" x14ac:dyDescent="0.25">
      <c r="A23" s="31"/>
      <c r="B23" s="26"/>
      <c r="C23" s="31"/>
      <c r="D23" s="106"/>
      <c r="E23" s="31"/>
      <c r="F23" s="99"/>
      <c r="G23" s="107"/>
      <c r="H23" s="31"/>
    </row>
    <row r="24" spans="1:15" x14ac:dyDescent="0.25">
      <c r="A24" s="12" t="s">
        <v>38</v>
      </c>
    </row>
    <row r="25" spans="1:15" x14ac:dyDescent="0.25">
      <c r="A25" s="229"/>
      <c r="B25" s="229"/>
      <c r="C25" s="229"/>
      <c r="D25" s="229"/>
      <c r="E25" s="229"/>
      <c r="F25" s="229"/>
      <c r="G25" s="229"/>
    </row>
    <row r="26" spans="1:15" x14ac:dyDescent="0.25">
      <c r="A26" s="229"/>
      <c r="B26" s="229"/>
      <c r="C26" s="229"/>
      <c r="D26" s="229"/>
      <c r="E26" s="229"/>
      <c r="F26" s="229"/>
      <c r="G26" s="229"/>
    </row>
    <row r="27" spans="1:15" x14ac:dyDescent="0.25">
      <c r="A27" s="229"/>
      <c r="B27" s="229"/>
      <c r="C27" s="229"/>
      <c r="D27" s="229"/>
      <c r="E27" s="229"/>
      <c r="F27" s="229"/>
      <c r="G27" s="229"/>
    </row>
    <row r="28" spans="1:15" x14ac:dyDescent="0.25">
      <c r="A28" s="229"/>
      <c r="B28" s="229"/>
      <c r="C28" s="229"/>
      <c r="D28" s="229"/>
      <c r="E28" s="229"/>
      <c r="F28" s="229"/>
      <c r="G28" s="229"/>
    </row>
    <row r="29" spans="1:15" x14ac:dyDescent="0.25">
      <c r="A29" s="229"/>
      <c r="B29" s="229"/>
      <c r="C29" s="229"/>
      <c r="D29" s="229"/>
      <c r="E29" s="229"/>
      <c r="F29" s="229"/>
      <c r="G29" s="229"/>
    </row>
    <row r="30" spans="1:15" x14ac:dyDescent="0.25">
      <c r="A30" s="229"/>
      <c r="B30" s="229"/>
      <c r="C30" s="229"/>
      <c r="D30" s="229"/>
      <c r="E30" s="229"/>
      <c r="F30" s="229"/>
      <c r="G30" s="229"/>
    </row>
    <row r="31" spans="1:15" x14ac:dyDescent="0.25">
      <c r="A31" s="229"/>
      <c r="B31" s="229"/>
      <c r="C31" s="229"/>
      <c r="D31" s="229"/>
      <c r="E31" s="229"/>
      <c r="F31" s="229"/>
      <c r="G31" s="229"/>
    </row>
    <row r="32" spans="1:15" x14ac:dyDescent="0.25">
      <c r="A32" s="229"/>
      <c r="B32" s="229"/>
      <c r="C32" s="229"/>
      <c r="D32" s="229"/>
      <c r="E32" s="229"/>
      <c r="F32" s="229"/>
      <c r="G32" s="229"/>
    </row>
    <row r="33" spans="1:7" x14ac:dyDescent="0.25">
      <c r="A33" s="229"/>
      <c r="B33" s="229"/>
      <c r="C33" s="229"/>
      <c r="D33" s="229"/>
      <c r="E33" s="229"/>
      <c r="F33" s="229"/>
      <c r="G33" s="229"/>
    </row>
  </sheetData>
  <mergeCells count="3">
    <mergeCell ref="B3:F3"/>
    <mergeCell ref="I3:M3"/>
    <mergeCell ref="A25:G3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AD89E-7BA0-1048-BECE-E2924FA170E1}">
  <dimension ref="A1:O33"/>
  <sheetViews>
    <sheetView showGridLines="0" workbookViewId="0">
      <selection activeCell="A19" sqref="A19"/>
    </sheetView>
  </sheetViews>
  <sheetFormatPr defaultColWidth="11" defaultRowHeight="15.75" x14ac:dyDescent="0.25"/>
  <cols>
    <col min="1" max="1" width="47.125" customWidth="1"/>
    <col min="2" max="2" width="15" bestFit="1" customWidth="1"/>
    <col min="6" max="6" width="10.875" style="104"/>
    <col min="15" max="15" width="18.75" customWidth="1"/>
  </cols>
  <sheetData>
    <row r="1" spans="1:15" x14ac:dyDescent="0.25">
      <c r="A1" s="98" t="s">
        <v>47</v>
      </c>
      <c r="B1" s="31"/>
      <c r="C1" s="31"/>
      <c r="D1" s="31"/>
      <c r="E1" s="31" t="s">
        <v>46</v>
      </c>
      <c r="F1" s="99"/>
    </row>
    <row r="2" spans="1:15" x14ac:dyDescent="0.25">
      <c r="A2" s="31"/>
      <c r="B2" s="31"/>
      <c r="C2" s="31"/>
      <c r="D2" s="31"/>
      <c r="E2" s="31"/>
      <c r="F2" s="99"/>
    </row>
    <row r="3" spans="1:15" x14ac:dyDescent="0.25">
      <c r="A3" s="26"/>
      <c r="B3" s="228" t="s">
        <v>190</v>
      </c>
      <c r="C3" s="228"/>
      <c r="D3" s="228"/>
      <c r="E3" s="228"/>
      <c r="F3" s="228"/>
      <c r="G3" s="26"/>
      <c r="H3" s="31"/>
      <c r="I3" s="228" t="s">
        <v>187</v>
      </c>
      <c r="J3" s="228"/>
      <c r="K3" s="228"/>
      <c r="L3" s="228"/>
      <c r="M3" s="228"/>
      <c r="O3" s="135" t="s">
        <v>43</v>
      </c>
    </row>
    <row r="4" spans="1:15" x14ac:dyDescent="0.25">
      <c r="A4" s="26" t="s">
        <v>19</v>
      </c>
      <c r="B4" s="29" t="s">
        <v>20</v>
      </c>
      <c r="C4" s="30" t="s">
        <v>21</v>
      </c>
      <c r="D4" s="30" t="s">
        <v>22</v>
      </c>
      <c r="E4" s="30"/>
      <c r="F4" s="100"/>
      <c r="G4" s="26"/>
      <c r="H4" s="31"/>
      <c r="I4" s="29" t="s">
        <v>20</v>
      </c>
      <c r="J4" s="30" t="s">
        <v>21</v>
      </c>
      <c r="K4" s="30" t="s">
        <v>22</v>
      </c>
      <c r="L4" s="30"/>
      <c r="M4" s="100"/>
      <c r="O4" s="133"/>
    </row>
    <row r="5" spans="1:15" x14ac:dyDescent="0.25">
      <c r="A5" s="29" t="s">
        <v>24</v>
      </c>
      <c r="B5" s="127"/>
      <c r="C5" s="30" t="s">
        <v>21</v>
      </c>
      <c r="D5" s="126"/>
      <c r="E5" s="30" t="s">
        <v>25</v>
      </c>
      <c r="F5" s="51">
        <f>B5*D5</f>
        <v>0</v>
      </c>
      <c r="G5" s="29"/>
      <c r="H5" s="31"/>
      <c r="I5" s="127"/>
      <c r="J5" s="30" t="s">
        <v>21</v>
      </c>
      <c r="K5" s="51">
        <f>D5</f>
        <v>0</v>
      </c>
      <c r="L5" s="30" t="s">
        <v>25</v>
      </c>
      <c r="M5" s="51">
        <f>I5*K5</f>
        <v>0</v>
      </c>
      <c r="O5" s="133"/>
    </row>
    <row r="6" spans="1:15" x14ac:dyDescent="0.25">
      <c r="A6" s="29" t="s">
        <v>26</v>
      </c>
      <c r="B6" s="127"/>
      <c r="C6" s="30" t="s">
        <v>21</v>
      </c>
      <c r="D6" s="126"/>
      <c r="E6" s="30" t="s">
        <v>25</v>
      </c>
      <c r="F6" s="102">
        <f>B6*D6</f>
        <v>0</v>
      </c>
      <c r="G6" s="29"/>
      <c r="H6" s="31"/>
      <c r="I6" s="127"/>
      <c r="J6" s="30" t="s">
        <v>21</v>
      </c>
      <c r="K6" s="51">
        <f>D6</f>
        <v>0</v>
      </c>
      <c r="L6" s="30" t="s">
        <v>25</v>
      </c>
      <c r="M6" s="102">
        <f>I6*K6</f>
        <v>0</v>
      </c>
      <c r="O6" s="133"/>
    </row>
    <row r="7" spans="1:15" x14ac:dyDescent="0.25">
      <c r="A7" s="26" t="s">
        <v>27</v>
      </c>
      <c r="B7" s="29">
        <f>SUM(B5:B6)</f>
        <v>0</v>
      </c>
      <c r="C7" s="26"/>
      <c r="D7" s="26"/>
      <c r="E7" s="26"/>
      <c r="F7" s="51">
        <f>SUM(F5:F6)</f>
        <v>0</v>
      </c>
      <c r="G7" s="26"/>
      <c r="H7" s="31"/>
      <c r="I7" s="29">
        <f>SUM(I5:I6)</f>
        <v>0</v>
      </c>
      <c r="J7" s="26"/>
      <c r="K7" s="26"/>
      <c r="L7" s="26"/>
      <c r="M7" s="51">
        <f>SUM(M5:M6)</f>
        <v>0</v>
      </c>
      <c r="O7" s="133"/>
    </row>
    <row r="8" spans="1:15" x14ac:dyDescent="0.25">
      <c r="A8" s="26"/>
      <c r="B8" s="26"/>
      <c r="C8" s="26"/>
      <c r="D8" s="26"/>
      <c r="E8" s="26"/>
      <c r="F8" s="51"/>
      <c r="G8" s="26"/>
      <c r="H8" s="31"/>
      <c r="I8" s="26"/>
      <c r="J8" s="26"/>
      <c r="K8" s="26"/>
      <c r="L8" s="26"/>
      <c r="M8" s="51"/>
      <c r="O8" s="133"/>
    </row>
    <row r="9" spans="1:15" x14ac:dyDescent="0.25">
      <c r="A9" s="26" t="s">
        <v>28</v>
      </c>
      <c r="B9" s="26"/>
      <c r="C9" s="26"/>
      <c r="D9" s="26"/>
      <c r="E9" s="26"/>
      <c r="F9" s="51">
        <f>F7*(1+Rates!$F$6)</f>
        <v>0</v>
      </c>
      <c r="G9" s="26"/>
      <c r="H9" s="31"/>
      <c r="I9" s="26"/>
      <c r="J9" s="26"/>
      <c r="K9" s="26"/>
      <c r="L9" s="26"/>
      <c r="M9" s="51">
        <f>M7*(1+Rates!$F$6)</f>
        <v>0</v>
      </c>
      <c r="O9" s="133"/>
    </row>
    <row r="10" spans="1:15" x14ac:dyDescent="0.25">
      <c r="A10" s="26" t="s">
        <v>29</v>
      </c>
      <c r="B10" s="26"/>
      <c r="C10" s="26"/>
      <c r="D10" s="26"/>
      <c r="E10" s="26"/>
      <c r="F10" s="51">
        <f>F9*(1+Rates!$F$7)</f>
        <v>0</v>
      </c>
      <c r="G10" s="26"/>
      <c r="H10" s="31"/>
      <c r="I10" s="26"/>
      <c r="J10" s="26"/>
      <c r="K10" s="26"/>
      <c r="L10" s="26"/>
      <c r="M10" s="51">
        <f>M9*(1+Rates!$F$7)</f>
        <v>0</v>
      </c>
      <c r="O10" s="133"/>
    </row>
    <row r="11" spans="1:15" x14ac:dyDescent="0.25">
      <c r="A11" s="26" t="s">
        <v>30</v>
      </c>
      <c r="B11" s="26"/>
      <c r="C11" s="26"/>
      <c r="D11" s="26"/>
      <c r="E11" s="26"/>
      <c r="F11" s="130"/>
      <c r="G11" s="26"/>
      <c r="I11" s="26"/>
      <c r="J11" s="26"/>
      <c r="K11" s="26"/>
      <c r="L11" s="26"/>
      <c r="M11" s="130"/>
      <c r="O11" s="133"/>
    </row>
    <row r="12" spans="1:15" x14ac:dyDescent="0.25">
      <c r="A12" s="26" t="s">
        <v>197</v>
      </c>
      <c r="B12" s="26"/>
      <c r="C12" s="26"/>
      <c r="D12" s="26"/>
      <c r="E12" s="26"/>
      <c r="F12" s="130"/>
      <c r="G12" s="26"/>
      <c r="I12" s="26"/>
      <c r="J12" s="26"/>
      <c r="K12" s="26"/>
      <c r="L12" s="26"/>
      <c r="M12" s="130"/>
      <c r="O12" s="133"/>
    </row>
    <row r="13" spans="1:15" x14ac:dyDescent="0.25">
      <c r="A13" s="26" t="s">
        <v>31</v>
      </c>
      <c r="B13" s="26"/>
      <c r="C13" s="26"/>
      <c r="D13" s="26"/>
      <c r="E13" s="26"/>
      <c r="F13" s="130"/>
      <c r="G13" s="26"/>
      <c r="H13" s="31"/>
      <c r="I13" s="26"/>
      <c r="J13" s="26"/>
      <c r="K13" s="26"/>
      <c r="L13" s="26"/>
      <c r="M13" s="130"/>
      <c r="O13" s="133"/>
    </row>
    <row r="14" spans="1:15" x14ac:dyDescent="0.25">
      <c r="A14" s="33" t="s">
        <v>32</v>
      </c>
      <c r="B14" s="26"/>
      <c r="C14" s="26"/>
      <c r="D14" s="26"/>
      <c r="E14" s="26"/>
      <c r="F14" s="51">
        <f>SUM(F10:F13)</f>
        <v>0</v>
      </c>
      <c r="G14" s="26"/>
      <c r="H14" s="31"/>
      <c r="I14" s="26"/>
      <c r="J14" s="26"/>
      <c r="K14" s="26"/>
      <c r="L14" s="26"/>
      <c r="M14" s="51">
        <f>SUM(M10:M13)</f>
        <v>0</v>
      </c>
      <c r="O14" s="133"/>
    </row>
    <row r="15" spans="1:15" x14ac:dyDescent="0.25">
      <c r="A15" s="33"/>
      <c r="B15" s="26"/>
      <c r="C15" s="26"/>
      <c r="D15" s="26"/>
      <c r="E15" s="26"/>
      <c r="F15" s="51"/>
      <c r="G15" s="26"/>
      <c r="H15" s="31"/>
      <c r="I15" s="26"/>
      <c r="J15" s="26"/>
      <c r="K15" s="26"/>
      <c r="L15" s="26"/>
      <c r="M15" s="51"/>
      <c r="O15" s="133"/>
    </row>
    <row r="16" spans="1:15" x14ac:dyDescent="0.25">
      <c r="A16" s="26" t="s">
        <v>33</v>
      </c>
      <c r="B16" s="26"/>
      <c r="C16" s="26"/>
      <c r="D16" s="26"/>
      <c r="E16" s="26"/>
      <c r="F16" s="102">
        <f>F14*Rates!$F$8</f>
        <v>0</v>
      </c>
      <c r="G16" s="26"/>
      <c r="H16" s="31"/>
      <c r="I16" s="26"/>
      <c r="J16" s="26"/>
      <c r="K16" s="26"/>
      <c r="L16" s="26"/>
      <c r="M16" s="102">
        <f>M14*Rates!$F$8</f>
        <v>0</v>
      </c>
      <c r="O16" s="133"/>
    </row>
    <row r="17" spans="1:15" x14ac:dyDescent="0.25">
      <c r="A17" s="33" t="s">
        <v>34</v>
      </c>
      <c r="B17" s="31"/>
      <c r="C17" s="31"/>
      <c r="D17" s="31"/>
      <c r="E17" s="31"/>
      <c r="F17" s="99">
        <f>SUM(F14:F16)</f>
        <v>0</v>
      </c>
      <c r="G17" s="31"/>
      <c r="H17" s="31"/>
      <c r="I17" s="31"/>
      <c r="J17" s="31"/>
      <c r="K17" s="31"/>
      <c r="L17" s="31"/>
      <c r="M17" s="99">
        <f>SUM(M14:M16)</f>
        <v>0</v>
      </c>
      <c r="O17" s="133"/>
    </row>
    <row r="18" spans="1:15" x14ac:dyDescent="0.25">
      <c r="A18" s="26"/>
      <c r="B18" s="26"/>
      <c r="C18" s="26"/>
      <c r="D18" s="26"/>
      <c r="E18" s="26"/>
      <c r="F18" s="51"/>
      <c r="G18" s="26"/>
      <c r="H18" s="31"/>
      <c r="I18" s="26"/>
      <c r="J18" s="26"/>
      <c r="K18" s="26"/>
      <c r="L18" s="26"/>
      <c r="M18" s="51"/>
      <c r="O18" s="133"/>
    </row>
    <row r="19" spans="1:15" x14ac:dyDescent="0.25">
      <c r="A19" s="26" t="s">
        <v>16</v>
      </c>
      <c r="B19" s="26"/>
      <c r="C19" s="26"/>
      <c r="D19" s="26"/>
      <c r="E19" s="26"/>
      <c r="F19" s="102">
        <f>F17*Rates!$F$9</f>
        <v>0</v>
      </c>
      <c r="G19" s="26"/>
      <c r="H19" s="31"/>
      <c r="I19" s="26"/>
      <c r="J19" s="26"/>
      <c r="K19" s="26"/>
      <c r="L19" s="26"/>
      <c r="M19" s="102">
        <f>M17*Rates!$F$9</f>
        <v>0</v>
      </c>
      <c r="O19" s="133"/>
    </row>
    <row r="20" spans="1:15" x14ac:dyDescent="0.25">
      <c r="A20" s="33" t="s">
        <v>35</v>
      </c>
      <c r="B20" s="26"/>
      <c r="C20" s="26"/>
      <c r="D20" s="26"/>
      <c r="E20" s="26"/>
      <c r="F20" s="103">
        <f>SUM(F17:F19)</f>
        <v>0</v>
      </c>
      <c r="G20" s="107"/>
      <c r="H20" s="31"/>
      <c r="I20" s="26"/>
      <c r="J20" s="26"/>
      <c r="K20" s="26"/>
      <c r="L20" s="26"/>
      <c r="M20" s="103">
        <f>SUM(M17:M19)</f>
        <v>0</v>
      </c>
      <c r="O20" s="133"/>
    </row>
    <row r="21" spans="1:15" x14ac:dyDescent="0.25">
      <c r="A21" s="26" t="s">
        <v>36</v>
      </c>
      <c r="B21" s="31"/>
      <c r="C21" s="31"/>
      <c r="D21" s="31"/>
      <c r="E21" s="136">
        <v>10</v>
      </c>
      <c r="F21" s="99"/>
      <c r="G21" s="107"/>
      <c r="H21" s="31"/>
      <c r="I21" s="31"/>
      <c r="J21" s="31"/>
      <c r="K21" s="31"/>
      <c r="L21" s="136">
        <v>2</v>
      </c>
      <c r="M21" s="99"/>
      <c r="O21" s="133"/>
    </row>
    <row r="22" spans="1:15" ht="16.5" thickBot="1" x14ac:dyDescent="0.3">
      <c r="A22" s="33" t="s">
        <v>37</v>
      </c>
      <c r="B22" s="31"/>
      <c r="C22" s="31"/>
      <c r="D22" s="31"/>
      <c r="E22" s="31"/>
      <c r="F22" s="131">
        <f>F20*E21</f>
        <v>0</v>
      </c>
      <c r="G22" s="107"/>
      <c r="H22" s="31"/>
      <c r="I22" s="31"/>
      <c r="J22" s="31"/>
      <c r="K22" s="31"/>
      <c r="L22" s="31"/>
      <c r="M22" s="131">
        <f>M20*L21</f>
        <v>0</v>
      </c>
      <c r="O22" s="134">
        <f>F22+M22</f>
        <v>0</v>
      </c>
    </row>
    <row r="23" spans="1:15" ht="16.5" thickTop="1" x14ac:dyDescent="0.25">
      <c r="A23" s="31"/>
      <c r="B23" s="26"/>
      <c r="C23" s="31"/>
      <c r="D23" s="106"/>
      <c r="E23" s="31"/>
      <c r="F23" s="99"/>
      <c r="G23" s="107"/>
      <c r="H23" s="31"/>
    </row>
    <row r="24" spans="1:15" x14ac:dyDescent="0.25">
      <c r="A24" s="12" t="s">
        <v>38</v>
      </c>
    </row>
    <row r="25" spans="1:15" x14ac:dyDescent="0.25">
      <c r="A25" s="229"/>
      <c r="B25" s="229"/>
      <c r="C25" s="229"/>
      <c r="D25" s="229"/>
      <c r="E25" s="229"/>
      <c r="F25" s="229"/>
      <c r="G25" s="229"/>
    </row>
    <row r="26" spans="1:15" x14ac:dyDescent="0.25">
      <c r="A26" s="229"/>
      <c r="B26" s="229"/>
      <c r="C26" s="229"/>
      <c r="D26" s="229"/>
      <c r="E26" s="229"/>
      <c r="F26" s="229"/>
      <c r="G26" s="229"/>
    </row>
    <row r="27" spans="1:15" x14ac:dyDescent="0.25">
      <c r="A27" s="229"/>
      <c r="B27" s="229"/>
      <c r="C27" s="229"/>
      <c r="D27" s="229"/>
      <c r="E27" s="229"/>
      <c r="F27" s="229"/>
      <c r="G27" s="229"/>
    </row>
    <row r="28" spans="1:15" x14ac:dyDescent="0.25">
      <c r="A28" s="229"/>
      <c r="B28" s="229"/>
      <c r="C28" s="229"/>
      <c r="D28" s="229"/>
      <c r="E28" s="229"/>
      <c r="F28" s="229"/>
      <c r="G28" s="229"/>
    </row>
    <row r="29" spans="1:15" x14ac:dyDescent="0.25">
      <c r="A29" s="229"/>
      <c r="B29" s="229"/>
      <c r="C29" s="229"/>
      <c r="D29" s="229"/>
      <c r="E29" s="229"/>
      <c r="F29" s="229"/>
      <c r="G29" s="229"/>
    </row>
    <row r="30" spans="1:15" x14ac:dyDescent="0.25">
      <c r="A30" s="229"/>
      <c r="B30" s="229"/>
      <c r="C30" s="229"/>
      <c r="D30" s="229"/>
      <c r="E30" s="229"/>
      <c r="F30" s="229"/>
      <c r="G30" s="229"/>
    </row>
    <row r="31" spans="1:15" x14ac:dyDescent="0.25">
      <c r="A31" s="229"/>
      <c r="B31" s="229"/>
      <c r="C31" s="229"/>
      <c r="D31" s="229"/>
      <c r="E31" s="229"/>
      <c r="F31" s="229"/>
      <c r="G31" s="229"/>
    </row>
    <row r="32" spans="1:15" x14ac:dyDescent="0.25">
      <c r="A32" s="229"/>
      <c r="B32" s="229"/>
      <c r="C32" s="229"/>
      <c r="D32" s="229"/>
      <c r="E32" s="229"/>
      <c r="F32" s="229"/>
      <c r="G32" s="229"/>
    </row>
    <row r="33" spans="1:7" x14ac:dyDescent="0.25">
      <c r="A33" s="229"/>
      <c r="B33" s="229"/>
      <c r="C33" s="229"/>
      <c r="D33" s="229"/>
      <c r="E33" s="229"/>
      <c r="F33" s="229"/>
      <c r="G33" s="229"/>
    </row>
  </sheetData>
  <mergeCells count="3">
    <mergeCell ref="B3:F3"/>
    <mergeCell ref="I3:M3"/>
    <mergeCell ref="A25:G3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C16BD-6AB4-9B49-A8E1-4B864E15DB5D}">
  <dimension ref="A1:R34"/>
  <sheetViews>
    <sheetView showGridLines="0" workbookViewId="0">
      <selection activeCell="A12" sqref="A12"/>
    </sheetView>
  </sheetViews>
  <sheetFormatPr defaultColWidth="11" defaultRowHeight="15.75" x14ac:dyDescent="0.25"/>
  <cols>
    <col min="1" max="1" width="51.375" customWidth="1"/>
    <col min="2" max="2" width="15.75" customWidth="1"/>
    <col min="6" max="6" width="11.5" style="104" bestFit="1" customWidth="1"/>
    <col min="11" max="11" width="15.125" style="104" customWidth="1"/>
    <col min="15" max="15" width="19" customWidth="1"/>
    <col min="17" max="17" width="11.5" style="104" bestFit="1" customWidth="1"/>
  </cols>
  <sheetData>
    <row r="1" spans="1:18" x14ac:dyDescent="0.25">
      <c r="A1" s="157" t="s">
        <v>173</v>
      </c>
      <c r="B1" s="31"/>
      <c r="C1" s="31"/>
      <c r="D1" s="31"/>
      <c r="E1" s="31" t="s">
        <v>46</v>
      </c>
      <c r="F1" s="99"/>
      <c r="G1" s="31"/>
      <c r="H1" s="31"/>
      <c r="I1" s="31"/>
      <c r="J1" s="31" t="s">
        <v>46</v>
      </c>
      <c r="K1" s="99"/>
      <c r="L1" s="31"/>
      <c r="M1" s="31"/>
      <c r="N1" s="31"/>
      <c r="O1" s="31"/>
      <c r="P1" s="31"/>
      <c r="Q1" s="99"/>
      <c r="R1" s="31"/>
    </row>
    <row r="2" spans="1:18" x14ac:dyDescent="0.25">
      <c r="A2" s="31"/>
      <c r="B2" s="31"/>
      <c r="C2" s="31"/>
      <c r="D2" s="31"/>
      <c r="E2" s="31"/>
      <c r="F2" s="99"/>
      <c r="G2" s="31"/>
      <c r="H2" s="31"/>
      <c r="I2" s="31"/>
      <c r="J2" s="31"/>
      <c r="K2" s="99"/>
      <c r="L2" s="31"/>
      <c r="M2" s="31"/>
      <c r="N2" s="31"/>
      <c r="O2" s="31"/>
      <c r="P2" s="31"/>
      <c r="Q2" s="99"/>
      <c r="R2" s="30"/>
    </row>
    <row r="3" spans="1:18" x14ac:dyDescent="0.25">
      <c r="A3" s="26"/>
      <c r="B3" s="228" t="s">
        <v>190</v>
      </c>
      <c r="C3" s="228"/>
      <c r="D3" s="228"/>
      <c r="E3" s="228"/>
      <c r="F3" s="228"/>
      <c r="G3" s="26"/>
      <c r="H3" s="31"/>
      <c r="I3" s="228" t="s">
        <v>187</v>
      </c>
      <c r="J3" s="228"/>
      <c r="K3" s="228"/>
      <c r="L3" s="228"/>
      <c r="M3" s="228"/>
      <c r="O3" s="135" t="s">
        <v>43</v>
      </c>
      <c r="P3" s="26"/>
      <c r="Q3" s="100"/>
      <c r="R3" s="30"/>
    </row>
    <row r="4" spans="1:18" x14ac:dyDescent="0.25">
      <c r="A4" s="26" t="s">
        <v>19</v>
      </c>
      <c r="B4" s="29" t="s">
        <v>20</v>
      </c>
      <c r="C4" s="30" t="s">
        <v>21</v>
      </c>
      <c r="D4" s="30" t="s">
        <v>22</v>
      </c>
      <c r="E4" s="30"/>
      <c r="F4" s="100"/>
      <c r="G4" s="26"/>
      <c r="H4" s="31"/>
      <c r="I4" s="29" t="s">
        <v>20</v>
      </c>
      <c r="J4" s="30" t="s">
        <v>21</v>
      </c>
      <c r="K4" s="30" t="s">
        <v>22</v>
      </c>
      <c r="L4" s="30"/>
      <c r="M4" s="100"/>
      <c r="O4" s="133"/>
      <c r="Q4"/>
    </row>
    <row r="5" spans="1:18" x14ac:dyDescent="0.25">
      <c r="A5" s="29" t="s">
        <v>24</v>
      </c>
      <c r="B5" s="127"/>
      <c r="C5" s="30" t="s">
        <v>21</v>
      </c>
      <c r="D5" s="126"/>
      <c r="E5" s="30" t="s">
        <v>25</v>
      </c>
      <c r="F5" s="51">
        <f>B5*D5</f>
        <v>0</v>
      </c>
      <c r="G5" s="29"/>
      <c r="H5" s="31"/>
      <c r="I5" s="127"/>
      <c r="J5" s="30" t="s">
        <v>21</v>
      </c>
      <c r="K5" s="51">
        <f>D5</f>
        <v>0</v>
      </c>
      <c r="L5" s="30" t="s">
        <v>25</v>
      </c>
      <c r="M5" s="51">
        <f>I5*K5</f>
        <v>0</v>
      </c>
      <c r="O5" s="133"/>
      <c r="Q5"/>
    </row>
    <row r="6" spans="1:18" x14ac:dyDescent="0.25">
      <c r="A6" s="29" t="s">
        <v>26</v>
      </c>
      <c r="B6" s="127"/>
      <c r="C6" s="30" t="s">
        <v>21</v>
      </c>
      <c r="D6" s="126"/>
      <c r="E6" s="30" t="s">
        <v>25</v>
      </c>
      <c r="F6" s="102">
        <f>B6*D6</f>
        <v>0</v>
      </c>
      <c r="G6" s="29"/>
      <c r="H6" s="31"/>
      <c r="I6" s="127"/>
      <c r="J6" s="30" t="s">
        <v>21</v>
      </c>
      <c r="K6" s="51">
        <f>D6</f>
        <v>0</v>
      </c>
      <c r="L6" s="30" t="s">
        <v>25</v>
      </c>
      <c r="M6" s="102">
        <f>I6*K6</f>
        <v>0</v>
      </c>
      <c r="O6" s="133"/>
      <c r="Q6"/>
    </row>
    <row r="7" spans="1:18" x14ac:dyDescent="0.25">
      <c r="A7" s="26" t="s">
        <v>27</v>
      </c>
      <c r="B7" s="29">
        <f>SUM(B5:B6)</f>
        <v>0</v>
      </c>
      <c r="C7" s="26"/>
      <c r="D7" s="26"/>
      <c r="E7" s="26"/>
      <c r="F7" s="51">
        <f>SUM(F5:F6)</f>
        <v>0</v>
      </c>
      <c r="G7" s="26"/>
      <c r="H7" s="31"/>
      <c r="I7" s="29">
        <f>SUM(I5:I6)</f>
        <v>0</v>
      </c>
      <c r="J7" s="26"/>
      <c r="K7" s="26"/>
      <c r="L7" s="26"/>
      <c r="M7" s="51">
        <f>SUM(M5:M6)</f>
        <v>0</v>
      </c>
      <c r="O7" s="133"/>
      <c r="Q7"/>
    </row>
    <row r="8" spans="1:18" x14ac:dyDescent="0.25">
      <c r="A8" s="26"/>
      <c r="B8" s="26"/>
      <c r="C8" s="26"/>
      <c r="D8" s="26"/>
      <c r="E8" s="26"/>
      <c r="F8" s="51"/>
      <c r="G8" s="26"/>
      <c r="H8" s="31"/>
      <c r="I8" s="26"/>
      <c r="J8" s="26"/>
      <c r="K8" s="26"/>
      <c r="L8" s="26"/>
      <c r="M8" s="51"/>
      <c r="O8" s="133"/>
      <c r="Q8"/>
    </row>
    <row r="9" spans="1:18" x14ac:dyDescent="0.25">
      <c r="A9" s="26" t="s">
        <v>28</v>
      </c>
      <c r="B9" s="26"/>
      <c r="C9" s="26"/>
      <c r="D9" s="26"/>
      <c r="E9" s="26"/>
      <c r="F9" s="51">
        <f>F7*(1+Rates!$F$6)</f>
        <v>0</v>
      </c>
      <c r="G9" s="26"/>
      <c r="H9" s="31"/>
      <c r="I9" s="26"/>
      <c r="J9" s="26"/>
      <c r="K9" s="26"/>
      <c r="L9" s="26"/>
      <c r="M9" s="51">
        <f>M7*(1+Rates!$F$6)</f>
        <v>0</v>
      </c>
      <c r="O9" s="133"/>
      <c r="Q9"/>
    </row>
    <row r="10" spans="1:18" x14ac:dyDescent="0.25">
      <c r="A10" s="26" t="s">
        <v>29</v>
      </c>
      <c r="B10" s="26"/>
      <c r="C10" s="26"/>
      <c r="D10" s="26"/>
      <c r="E10" s="26"/>
      <c r="F10" s="51">
        <f>F9*(1+Rates!$F$7)</f>
        <v>0</v>
      </c>
      <c r="G10" s="26"/>
      <c r="H10" s="31"/>
      <c r="I10" s="26"/>
      <c r="J10" s="26"/>
      <c r="K10" s="26"/>
      <c r="L10" s="26"/>
      <c r="M10" s="51">
        <f>M9*(1+Rates!$F$7)</f>
        <v>0</v>
      </c>
      <c r="O10" s="133"/>
      <c r="Q10"/>
    </row>
    <row r="11" spans="1:18" x14ac:dyDescent="0.25">
      <c r="A11" s="26" t="s">
        <v>30</v>
      </c>
      <c r="B11" s="26"/>
      <c r="C11" s="26"/>
      <c r="D11" s="26"/>
      <c r="E11" s="26"/>
      <c r="F11" s="130"/>
      <c r="G11" s="26"/>
      <c r="I11" s="26"/>
      <c r="J11" s="26"/>
      <c r="K11" s="26"/>
      <c r="L11" s="26"/>
      <c r="M11" s="130"/>
      <c r="O11" s="133"/>
      <c r="Q11"/>
    </row>
    <row r="12" spans="1:18" x14ac:dyDescent="0.25">
      <c r="A12" s="26" t="s">
        <v>197</v>
      </c>
      <c r="B12" s="26"/>
      <c r="C12" s="26"/>
      <c r="D12" s="26"/>
      <c r="E12" s="26"/>
      <c r="F12" s="130"/>
      <c r="G12" s="26"/>
      <c r="I12" s="26"/>
      <c r="J12" s="26"/>
      <c r="K12" s="26"/>
      <c r="L12" s="26"/>
      <c r="M12" s="130"/>
      <c r="O12" s="133"/>
      <c r="Q12"/>
    </row>
    <row r="13" spans="1:18" x14ac:dyDescent="0.25">
      <c r="A13" s="26" t="s">
        <v>31</v>
      </c>
      <c r="B13" s="26"/>
      <c r="C13" s="26"/>
      <c r="D13" s="26"/>
      <c r="E13" s="26"/>
      <c r="F13" s="130"/>
      <c r="G13" s="26"/>
      <c r="H13" s="31"/>
      <c r="I13" s="26"/>
      <c r="J13" s="26"/>
      <c r="K13" s="26"/>
      <c r="L13" s="26"/>
      <c r="M13" s="130"/>
      <c r="O13" s="133"/>
      <c r="Q13"/>
    </row>
    <row r="14" spans="1:18" x14ac:dyDescent="0.25">
      <c r="A14" s="33" t="s">
        <v>32</v>
      </c>
      <c r="B14" s="26"/>
      <c r="C14" s="26"/>
      <c r="D14" s="26"/>
      <c r="E14" s="26"/>
      <c r="F14" s="51">
        <f>SUM(F10:F13)</f>
        <v>0</v>
      </c>
      <c r="G14" s="26"/>
      <c r="H14" s="31"/>
      <c r="I14" s="26"/>
      <c r="J14" s="26"/>
      <c r="K14" s="26"/>
      <c r="L14" s="26"/>
      <c r="M14" s="51">
        <f>SUM(M10:M13)</f>
        <v>0</v>
      </c>
      <c r="O14" s="133"/>
      <c r="Q14"/>
    </row>
    <row r="15" spans="1:18" x14ac:dyDescent="0.25">
      <c r="A15" s="33"/>
      <c r="B15" s="26"/>
      <c r="C15" s="26"/>
      <c r="D15" s="26"/>
      <c r="E15" s="26"/>
      <c r="F15" s="51"/>
      <c r="G15" s="26"/>
      <c r="H15" s="31"/>
      <c r="I15" s="26"/>
      <c r="J15" s="26"/>
      <c r="K15" s="26"/>
      <c r="L15" s="26"/>
      <c r="M15" s="51"/>
      <c r="O15" s="133"/>
      <c r="Q15"/>
    </row>
    <row r="16" spans="1:18" x14ac:dyDescent="0.25">
      <c r="A16" s="26" t="s">
        <v>33</v>
      </c>
      <c r="B16" s="26"/>
      <c r="C16" s="26"/>
      <c r="D16" s="26"/>
      <c r="E16" s="26"/>
      <c r="F16" s="102">
        <f>F14*Rates!$F$8</f>
        <v>0</v>
      </c>
      <c r="G16" s="26"/>
      <c r="H16" s="31"/>
      <c r="I16" s="26"/>
      <c r="J16" s="26"/>
      <c r="K16" s="26"/>
      <c r="L16" s="26"/>
      <c r="M16" s="102">
        <f>M14*Rates!$F$8</f>
        <v>0</v>
      </c>
      <c r="O16" s="133"/>
      <c r="Q16"/>
    </row>
    <row r="17" spans="1:17" x14ac:dyDescent="0.25">
      <c r="A17" s="33" t="s">
        <v>34</v>
      </c>
      <c r="B17" s="31"/>
      <c r="C17" s="31"/>
      <c r="D17" s="31"/>
      <c r="E17" s="31"/>
      <c r="F17" s="99">
        <f>SUM(F14:F16)</f>
        <v>0</v>
      </c>
      <c r="G17" s="31"/>
      <c r="H17" s="31"/>
      <c r="I17" s="31"/>
      <c r="J17" s="31"/>
      <c r="K17" s="31"/>
      <c r="L17" s="31"/>
      <c r="M17" s="99">
        <f>SUM(M14:M16)</f>
        <v>0</v>
      </c>
      <c r="O17" s="133"/>
      <c r="Q17"/>
    </row>
    <row r="18" spans="1:17" x14ac:dyDescent="0.25">
      <c r="A18" s="26"/>
      <c r="B18" s="26"/>
      <c r="C18" s="26"/>
      <c r="D18" s="26"/>
      <c r="E18" s="26"/>
      <c r="F18" s="51"/>
      <c r="G18" s="26"/>
      <c r="H18" s="31"/>
      <c r="I18" s="26"/>
      <c r="J18" s="26"/>
      <c r="K18" s="26"/>
      <c r="L18" s="26"/>
      <c r="M18" s="51"/>
      <c r="O18" s="133"/>
      <c r="Q18"/>
    </row>
    <row r="19" spans="1:17" x14ac:dyDescent="0.25">
      <c r="A19" s="26" t="s">
        <v>16</v>
      </c>
      <c r="B19" s="26"/>
      <c r="C19" s="26"/>
      <c r="D19" s="26"/>
      <c r="E19" s="26"/>
      <c r="F19" s="102">
        <f>F17*Rates!$F$9</f>
        <v>0</v>
      </c>
      <c r="G19" s="26"/>
      <c r="H19" s="31"/>
      <c r="I19" s="26"/>
      <c r="J19" s="26"/>
      <c r="K19" s="26"/>
      <c r="L19" s="26"/>
      <c r="M19" s="102">
        <f>M17*Rates!$F$9</f>
        <v>0</v>
      </c>
      <c r="O19" s="133"/>
      <c r="Q19"/>
    </row>
    <row r="20" spans="1:17" x14ac:dyDescent="0.25">
      <c r="A20" s="33" t="s">
        <v>35</v>
      </c>
      <c r="B20" s="26"/>
      <c r="C20" s="26"/>
      <c r="D20" s="26"/>
      <c r="E20" s="26"/>
      <c r="F20" s="103">
        <f>SUM(F17:F19)</f>
        <v>0</v>
      </c>
      <c r="G20" s="107"/>
      <c r="H20" s="31"/>
      <c r="I20" s="26"/>
      <c r="J20" s="26"/>
      <c r="K20" s="26"/>
      <c r="L20" s="26"/>
      <c r="M20" s="103">
        <f>SUM(M17:M19)</f>
        <v>0</v>
      </c>
      <c r="O20" s="133"/>
      <c r="Q20"/>
    </row>
    <row r="21" spans="1:17" x14ac:dyDescent="0.25">
      <c r="A21" s="26" t="s">
        <v>36</v>
      </c>
      <c r="B21" s="31"/>
      <c r="C21" s="31"/>
      <c r="D21" s="31"/>
      <c r="E21" s="136">
        <v>2</v>
      </c>
      <c r="F21" s="99"/>
      <c r="G21" s="107"/>
      <c r="H21" s="31"/>
      <c r="I21" s="31"/>
      <c r="J21" s="31"/>
      <c r="K21" s="31"/>
      <c r="L21" s="136">
        <v>1</v>
      </c>
      <c r="M21" s="99"/>
      <c r="O21" s="133"/>
      <c r="Q21"/>
    </row>
    <row r="22" spans="1:17" ht="16.5" thickBot="1" x14ac:dyDescent="0.3">
      <c r="A22" s="33" t="s">
        <v>37</v>
      </c>
      <c r="B22" s="31"/>
      <c r="C22" s="31"/>
      <c r="D22" s="31"/>
      <c r="E22" s="31"/>
      <c r="F22" s="131">
        <f>F20*E21</f>
        <v>0</v>
      </c>
      <c r="G22" s="107"/>
      <c r="H22" s="31"/>
      <c r="I22" s="31"/>
      <c r="J22" s="31"/>
      <c r="K22" s="31"/>
      <c r="L22" s="31"/>
      <c r="M22" s="131">
        <f>M20*L21</f>
        <v>0</v>
      </c>
      <c r="O22" s="134">
        <f>F22+M22</f>
        <v>0</v>
      </c>
    </row>
    <row r="23" spans="1:17" ht="62.1" customHeight="1" thickTop="1" x14ac:dyDescent="0.25">
      <c r="A23" s="31"/>
      <c r="B23" s="26"/>
      <c r="C23" s="31"/>
      <c r="D23" s="106"/>
      <c r="E23" s="31"/>
      <c r="F23" s="99"/>
      <c r="G23" s="107"/>
      <c r="H23" s="31"/>
      <c r="K23"/>
    </row>
    <row r="24" spans="1:17" x14ac:dyDescent="0.25">
      <c r="A24" s="12" t="s">
        <v>38</v>
      </c>
      <c r="K24"/>
    </row>
    <row r="25" spans="1:17" x14ac:dyDescent="0.25">
      <c r="A25" s="229"/>
      <c r="B25" s="229"/>
      <c r="C25" s="229"/>
      <c r="D25" s="229"/>
      <c r="E25" s="229"/>
      <c r="F25" s="229"/>
      <c r="G25" s="229"/>
      <c r="K25"/>
    </row>
    <row r="26" spans="1:17" x14ac:dyDescent="0.25">
      <c r="A26" s="229"/>
      <c r="B26" s="229"/>
      <c r="C26" s="229"/>
      <c r="D26" s="229"/>
      <c r="E26" s="229"/>
      <c r="F26" s="229"/>
      <c r="G26" s="229"/>
      <c r="K26"/>
    </row>
    <row r="27" spans="1:17" x14ac:dyDescent="0.25">
      <c r="A27" s="229"/>
      <c r="B27" s="229"/>
      <c r="C27" s="229"/>
      <c r="D27" s="229"/>
      <c r="E27" s="229"/>
      <c r="F27" s="229"/>
      <c r="G27" s="229"/>
      <c r="K27"/>
    </row>
    <row r="28" spans="1:17" x14ac:dyDescent="0.25">
      <c r="A28" s="229"/>
      <c r="B28" s="229"/>
      <c r="C28" s="229"/>
      <c r="D28" s="229"/>
      <c r="E28" s="229"/>
      <c r="F28" s="229"/>
      <c r="G28" s="229"/>
      <c r="K28"/>
    </row>
    <row r="29" spans="1:17" x14ac:dyDescent="0.25">
      <c r="A29" s="229"/>
      <c r="B29" s="229"/>
      <c r="C29" s="229"/>
      <c r="D29" s="229"/>
      <c r="E29" s="229"/>
      <c r="F29" s="229"/>
      <c r="G29" s="229"/>
      <c r="K29"/>
    </row>
    <row r="30" spans="1:17" x14ac:dyDescent="0.25">
      <c r="A30" s="229"/>
      <c r="B30" s="229"/>
      <c r="C30" s="229"/>
      <c r="D30" s="229"/>
      <c r="E30" s="229"/>
      <c r="F30" s="229"/>
      <c r="G30" s="229"/>
      <c r="K30"/>
    </row>
    <row r="31" spans="1:17" x14ac:dyDescent="0.25">
      <c r="A31" s="229"/>
      <c r="B31" s="229"/>
      <c r="C31" s="229"/>
      <c r="D31" s="229"/>
      <c r="E31" s="229"/>
      <c r="F31" s="229"/>
      <c r="G31" s="229"/>
      <c r="K31"/>
    </row>
    <row r="32" spans="1:17" x14ac:dyDescent="0.25">
      <c r="A32" s="229"/>
      <c r="B32" s="229"/>
      <c r="C32" s="229"/>
      <c r="D32" s="229"/>
      <c r="E32" s="229"/>
      <c r="F32" s="229"/>
      <c r="G32" s="229"/>
      <c r="K32"/>
    </row>
    <row r="33" spans="1:11" x14ac:dyDescent="0.25">
      <c r="A33" s="229"/>
      <c r="B33" s="229"/>
      <c r="C33" s="229"/>
      <c r="D33" s="229"/>
      <c r="E33" s="229"/>
      <c r="F33" s="229"/>
      <c r="G33" s="229"/>
      <c r="K33"/>
    </row>
    <row r="34" spans="1:11" x14ac:dyDescent="0.25">
      <c r="K34"/>
    </row>
  </sheetData>
  <mergeCells count="3">
    <mergeCell ref="B3:F3"/>
    <mergeCell ref="I3:M3"/>
    <mergeCell ref="A25:G3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0EA49-FC0E-4F0A-A1A6-6E197850CACD}">
  <dimension ref="A1:R34"/>
  <sheetViews>
    <sheetView showGridLines="0" workbookViewId="0">
      <selection activeCell="A25" sqref="A25:G33"/>
    </sheetView>
  </sheetViews>
  <sheetFormatPr defaultColWidth="11" defaultRowHeight="15.75" x14ac:dyDescent="0.25"/>
  <cols>
    <col min="1" max="1" width="51.375" customWidth="1"/>
    <col min="2" max="2" width="12.875" customWidth="1"/>
    <col min="6" max="6" width="11.5" style="104" bestFit="1" customWidth="1"/>
    <col min="11" max="11" width="15.125" style="104" customWidth="1"/>
    <col min="15" max="15" width="18.625" customWidth="1"/>
    <col min="17" max="17" width="11.5" style="104" bestFit="1" customWidth="1"/>
  </cols>
  <sheetData>
    <row r="1" spans="1:18" x14ac:dyDescent="0.25">
      <c r="A1" s="157" t="s">
        <v>196</v>
      </c>
      <c r="B1" s="31"/>
      <c r="C1" s="31"/>
      <c r="D1" s="31"/>
      <c r="E1" s="31" t="s">
        <v>46</v>
      </c>
      <c r="F1" s="99"/>
      <c r="G1" s="31"/>
      <c r="H1" s="31"/>
      <c r="I1" s="31"/>
      <c r="J1" s="31" t="s">
        <v>46</v>
      </c>
      <c r="K1" s="99"/>
      <c r="L1" s="31"/>
      <c r="M1" s="31"/>
      <c r="N1" s="31"/>
      <c r="O1" s="31"/>
      <c r="P1" s="31"/>
      <c r="Q1" s="99"/>
      <c r="R1" s="31"/>
    </row>
    <row r="2" spans="1:18" x14ac:dyDescent="0.25">
      <c r="A2" s="31"/>
      <c r="B2" s="31"/>
      <c r="C2" s="31"/>
      <c r="D2" s="31"/>
      <c r="E2" s="31"/>
      <c r="F2" s="99"/>
      <c r="G2" s="31"/>
      <c r="H2" s="31"/>
      <c r="I2" s="31"/>
      <c r="J2" s="31"/>
      <c r="K2" s="99"/>
      <c r="L2" s="31"/>
      <c r="M2" s="31"/>
      <c r="N2" s="31"/>
      <c r="O2" s="31"/>
      <c r="P2" s="31"/>
      <c r="Q2" s="99"/>
      <c r="R2" s="30"/>
    </row>
    <row r="3" spans="1:18" x14ac:dyDescent="0.25">
      <c r="A3" s="26"/>
      <c r="B3" s="228" t="s">
        <v>190</v>
      </c>
      <c r="C3" s="228"/>
      <c r="D3" s="228"/>
      <c r="E3" s="228"/>
      <c r="F3" s="228"/>
      <c r="G3" s="26"/>
      <c r="H3" s="31"/>
      <c r="I3" s="228" t="s">
        <v>187</v>
      </c>
      <c r="J3" s="228"/>
      <c r="K3" s="228"/>
      <c r="L3" s="228"/>
      <c r="M3" s="228"/>
      <c r="O3" s="135" t="s">
        <v>43</v>
      </c>
      <c r="P3" s="26"/>
      <c r="Q3" s="100"/>
      <c r="R3" s="30"/>
    </row>
    <row r="4" spans="1:18" x14ac:dyDescent="0.25">
      <c r="A4" s="26" t="s">
        <v>19</v>
      </c>
      <c r="B4" s="29" t="s">
        <v>20</v>
      </c>
      <c r="C4" s="30" t="s">
        <v>21</v>
      </c>
      <c r="D4" s="30" t="s">
        <v>22</v>
      </c>
      <c r="E4" s="30"/>
      <c r="F4" s="100"/>
      <c r="G4" s="26"/>
      <c r="H4" s="31"/>
      <c r="I4" s="29" t="s">
        <v>20</v>
      </c>
      <c r="J4" s="30" t="s">
        <v>21</v>
      </c>
      <c r="K4" s="30" t="s">
        <v>22</v>
      </c>
      <c r="L4" s="30"/>
      <c r="M4" s="100"/>
      <c r="O4" s="133"/>
      <c r="Q4"/>
    </row>
    <row r="5" spans="1:18" x14ac:dyDescent="0.25">
      <c r="A5" s="29" t="s">
        <v>24</v>
      </c>
      <c r="B5" s="127"/>
      <c r="C5" s="30" t="s">
        <v>21</v>
      </c>
      <c r="D5" s="126"/>
      <c r="E5" s="30" t="s">
        <v>25</v>
      </c>
      <c r="F5" s="51">
        <f>B5*D5</f>
        <v>0</v>
      </c>
      <c r="G5" s="29"/>
      <c r="H5" s="31"/>
      <c r="I5" s="127"/>
      <c r="J5" s="30" t="s">
        <v>21</v>
      </c>
      <c r="K5" s="51">
        <f>D5</f>
        <v>0</v>
      </c>
      <c r="L5" s="30" t="s">
        <v>25</v>
      </c>
      <c r="M5" s="51">
        <f>I5*K5</f>
        <v>0</v>
      </c>
      <c r="O5" s="133"/>
      <c r="Q5"/>
    </row>
    <row r="6" spans="1:18" x14ac:dyDescent="0.25">
      <c r="A6" s="29" t="s">
        <v>26</v>
      </c>
      <c r="B6" s="127"/>
      <c r="C6" s="30" t="s">
        <v>21</v>
      </c>
      <c r="D6" s="126"/>
      <c r="E6" s="30" t="s">
        <v>25</v>
      </c>
      <c r="F6" s="102">
        <f>B6*D6</f>
        <v>0</v>
      </c>
      <c r="G6" s="29"/>
      <c r="H6" s="31"/>
      <c r="I6" s="127"/>
      <c r="J6" s="30" t="s">
        <v>21</v>
      </c>
      <c r="K6" s="51">
        <f>D6</f>
        <v>0</v>
      </c>
      <c r="L6" s="30" t="s">
        <v>25</v>
      </c>
      <c r="M6" s="102">
        <f>I6*K6</f>
        <v>0</v>
      </c>
      <c r="O6" s="133"/>
      <c r="Q6"/>
    </row>
    <row r="7" spans="1:18" x14ac:dyDescent="0.25">
      <c r="A7" s="26" t="s">
        <v>27</v>
      </c>
      <c r="B7" s="29">
        <f>SUM(B5:B6)</f>
        <v>0</v>
      </c>
      <c r="C7" s="26"/>
      <c r="D7" s="26"/>
      <c r="E7" s="26"/>
      <c r="F7" s="51">
        <f>SUM(F5:F6)</f>
        <v>0</v>
      </c>
      <c r="G7" s="26"/>
      <c r="H7" s="31"/>
      <c r="I7" s="29">
        <f>SUM(I5:I6)</f>
        <v>0</v>
      </c>
      <c r="J7" s="26"/>
      <c r="K7" s="26"/>
      <c r="L7" s="26"/>
      <c r="M7" s="51">
        <f>SUM(M5:M6)</f>
        <v>0</v>
      </c>
      <c r="O7" s="133"/>
      <c r="Q7"/>
    </row>
    <row r="8" spans="1:18" x14ac:dyDescent="0.25">
      <c r="A8" s="26"/>
      <c r="B8" s="26"/>
      <c r="C8" s="26"/>
      <c r="D8" s="26"/>
      <c r="E8" s="26"/>
      <c r="F8" s="51"/>
      <c r="G8" s="26"/>
      <c r="H8" s="31"/>
      <c r="I8" s="26"/>
      <c r="J8" s="26"/>
      <c r="K8" s="26"/>
      <c r="L8" s="26"/>
      <c r="M8" s="51"/>
      <c r="O8" s="133"/>
      <c r="Q8"/>
    </row>
    <row r="9" spans="1:18" x14ac:dyDescent="0.25">
      <c r="A9" s="26" t="s">
        <v>28</v>
      </c>
      <c r="B9" s="26"/>
      <c r="C9" s="26"/>
      <c r="D9" s="26"/>
      <c r="E9" s="26"/>
      <c r="F9" s="51">
        <f>F7*(1+Rates!$F$6)</f>
        <v>0</v>
      </c>
      <c r="G9" s="26"/>
      <c r="H9" s="31"/>
      <c r="I9" s="26"/>
      <c r="J9" s="26"/>
      <c r="K9" s="26"/>
      <c r="L9" s="26"/>
      <c r="M9" s="51">
        <f>M7*(1+Rates!$F$6)</f>
        <v>0</v>
      </c>
      <c r="O9" s="133"/>
      <c r="Q9"/>
    </row>
    <row r="10" spans="1:18" x14ac:dyDescent="0.25">
      <c r="A10" s="26" t="s">
        <v>29</v>
      </c>
      <c r="B10" s="26"/>
      <c r="C10" s="26"/>
      <c r="D10" s="26"/>
      <c r="E10" s="26"/>
      <c r="F10" s="51">
        <f>F9*(1+Rates!$F$7)</f>
        <v>0</v>
      </c>
      <c r="G10" s="26"/>
      <c r="H10" s="31"/>
      <c r="I10" s="26"/>
      <c r="J10" s="26"/>
      <c r="K10" s="26"/>
      <c r="L10" s="26"/>
      <c r="M10" s="51">
        <f>M9*(1+Rates!$F$7)</f>
        <v>0</v>
      </c>
      <c r="O10" s="133"/>
      <c r="Q10"/>
    </row>
    <row r="11" spans="1:18" x14ac:dyDescent="0.25">
      <c r="A11" s="26" t="s">
        <v>30</v>
      </c>
      <c r="B11" s="26"/>
      <c r="C11" s="26"/>
      <c r="D11" s="26"/>
      <c r="E11" s="26"/>
      <c r="F11" s="130"/>
      <c r="G11" s="26"/>
      <c r="I11" s="26"/>
      <c r="J11" s="26"/>
      <c r="K11" s="26"/>
      <c r="L11" s="26"/>
      <c r="M11" s="130"/>
      <c r="O11" s="133"/>
      <c r="Q11"/>
    </row>
    <row r="12" spans="1:18" x14ac:dyDescent="0.25">
      <c r="A12" s="26" t="s">
        <v>197</v>
      </c>
      <c r="B12" s="26"/>
      <c r="C12" s="26"/>
      <c r="D12" s="26"/>
      <c r="E12" s="26"/>
      <c r="F12" s="130"/>
      <c r="G12" s="26"/>
      <c r="I12" s="26"/>
      <c r="J12" s="26"/>
      <c r="K12" s="26"/>
      <c r="L12" s="26"/>
      <c r="M12" s="130"/>
      <c r="O12" s="133"/>
      <c r="Q12"/>
    </row>
    <row r="13" spans="1:18" x14ac:dyDescent="0.25">
      <c r="A13" s="26" t="s">
        <v>31</v>
      </c>
      <c r="B13" s="26"/>
      <c r="C13" s="26"/>
      <c r="D13" s="26"/>
      <c r="E13" s="26"/>
      <c r="F13" s="130"/>
      <c r="G13" s="26"/>
      <c r="H13" s="31"/>
      <c r="I13" s="26"/>
      <c r="J13" s="26"/>
      <c r="K13" s="26"/>
      <c r="L13" s="26"/>
      <c r="M13" s="130"/>
      <c r="O13" s="133"/>
      <c r="Q13"/>
    </row>
    <row r="14" spans="1:18" x14ac:dyDescent="0.25">
      <c r="A14" s="33" t="s">
        <v>32</v>
      </c>
      <c r="B14" s="26"/>
      <c r="C14" s="26"/>
      <c r="D14" s="26"/>
      <c r="E14" s="26"/>
      <c r="F14" s="51">
        <f>SUM(F10:F13)</f>
        <v>0</v>
      </c>
      <c r="G14" s="26"/>
      <c r="H14" s="31"/>
      <c r="I14" s="26"/>
      <c r="J14" s="26"/>
      <c r="K14" s="26"/>
      <c r="L14" s="26"/>
      <c r="M14" s="51">
        <f>SUM(M10:M13)</f>
        <v>0</v>
      </c>
      <c r="O14" s="133"/>
      <c r="Q14"/>
    </row>
    <row r="15" spans="1:18" x14ac:dyDescent="0.25">
      <c r="A15" s="33"/>
      <c r="B15" s="26"/>
      <c r="C15" s="26"/>
      <c r="D15" s="26"/>
      <c r="E15" s="26"/>
      <c r="F15" s="51"/>
      <c r="G15" s="26"/>
      <c r="H15" s="31"/>
      <c r="I15" s="26"/>
      <c r="J15" s="26"/>
      <c r="K15" s="26"/>
      <c r="L15" s="26"/>
      <c r="M15" s="51"/>
      <c r="O15" s="133"/>
      <c r="Q15"/>
    </row>
    <row r="16" spans="1:18" x14ac:dyDescent="0.25">
      <c r="A16" s="26" t="s">
        <v>33</v>
      </c>
      <c r="B16" s="26"/>
      <c r="C16" s="26"/>
      <c r="D16" s="26"/>
      <c r="E16" s="26"/>
      <c r="F16" s="102">
        <f>F14*Rates!$F$8</f>
        <v>0</v>
      </c>
      <c r="G16" s="26"/>
      <c r="H16" s="31"/>
      <c r="I16" s="26"/>
      <c r="J16" s="26"/>
      <c r="K16" s="26"/>
      <c r="L16" s="26"/>
      <c r="M16" s="102">
        <f>M14*Rates!$F$8</f>
        <v>0</v>
      </c>
      <c r="O16" s="133"/>
      <c r="Q16"/>
    </row>
    <row r="17" spans="1:17" x14ac:dyDescent="0.25">
      <c r="A17" s="33" t="s">
        <v>34</v>
      </c>
      <c r="B17" s="31"/>
      <c r="C17" s="31"/>
      <c r="D17" s="31"/>
      <c r="E17" s="31"/>
      <c r="F17" s="99">
        <f>SUM(F14:F16)</f>
        <v>0</v>
      </c>
      <c r="G17" s="31"/>
      <c r="H17" s="31"/>
      <c r="I17" s="31"/>
      <c r="J17" s="31"/>
      <c r="K17" s="31"/>
      <c r="L17" s="31"/>
      <c r="M17" s="99">
        <f>SUM(M14:M16)</f>
        <v>0</v>
      </c>
      <c r="O17" s="133"/>
      <c r="Q17"/>
    </row>
    <row r="18" spans="1:17" x14ac:dyDescent="0.25">
      <c r="A18" s="26"/>
      <c r="B18" s="26"/>
      <c r="C18" s="26"/>
      <c r="D18" s="26"/>
      <c r="E18" s="26"/>
      <c r="F18" s="51"/>
      <c r="G18" s="26"/>
      <c r="H18" s="31"/>
      <c r="I18" s="26"/>
      <c r="J18" s="26"/>
      <c r="K18" s="26"/>
      <c r="L18" s="26"/>
      <c r="M18" s="51"/>
      <c r="O18" s="133"/>
      <c r="Q18"/>
    </row>
    <row r="19" spans="1:17" x14ac:dyDescent="0.25">
      <c r="A19" s="26" t="s">
        <v>16</v>
      </c>
      <c r="B19" s="26"/>
      <c r="C19" s="26"/>
      <c r="D19" s="26"/>
      <c r="E19" s="26"/>
      <c r="F19" s="102">
        <f>F17*Rates!$F$9</f>
        <v>0</v>
      </c>
      <c r="G19" s="26"/>
      <c r="H19" s="31"/>
      <c r="I19" s="26"/>
      <c r="J19" s="26"/>
      <c r="K19" s="26"/>
      <c r="L19" s="26"/>
      <c r="M19" s="102">
        <f>M17*Rates!$F$9</f>
        <v>0</v>
      </c>
      <c r="O19" s="133"/>
      <c r="Q19"/>
    </row>
    <row r="20" spans="1:17" x14ac:dyDescent="0.25">
      <c r="A20" s="33" t="s">
        <v>35</v>
      </c>
      <c r="B20" s="26"/>
      <c r="C20" s="26"/>
      <c r="D20" s="26"/>
      <c r="E20" s="26"/>
      <c r="F20" s="103">
        <f>SUM(F17:F19)</f>
        <v>0</v>
      </c>
      <c r="G20" s="107"/>
      <c r="H20" s="31"/>
      <c r="I20" s="26"/>
      <c r="J20" s="26"/>
      <c r="K20" s="26"/>
      <c r="L20" s="26"/>
      <c r="M20" s="103">
        <f>SUM(M17:M19)</f>
        <v>0</v>
      </c>
      <c r="O20" s="133"/>
      <c r="Q20"/>
    </row>
    <row r="21" spans="1:17" x14ac:dyDescent="0.25">
      <c r="A21" s="26" t="s">
        <v>36</v>
      </c>
      <c r="B21" s="31"/>
      <c r="C21" s="31"/>
      <c r="D21" s="31"/>
      <c r="E21" s="136">
        <v>27</v>
      </c>
      <c r="F21" s="99"/>
      <c r="G21" s="107"/>
      <c r="H21" s="31"/>
      <c r="I21" s="31"/>
      <c r="J21" s="31"/>
      <c r="K21" s="31"/>
      <c r="L21" s="136">
        <v>8</v>
      </c>
      <c r="M21" s="99"/>
      <c r="O21" s="133"/>
      <c r="Q21"/>
    </row>
    <row r="22" spans="1:17" ht="16.5" thickBot="1" x14ac:dyDescent="0.3">
      <c r="A22" s="33" t="s">
        <v>37</v>
      </c>
      <c r="B22" s="31"/>
      <c r="C22" s="31"/>
      <c r="D22" s="31"/>
      <c r="E22" s="31"/>
      <c r="F22" s="131">
        <f>F20*E21</f>
        <v>0</v>
      </c>
      <c r="G22" s="107"/>
      <c r="H22" s="31"/>
      <c r="I22" s="31"/>
      <c r="J22" s="31"/>
      <c r="K22" s="31"/>
      <c r="L22" s="31"/>
      <c r="M22" s="131">
        <f>M20*L21</f>
        <v>0</v>
      </c>
      <c r="O22" s="134">
        <f>F22+M22</f>
        <v>0</v>
      </c>
    </row>
    <row r="23" spans="1:17" ht="16.5" thickTop="1" x14ac:dyDescent="0.25">
      <c r="A23" s="31"/>
      <c r="B23" s="26"/>
      <c r="C23" s="31"/>
      <c r="D23" s="106"/>
      <c r="E23" s="31"/>
      <c r="F23" s="99"/>
      <c r="G23" s="107"/>
      <c r="H23" s="31"/>
      <c r="K23"/>
    </row>
    <row r="24" spans="1:17" x14ac:dyDescent="0.25">
      <c r="A24" s="12" t="s">
        <v>38</v>
      </c>
      <c r="K24"/>
    </row>
    <row r="25" spans="1:17" x14ac:dyDescent="0.25">
      <c r="A25" s="230" t="s">
        <v>199</v>
      </c>
      <c r="B25" s="230"/>
      <c r="C25" s="230"/>
      <c r="D25" s="230"/>
      <c r="E25" s="230"/>
      <c r="F25" s="230"/>
      <c r="G25" s="230"/>
      <c r="K25"/>
    </row>
    <row r="26" spans="1:17" x14ac:dyDescent="0.25">
      <c r="A26" s="230"/>
      <c r="B26" s="230"/>
      <c r="C26" s="230"/>
      <c r="D26" s="230"/>
      <c r="E26" s="230"/>
      <c r="F26" s="230"/>
      <c r="G26" s="230"/>
      <c r="K26"/>
    </row>
    <row r="27" spans="1:17" x14ac:dyDescent="0.25">
      <c r="A27" s="230"/>
      <c r="B27" s="230"/>
      <c r="C27" s="230"/>
      <c r="D27" s="230"/>
      <c r="E27" s="230"/>
      <c r="F27" s="230"/>
      <c r="G27" s="230"/>
      <c r="K27"/>
    </row>
    <row r="28" spans="1:17" x14ac:dyDescent="0.25">
      <c r="A28" s="230"/>
      <c r="B28" s="230"/>
      <c r="C28" s="230"/>
      <c r="D28" s="230"/>
      <c r="E28" s="230"/>
      <c r="F28" s="230"/>
      <c r="G28" s="230"/>
      <c r="K28"/>
    </row>
    <row r="29" spans="1:17" x14ac:dyDescent="0.25">
      <c r="A29" s="230"/>
      <c r="B29" s="230"/>
      <c r="C29" s="230"/>
      <c r="D29" s="230"/>
      <c r="E29" s="230"/>
      <c r="F29" s="230"/>
      <c r="G29" s="230"/>
      <c r="K29"/>
    </row>
    <row r="30" spans="1:17" x14ac:dyDescent="0.25">
      <c r="A30" s="230"/>
      <c r="B30" s="230"/>
      <c r="C30" s="230"/>
      <c r="D30" s="230"/>
      <c r="E30" s="230"/>
      <c r="F30" s="230"/>
      <c r="G30" s="230"/>
      <c r="K30"/>
    </row>
    <row r="31" spans="1:17" x14ac:dyDescent="0.25">
      <c r="A31" s="230"/>
      <c r="B31" s="230"/>
      <c r="C31" s="230"/>
      <c r="D31" s="230"/>
      <c r="E31" s="230"/>
      <c r="F31" s="230"/>
      <c r="G31" s="230"/>
      <c r="K31"/>
    </row>
    <row r="32" spans="1:17" x14ac:dyDescent="0.25">
      <c r="A32" s="230"/>
      <c r="B32" s="230"/>
      <c r="C32" s="230"/>
      <c r="D32" s="230"/>
      <c r="E32" s="230"/>
      <c r="F32" s="230"/>
      <c r="G32" s="230"/>
      <c r="K32"/>
    </row>
    <row r="33" spans="1:11" x14ac:dyDescent="0.25">
      <c r="A33" s="230"/>
      <c r="B33" s="230"/>
      <c r="C33" s="230"/>
      <c r="D33" s="230"/>
      <c r="E33" s="230"/>
      <c r="F33" s="230"/>
      <c r="G33" s="230"/>
      <c r="K33"/>
    </row>
    <row r="34" spans="1:11" x14ac:dyDescent="0.25">
      <c r="K34"/>
    </row>
  </sheetData>
  <mergeCells count="3">
    <mergeCell ref="B3:F3"/>
    <mergeCell ref="I3:M3"/>
    <mergeCell ref="A25:G33"/>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544CC-866C-480F-8C12-B0641F92ABE8}">
  <dimension ref="A1:R34"/>
  <sheetViews>
    <sheetView showGridLines="0" workbookViewId="0">
      <selection activeCell="A18" sqref="A18"/>
    </sheetView>
  </sheetViews>
  <sheetFormatPr defaultColWidth="11" defaultRowHeight="15.75" x14ac:dyDescent="0.25"/>
  <cols>
    <col min="1" max="1" width="51.375" customWidth="1"/>
    <col min="2" max="2" width="12.875" customWidth="1"/>
    <col min="6" max="6" width="11.5" style="104" bestFit="1" customWidth="1"/>
    <col min="11" max="11" width="15.125" style="104" customWidth="1"/>
    <col min="15" max="15" width="18.5" customWidth="1"/>
    <col min="17" max="17" width="11.5" style="104" bestFit="1" customWidth="1"/>
  </cols>
  <sheetData>
    <row r="1" spans="1:18" x14ac:dyDescent="0.25">
      <c r="A1" s="98" t="s">
        <v>48</v>
      </c>
      <c r="B1" s="31"/>
      <c r="C1" s="31"/>
      <c r="D1" s="31"/>
      <c r="E1" s="31" t="s">
        <v>46</v>
      </c>
      <c r="F1" s="99"/>
      <c r="G1" s="31"/>
      <c r="H1" s="31"/>
      <c r="I1" s="31"/>
      <c r="J1" s="31" t="s">
        <v>46</v>
      </c>
      <c r="K1" s="99"/>
      <c r="L1" s="31"/>
      <c r="M1" s="31"/>
      <c r="N1" s="31"/>
      <c r="O1" s="31"/>
      <c r="P1" s="31"/>
      <c r="Q1" s="99"/>
      <c r="R1" s="31"/>
    </row>
    <row r="2" spans="1:18" x14ac:dyDescent="0.25">
      <c r="A2" s="31"/>
      <c r="B2" s="31"/>
      <c r="C2" s="31"/>
      <c r="D2" s="31"/>
      <c r="E2" s="31"/>
      <c r="F2" s="99"/>
      <c r="G2" s="31"/>
      <c r="H2" s="31"/>
      <c r="I2" s="31"/>
      <c r="J2" s="31"/>
      <c r="K2" s="99"/>
      <c r="L2" s="31"/>
      <c r="M2" s="31"/>
      <c r="N2" s="31"/>
      <c r="O2" s="31"/>
      <c r="P2" s="31"/>
      <c r="Q2" s="99"/>
      <c r="R2" s="30"/>
    </row>
    <row r="3" spans="1:18" x14ac:dyDescent="0.25">
      <c r="A3" s="26"/>
      <c r="B3" s="228" t="s">
        <v>190</v>
      </c>
      <c r="C3" s="228"/>
      <c r="D3" s="228"/>
      <c r="E3" s="228"/>
      <c r="F3" s="228"/>
      <c r="G3" s="26"/>
      <c r="H3" s="31"/>
      <c r="I3" s="228" t="s">
        <v>188</v>
      </c>
      <c r="J3" s="228"/>
      <c r="K3" s="228"/>
      <c r="L3" s="228"/>
      <c r="M3" s="228"/>
      <c r="O3" s="135" t="s">
        <v>43</v>
      </c>
      <c r="P3" s="26"/>
      <c r="Q3" s="100"/>
      <c r="R3" s="30"/>
    </row>
    <row r="4" spans="1:18" x14ac:dyDescent="0.25">
      <c r="A4" s="26" t="s">
        <v>19</v>
      </c>
      <c r="B4" s="29" t="s">
        <v>20</v>
      </c>
      <c r="C4" s="30" t="s">
        <v>21</v>
      </c>
      <c r="D4" s="30" t="s">
        <v>22</v>
      </c>
      <c r="E4" s="30"/>
      <c r="F4" s="100"/>
      <c r="G4" s="26"/>
      <c r="H4" s="31"/>
      <c r="I4" s="29" t="s">
        <v>20</v>
      </c>
      <c r="J4" s="30" t="s">
        <v>21</v>
      </c>
      <c r="K4" s="30" t="s">
        <v>22</v>
      </c>
      <c r="L4" s="30"/>
      <c r="M4" s="100"/>
      <c r="O4" s="133"/>
      <c r="Q4"/>
    </row>
    <row r="5" spans="1:18" x14ac:dyDescent="0.25">
      <c r="A5" s="29" t="s">
        <v>24</v>
      </c>
      <c r="B5" s="127"/>
      <c r="C5" s="30" t="s">
        <v>21</v>
      </c>
      <c r="D5" s="126"/>
      <c r="E5" s="30" t="s">
        <v>25</v>
      </c>
      <c r="F5" s="51">
        <f>B5*D5</f>
        <v>0</v>
      </c>
      <c r="G5" s="29"/>
      <c r="H5" s="31"/>
      <c r="I5" s="127"/>
      <c r="J5" s="30" t="s">
        <v>21</v>
      </c>
      <c r="K5" s="51">
        <f>D5</f>
        <v>0</v>
      </c>
      <c r="L5" s="30" t="s">
        <v>25</v>
      </c>
      <c r="M5" s="51">
        <f>I5*K5</f>
        <v>0</v>
      </c>
      <c r="O5" s="133"/>
      <c r="Q5"/>
    </row>
    <row r="6" spans="1:18" x14ac:dyDescent="0.25">
      <c r="A6" s="29" t="s">
        <v>26</v>
      </c>
      <c r="B6" s="127"/>
      <c r="C6" s="30" t="s">
        <v>21</v>
      </c>
      <c r="D6" s="126"/>
      <c r="E6" s="30" t="s">
        <v>25</v>
      </c>
      <c r="F6" s="102">
        <f>B6*D6</f>
        <v>0</v>
      </c>
      <c r="G6" s="29"/>
      <c r="H6" s="31"/>
      <c r="I6" s="127"/>
      <c r="J6" s="30" t="s">
        <v>21</v>
      </c>
      <c r="K6" s="51">
        <f>D6</f>
        <v>0</v>
      </c>
      <c r="L6" s="30" t="s">
        <v>25</v>
      </c>
      <c r="M6" s="102">
        <f>I6*K6</f>
        <v>0</v>
      </c>
      <c r="O6" s="133"/>
      <c r="Q6"/>
    </row>
    <row r="7" spans="1:18" x14ac:dyDescent="0.25">
      <c r="A7" s="26" t="s">
        <v>27</v>
      </c>
      <c r="B7" s="29">
        <f>SUM(B5:B6)</f>
        <v>0</v>
      </c>
      <c r="C7" s="26"/>
      <c r="D7" s="26"/>
      <c r="E7" s="26"/>
      <c r="F7" s="51">
        <f>SUM(F5:F6)</f>
        <v>0</v>
      </c>
      <c r="G7" s="26"/>
      <c r="H7" s="31"/>
      <c r="I7" s="29">
        <f>SUM(I5:I6)</f>
        <v>0</v>
      </c>
      <c r="J7" s="26"/>
      <c r="K7" s="26"/>
      <c r="L7" s="26"/>
      <c r="M7" s="51">
        <f>SUM(M5:M6)</f>
        <v>0</v>
      </c>
      <c r="O7" s="133"/>
      <c r="Q7"/>
    </row>
    <row r="8" spans="1:18" x14ac:dyDescent="0.25">
      <c r="A8" s="26"/>
      <c r="B8" s="26"/>
      <c r="C8" s="26"/>
      <c r="D8" s="26"/>
      <c r="E8" s="26"/>
      <c r="F8" s="51"/>
      <c r="G8" s="26"/>
      <c r="H8" s="31"/>
      <c r="I8" s="26"/>
      <c r="J8" s="26"/>
      <c r="K8" s="26"/>
      <c r="L8" s="26"/>
      <c r="M8" s="51"/>
      <c r="O8" s="133"/>
      <c r="Q8"/>
    </row>
    <row r="9" spans="1:18" x14ac:dyDescent="0.25">
      <c r="A9" s="26" t="s">
        <v>28</v>
      </c>
      <c r="B9" s="26"/>
      <c r="C9" s="26"/>
      <c r="D9" s="26"/>
      <c r="E9" s="26"/>
      <c r="F9" s="51">
        <f>F7*(1+Rates!$F$6)</f>
        <v>0</v>
      </c>
      <c r="G9" s="26"/>
      <c r="H9" s="31"/>
      <c r="I9" s="26"/>
      <c r="J9" s="26"/>
      <c r="K9" s="26"/>
      <c r="L9" s="26"/>
      <c r="M9" s="51">
        <f>M7*(1+Rates!$F$6)</f>
        <v>0</v>
      </c>
      <c r="O9" s="133"/>
      <c r="Q9"/>
    </row>
    <row r="10" spans="1:18" x14ac:dyDescent="0.25">
      <c r="A10" s="26" t="s">
        <v>29</v>
      </c>
      <c r="B10" s="26"/>
      <c r="C10" s="26"/>
      <c r="D10" s="26"/>
      <c r="E10" s="26"/>
      <c r="F10" s="51">
        <f>F9*(1+Rates!$F$7)</f>
        <v>0</v>
      </c>
      <c r="G10" s="26"/>
      <c r="H10" s="31"/>
      <c r="I10" s="26"/>
      <c r="J10" s="26"/>
      <c r="K10" s="26"/>
      <c r="L10" s="26"/>
      <c r="M10" s="51">
        <f>M9*(1+Rates!$F$7)</f>
        <v>0</v>
      </c>
      <c r="O10" s="133"/>
      <c r="Q10"/>
    </row>
    <row r="11" spans="1:18" x14ac:dyDescent="0.25">
      <c r="A11" s="26" t="s">
        <v>30</v>
      </c>
      <c r="B11" s="26"/>
      <c r="C11" s="26"/>
      <c r="D11" s="26"/>
      <c r="E11" s="26"/>
      <c r="F11" s="130"/>
      <c r="G11" s="26"/>
      <c r="I11" s="26"/>
      <c r="J11" s="26"/>
      <c r="K11" s="26"/>
      <c r="L11" s="26"/>
      <c r="M11" s="130"/>
      <c r="O11" s="133"/>
      <c r="Q11"/>
    </row>
    <row r="12" spans="1:18" x14ac:dyDescent="0.25">
      <c r="A12" s="26" t="s">
        <v>197</v>
      </c>
      <c r="B12" s="26"/>
      <c r="C12" s="26"/>
      <c r="D12" s="26"/>
      <c r="E12" s="26"/>
      <c r="F12" s="130"/>
      <c r="G12" s="26"/>
      <c r="I12" s="26"/>
      <c r="J12" s="26"/>
      <c r="K12" s="26"/>
      <c r="L12" s="26"/>
      <c r="M12" s="130"/>
      <c r="O12" s="133"/>
      <c r="Q12"/>
    </row>
    <row r="13" spans="1:18" x14ac:dyDescent="0.25">
      <c r="A13" s="26" t="s">
        <v>31</v>
      </c>
      <c r="B13" s="26"/>
      <c r="C13" s="26"/>
      <c r="D13" s="26"/>
      <c r="E13" s="26"/>
      <c r="F13" s="130"/>
      <c r="G13" s="26"/>
      <c r="H13" s="31"/>
      <c r="I13" s="26"/>
      <c r="J13" s="26"/>
      <c r="K13" s="26"/>
      <c r="L13" s="26"/>
      <c r="M13" s="130"/>
      <c r="O13" s="133"/>
      <c r="Q13"/>
    </row>
    <row r="14" spans="1:18" x14ac:dyDescent="0.25">
      <c r="A14" s="33" t="s">
        <v>32</v>
      </c>
      <c r="B14" s="26"/>
      <c r="C14" s="26"/>
      <c r="D14" s="26"/>
      <c r="E14" s="26"/>
      <c r="F14" s="51">
        <f>SUM(F10:F13)</f>
        <v>0</v>
      </c>
      <c r="G14" s="26"/>
      <c r="H14" s="31"/>
      <c r="I14" s="26"/>
      <c r="J14" s="26"/>
      <c r="K14" s="26"/>
      <c r="L14" s="26"/>
      <c r="M14" s="51">
        <f>SUM(M10:M13)</f>
        <v>0</v>
      </c>
      <c r="O14" s="133"/>
      <c r="Q14"/>
    </row>
    <row r="15" spans="1:18" x14ac:dyDescent="0.25">
      <c r="A15" s="33"/>
      <c r="B15" s="26"/>
      <c r="C15" s="26"/>
      <c r="D15" s="26"/>
      <c r="E15" s="26"/>
      <c r="F15" s="51"/>
      <c r="G15" s="26"/>
      <c r="H15" s="31"/>
      <c r="I15" s="26"/>
      <c r="J15" s="26"/>
      <c r="K15" s="26"/>
      <c r="L15" s="26"/>
      <c r="M15" s="51"/>
      <c r="O15" s="133"/>
      <c r="Q15"/>
    </row>
    <row r="16" spans="1:18" x14ac:dyDescent="0.25">
      <c r="A16" s="26" t="s">
        <v>33</v>
      </c>
      <c r="B16" s="26"/>
      <c r="C16" s="26"/>
      <c r="D16" s="26"/>
      <c r="E16" s="26"/>
      <c r="F16" s="102">
        <f>F14*Rates!$F$8</f>
        <v>0</v>
      </c>
      <c r="G16" s="26"/>
      <c r="H16" s="31"/>
      <c r="I16" s="26"/>
      <c r="J16" s="26"/>
      <c r="K16" s="26"/>
      <c r="L16" s="26"/>
      <c r="M16" s="102">
        <f>M14*Rates!$F$8</f>
        <v>0</v>
      </c>
      <c r="O16" s="133"/>
      <c r="Q16"/>
    </row>
    <row r="17" spans="1:17" x14ac:dyDescent="0.25">
      <c r="A17" s="33" t="s">
        <v>34</v>
      </c>
      <c r="B17" s="31"/>
      <c r="C17" s="31"/>
      <c r="D17" s="31"/>
      <c r="E17" s="31"/>
      <c r="F17" s="99">
        <f>SUM(F14:F16)</f>
        <v>0</v>
      </c>
      <c r="G17" s="31"/>
      <c r="H17" s="31"/>
      <c r="I17" s="31"/>
      <c r="J17" s="31"/>
      <c r="K17" s="31"/>
      <c r="L17" s="31"/>
      <c r="M17" s="99">
        <f>SUM(M14:M16)</f>
        <v>0</v>
      </c>
      <c r="O17" s="133"/>
      <c r="Q17"/>
    </row>
    <row r="18" spans="1:17" x14ac:dyDescent="0.25">
      <c r="A18" s="26"/>
      <c r="B18" s="26"/>
      <c r="C18" s="26"/>
      <c r="D18" s="26"/>
      <c r="E18" s="26"/>
      <c r="F18" s="51"/>
      <c r="G18" s="26"/>
      <c r="H18" s="31"/>
      <c r="I18" s="26"/>
      <c r="J18" s="26"/>
      <c r="K18" s="26"/>
      <c r="L18" s="26"/>
      <c r="M18" s="51"/>
      <c r="O18" s="133"/>
      <c r="Q18"/>
    </row>
    <row r="19" spans="1:17" x14ac:dyDescent="0.25">
      <c r="A19" s="26" t="s">
        <v>16</v>
      </c>
      <c r="B19" s="26"/>
      <c r="C19" s="26"/>
      <c r="D19" s="26"/>
      <c r="E19" s="26"/>
      <c r="F19" s="102">
        <f>F17*Rates!$F$9</f>
        <v>0</v>
      </c>
      <c r="G19" s="26"/>
      <c r="H19" s="31"/>
      <c r="I19" s="26"/>
      <c r="J19" s="26"/>
      <c r="K19" s="26"/>
      <c r="L19" s="26"/>
      <c r="M19" s="102">
        <f>M17*Rates!$F$9</f>
        <v>0</v>
      </c>
      <c r="O19" s="133"/>
      <c r="Q19"/>
    </row>
    <row r="20" spans="1:17" x14ac:dyDescent="0.25">
      <c r="A20" s="33" t="s">
        <v>35</v>
      </c>
      <c r="B20" s="26"/>
      <c r="C20" s="26"/>
      <c r="D20" s="26"/>
      <c r="E20" s="26"/>
      <c r="F20" s="103">
        <f>SUM(F17:F19)</f>
        <v>0</v>
      </c>
      <c r="G20" s="107"/>
      <c r="H20" s="31"/>
      <c r="I20" s="26"/>
      <c r="J20" s="26"/>
      <c r="K20" s="26"/>
      <c r="L20" s="26"/>
      <c r="M20" s="103">
        <f>SUM(M17:M19)</f>
        <v>0</v>
      </c>
      <c r="O20" s="133"/>
      <c r="Q20"/>
    </row>
    <row r="21" spans="1:17" x14ac:dyDescent="0.25">
      <c r="A21" s="26" t="s">
        <v>36</v>
      </c>
      <c r="B21" s="31"/>
      <c r="C21" s="31"/>
      <c r="D21" s="31"/>
      <c r="E21" s="136">
        <v>3</v>
      </c>
      <c r="F21" s="99"/>
      <c r="G21" s="107"/>
      <c r="H21" s="31"/>
      <c r="I21" s="31"/>
      <c r="J21" s="31"/>
      <c r="K21" s="31"/>
      <c r="L21" s="136">
        <v>1</v>
      </c>
      <c r="M21" s="99"/>
      <c r="O21" s="133"/>
      <c r="Q21"/>
    </row>
    <row r="22" spans="1:17" ht="16.5" thickBot="1" x14ac:dyDescent="0.3">
      <c r="A22" s="33" t="s">
        <v>37</v>
      </c>
      <c r="B22" s="31"/>
      <c r="C22" s="31"/>
      <c r="D22" s="31"/>
      <c r="E22" s="31"/>
      <c r="F22" s="131">
        <f>F20*E21</f>
        <v>0</v>
      </c>
      <c r="G22" s="107"/>
      <c r="H22" s="31"/>
      <c r="I22" s="31"/>
      <c r="J22" s="31"/>
      <c r="K22" s="31"/>
      <c r="L22" s="31"/>
      <c r="M22" s="131">
        <f>M20*L21</f>
        <v>0</v>
      </c>
      <c r="O22" s="134">
        <f>F22+M22</f>
        <v>0</v>
      </c>
    </row>
    <row r="23" spans="1:17" ht="16.5" thickTop="1" x14ac:dyDescent="0.25">
      <c r="A23" s="31"/>
      <c r="B23" s="26"/>
      <c r="C23" s="31"/>
      <c r="D23" s="106"/>
      <c r="E23" s="31"/>
      <c r="F23" s="99"/>
      <c r="G23" s="107"/>
      <c r="H23" s="31"/>
      <c r="K23"/>
    </row>
    <row r="24" spans="1:17" x14ac:dyDescent="0.25">
      <c r="A24" s="12" t="s">
        <v>38</v>
      </c>
      <c r="K24"/>
    </row>
    <row r="25" spans="1:17" x14ac:dyDescent="0.25">
      <c r="A25" s="229"/>
      <c r="B25" s="229"/>
      <c r="C25" s="229"/>
      <c r="D25" s="229"/>
      <c r="E25" s="229"/>
      <c r="F25" s="229"/>
      <c r="G25" s="229"/>
      <c r="K25"/>
    </row>
    <row r="26" spans="1:17" x14ac:dyDescent="0.25">
      <c r="A26" s="229"/>
      <c r="B26" s="229"/>
      <c r="C26" s="229"/>
      <c r="D26" s="229"/>
      <c r="E26" s="229"/>
      <c r="F26" s="229"/>
      <c r="G26" s="229"/>
      <c r="K26"/>
    </row>
    <row r="27" spans="1:17" x14ac:dyDescent="0.25">
      <c r="A27" s="229"/>
      <c r="B27" s="229"/>
      <c r="C27" s="229"/>
      <c r="D27" s="229"/>
      <c r="E27" s="229"/>
      <c r="F27" s="229"/>
      <c r="G27" s="229"/>
      <c r="K27"/>
    </row>
    <row r="28" spans="1:17" x14ac:dyDescent="0.25">
      <c r="A28" s="229"/>
      <c r="B28" s="229"/>
      <c r="C28" s="229"/>
      <c r="D28" s="229"/>
      <c r="E28" s="229"/>
      <c r="F28" s="229"/>
      <c r="G28" s="229"/>
      <c r="K28"/>
    </row>
    <row r="29" spans="1:17" x14ac:dyDescent="0.25">
      <c r="A29" s="229"/>
      <c r="B29" s="229"/>
      <c r="C29" s="229"/>
      <c r="D29" s="229"/>
      <c r="E29" s="229"/>
      <c r="F29" s="229"/>
      <c r="G29" s="229"/>
      <c r="K29"/>
    </row>
    <row r="30" spans="1:17" x14ac:dyDescent="0.25">
      <c r="A30" s="229"/>
      <c r="B30" s="229"/>
      <c r="C30" s="229"/>
      <c r="D30" s="229"/>
      <c r="E30" s="229"/>
      <c r="F30" s="229"/>
      <c r="G30" s="229"/>
      <c r="K30"/>
    </row>
    <row r="31" spans="1:17" x14ac:dyDescent="0.25">
      <c r="A31" s="229"/>
      <c r="B31" s="229"/>
      <c r="C31" s="229"/>
      <c r="D31" s="229"/>
      <c r="E31" s="229"/>
      <c r="F31" s="229"/>
      <c r="G31" s="229"/>
      <c r="K31"/>
    </row>
    <row r="32" spans="1:17" x14ac:dyDescent="0.25">
      <c r="A32" s="229"/>
      <c r="B32" s="229"/>
      <c r="C32" s="229"/>
      <c r="D32" s="229"/>
      <c r="E32" s="229"/>
      <c r="F32" s="229"/>
      <c r="G32" s="229"/>
      <c r="K32"/>
    </row>
    <row r="33" spans="1:11" x14ac:dyDescent="0.25">
      <c r="A33" s="229"/>
      <c r="B33" s="229"/>
      <c r="C33" s="229"/>
      <c r="D33" s="229"/>
      <c r="E33" s="229"/>
      <c r="F33" s="229"/>
      <c r="G33" s="229"/>
      <c r="K33"/>
    </row>
    <row r="34" spans="1:11" x14ac:dyDescent="0.25">
      <c r="K34"/>
    </row>
  </sheetData>
  <mergeCells count="3">
    <mergeCell ref="B3:F3"/>
    <mergeCell ref="I3:M3"/>
    <mergeCell ref="A25:G33"/>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CE760-98E7-408F-A422-ABD7A48B1BA7}">
  <dimension ref="A1:R34"/>
  <sheetViews>
    <sheetView showGridLines="0" topLeftCell="B1" workbookViewId="0">
      <selection activeCell="L12" sqref="L12"/>
    </sheetView>
  </sheetViews>
  <sheetFormatPr defaultColWidth="11" defaultRowHeight="15.75" x14ac:dyDescent="0.25"/>
  <cols>
    <col min="1" max="1" width="51.375" customWidth="1"/>
    <col min="2" max="2" width="12.875" customWidth="1"/>
    <col min="6" max="6" width="11.5" style="104" bestFit="1" customWidth="1"/>
    <col min="11" max="11" width="15.125" style="104" customWidth="1"/>
    <col min="15" max="15" width="18.625" customWidth="1"/>
    <col min="17" max="17" width="11.5" style="104" bestFit="1" customWidth="1"/>
  </cols>
  <sheetData>
    <row r="1" spans="1:18" x14ac:dyDescent="0.25">
      <c r="A1" s="98" t="s">
        <v>49</v>
      </c>
      <c r="B1" s="31"/>
      <c r="C1" s="31"/>
      <c r="D1" s="31"/>
      <c r="E1" s="31" t="s">
        <v>46</v>
      </c>
      <c r="F1" s="99"/>
      <c r="G1" s="31"/>
      <c r="H1" s="31"/>
      <c r="I1" s="31"/>
      <c r="J1" s="31" t="s">
        <v>46</v>
      </c>
      <c r="K1" s="99"/>
      <c r="L1" s="31"/>
      <c r="M1" s="31"/>
      <c r="N1" s="31"/>
      <c r="O1" s="31"/>
      <c r="P1" s="31"/>
      <c r="Q1" s="99"/>
      <c r="R1" s="31"/>
    </row>
    <row r="2" spans="1:18" x14ac:dyDescent="0.25">
      <c r="A2" s="31"/>
      <c r="B2" s="31"/>
      <c r="C2" s="31"/>
      <c r="D2" s="31"/>
      <c r="E2" s="31"/>
      <c r="F2" s="99"/>
      <c r="G2" s="31"/>
      <c r="H2" s="31"/>
      <c r="I2" s="31"/>
      <c r="J2" s="31"/>
      <c r="K2" s="99"/>
      <c r="L2" s="31"/>
      <c r="M2" s="31"/>
      <c r="N2" s="31"/>
      <c r="O2" s="31"/>
      <c r="P2" s="31"/>
      <c r="Q2" s="99"/>
      <c r="R2" s="30"/>
    </row>
    <row r="3" spans="1:18" x14ac:dyDescent="0.25">
      <c r="A3" s="26"/>
      <c r="B3" s="228" t="s">
        <v>190</v>
      </c>
      <c r="C3" s="228"/>
      <c r="D3" s="228"/>
      <c r="E3" s="228"/>
      <c r="F3" s="228"/>
      <c r="G3" s="26"/>
      <c r="H3" s="31"/>
      <c r="I3" s="228" t="s">
        <v>189</v>
      </c>
      <c r="J3" s="228"/>
      <c r="K3" s="228"/>
      <c r="L3" s="228"/>
      <c r="M3" s="228"/>
      <c r="O3" s="135" t="s">
        <v>43</v>
      </c>
      <c r="P3" s="26"/>
      <c r="Q3" s="100"/>
      <c r="R3" s="30"/>
    </row>
    <row r="4" spans="1:18" x14ac:dyDescent="0.25">
      <c r="A4" s="26" t="s">
        <v>19</v>
      </c>
      <c r="B4" s="29" t="s">
        <v>20</v>
      </c>
      <c r="C4" s="30" t="s">
        <v>21</v>
      </c>
      <c r="D4" s="30" t="s">
        <v>22</v>
      </c>
      <c r="E4" s="30"/>
      <c r="F4" s="100"/>
      <c r="G4" s="26"/>
      <c r="H4" s="31"/>
      <c r="I4" s="29" t="s">
        <v>20</v>
      </c>
      <c r="J4" s="30" t="s">
        <v>21</v>
      </c>
      <c r="K4" s="30" t="s">
        <v>22</v>
      </c>
      <c r="L4" s="30"/>
      <c r="M4" s="100"/>
      <c r="O4" s="133"/>
      <c r="Q4"/>
    </row>
    <row r="5" spans="1:18" x14ac:dyDescent="0.25">
      <c r="A5" s="29" t="s">
        <v>24</v>
      </c>
      <c r="B5" s="127"/>
      <c r="C5" s="30" t="s">
        <v>21</v>
      </c>
      <c r="D5" s="126"/>
      <c r="E5" s="30" t="s">
        <v>25</v>
      </c>
      <c r="F5" s="51">
        <f>B5*D5</f>
        <v>0</v>
      </c>
      <c r="G5" s="29"/>
      <c r="H5" s="31"/>
      <c r="I5" s="127"/>
      <c r="J5" s="30" t="s">
        <v>21</v>
      </c>
      <c r="K5" s="51">
        <f>D5</f>
        <v>0</v>
      </c>
      <c r="L5" s="30" t="s">
        <v>25</v>
      </c>
      <c r="M5" s="51">
        <f>I5*K5</f>
        <v>0</v>
      </c>
      <c r="O5" s="133"/>
      <c r="Q5"/>
    </row>
    <row r="6" spans="1:18" x14ac:dyDescent="0.25">
      <c r="A6" s="29" t="s">
        <v>26</v>
      </c>
      <c r="B6" s="127"/>
      <c r="C6" s="30" t="s">
        <v>21</v>
      </c>
      <c r="D6" s="126"/>
      <c r="E6" s="30" t="s">
        <v>25</v>
      </c>
      <c r="F6" s="102">
        <f>B6*D6</f>
        <v>0</v>
      </c>
      <c r="G6" s="29"/>
      <c r="H6" s="31"/>
      <c r="I6" s="127"/>
      <c r="J6" s="30" t="s">
        <v>21</v>
      </c>
      <c r="K6" s="51">
        <f>D6</f>
        <v>0</v>
      </c>
      <c r="L6" s="30" t="s">
        <v>25</v>
      </c>
      <c r="M6" s="102">
        <f>I6*K6</f>
        <v>0</v>
      </c>
      <c r="O6" s="133"/>
      <c r="Q6"/>
    </row>
    <row r="7" spans="1:18" x14ac:dyDescent="0.25">
      <c r="A7" s="26" t="s">
        <v>27</v>
      </c>
      <c r="B7" s="29">
        <f>SUM(B5:B6)</f>
        <v>0</v>
      </c>
      <c r="C7" s="26"/>
      <c r="D7" s="26"/>
      <c r="E7" s="26"/>
      <c r="F7" s="51">
        <f>SUM(F5:F6)</f>
        <v>0</v>
      </c>
      <c r="G7" s="26"/>
      <c r="H7" s="31"/>
      <c r="I7" s="29">
        <f>SUM(I5:I6)</f>
        <v>0</v>
      </c>
      <c r="J7" s="26"/>
      <c r="K7" s="26"/>
      <c r="L7" s="26"/>
      <c r="M7" s="51">
        <f>SUM(M5:M6)</f>
        <v>0</v>
      </c>
      <c r="O7" s="133"/>
      <c r="Q7"/>
    </row>
    <row r="8" spans="1:18" x14ac:dyDescent="0.25">
      <c r="A8" s="26"/>
      <c r="B8" s="26"/>
      <c r="C8" s="26"/>
      <c r="D8" s="26"/>
      <c r="E8" s="26"/>
      <c r="F8" s="51"/>
      <c r="G8" s="26"/>
      <c r="H8" s="31"/>
      <c r="I8" s="26"/>
      <c r="J8" s="26"/>
      <c r="K8" s="26"/>
      <c r="L8" s="26"/>
      <c r="M8" s="51"/>
      <c r="O8" s="133"/>
      <c r="Q8"/>
    </row>
    <row r="9" spans="1:18" x14ac:dyDescent="0.25">
      <c r="A9" s="26" t="s">
        <v>28</v>
      </c>
      <c r="B9" s="26"/>
      <c r="C9" s="26"/>
      <c r="D9" s="26"/>
      <c r="E9" s="26"/>
      <c r="F9" s="51">
        <f>F7*(1+Rates!$F$6)</f>
        <v>0</v>
      </c>
      <c r="G9" s="26"/>
      <c r="H9" s="31"/>
      <c r="I9" s="26"/>
      <c r="J9" s="26"/>
      <c r="K9" s="26"/>
      <c r="L9" s="26"/>
      <c r="M9" s="51">
        <f>M7*(1+Rates!$F$6)</f>
        <v>0</v>
      </c>
      <c r="O9" s="133"/>
      <c r="Q9"/>
    </row>
    <row r="10" spans="1:18" x14ac:dyDescent="0.25">
      <c r="A10" s="26" t="s">
        <v>29</v>
      </c>
      <c r="B10" s="26"/>
      <c r="C10" s="26"/>
      <c r="D10" s="26"/>
      <c r="E10" s="26"/>
      <c r="F10" s="51">
        <f>F9*(1+Rates!$F$7)</f>
        <v>0</v>
      </c>
      <c r="G10" s="26"/>
      <c r="H10" s="31"/>
      <c r="I10" s="26"/>
      <c r="J10" s="26"/>
      <c r="K10" s="26"/>
      <c r="L10" s="26"/>
      <c r="M10" s="51">
        <f>M9*(1+Rates!$F$7)</f>
        <v>0</v>
      </c>
      <c r="O10" s="133"/>
      <c r="Q10"/>
    </row>
    <row r="11" spans="1:18" x14ac:dyDescent="0.25">
      <c r="A11" s="26" t="s">
        <v>30</v>
      </c>
      <c r="B11" s="26"/>
      <c r="C11" s="26"/>
      <c r="D11" s="26"/>
      <c r="E11" s="26"/>
      <c r="F11" s="130"/>
      <c r="G11" s="26"/>
      <c r="I11" s="26"/>
      <c r="J11" s="26"/>
      <c r="K11" s="26"/>
      <c r="L11" s="26"/>
      <c r="M11" s="130"/>
      <c r="O11" s="133"/>
      <c r="Q11"/>
    </row>
    <row r="12" spans="1:18" x14ac:dyDescent="0.25">
      <c r="A12" s="26" t="s">
        <v>197</v>
      </c>
      <c r="B12" s="26"/>
      <c r="C12" s="26"/>
      <c r="D12" s="26"/>
      <c r="E12" s="26"/>
      <c r="F12" s="130"/>
      <c r="G12" s="26"/>
      <c r="I12" s="26"/>
      <c r="J12" s="26"/>
      <c r="K12" s="26"/>
      <c r="L12" s="26"/>
      <c r="M12" s="130"/>
      <c r="O12" s="133"/>
      <c r="Q12"/>
    </row>
    <row r="13" spans="1:18" x14ac:dyDescent="0.25">
      <c r="A13" s="26" t="s">
        <v>31</v>
      </c>
      <c r="B13" s="26"/>
      <c r="C13" s="26"/>
      <c r="D13" s="26"/>
      <c r="E13" s="26"/>
      <c r="F13" s="130"/>
      <c r="G13" s="26"/>
      <c r="H13" s="31"/>
      <c r="I13" s="26"/>
      <c r="J13" s="26"/>
      <c r="K13" s="26"/>
      <c r="L13" s="26"/>
      <c r="M13" s="130"/>
      <c r="O13" s="133"/>
      <c r="Q13"/>
    </row>
    <row r="14" spans="1:18" x14ac:dyDescent="0.25">
      <c r="A14" s="33" t="s">
        <v>32</v>
      </c>
      <c r="B14" s="26"/>
      <c r="C14" s="26"/>
      <c r="D14" s="26"/>
      <c r="E14" s="26"/>
      <c r="F14" s="51">
        <f>SUM(F10:F13)</f>
        <v>0</v>
      </c>
      <c r="G14" s="26"/>
      <c r="H14" s="31"/>
      <c r="I14" s="26"/>
      <c r="J14" s="26"/>
      <c r="K14" s="26"/>
      <c r="L14" s="26"/>
      <c r="M14" s="51">
        <f>SUM(M10:M13)</f>
        <v>0</v>
      </c>
      <c r="O14" s="133"/>
      <c r="Q14"/>
    </row>
    <row r="15" spans="1:18" x14ac:dyDescent="0.25">
      <c r="A15" s="33"/>
      <c r="B15" s="26"/>
      <c r="C15" s="26"/>
      <c r="D15" s="26"/>
      <c r="E15" s="26"/>
      <c r="F15" s="51"/>
      <c r="G15" s="26"/>
      <c r="H15" s="31"/>
      <c r="I15" s="26"/>
      <c r="J15" s="26"/>
      <c r="K15" s="26"/>
      <c r="L15" s="26"/>
      <c r="M15" s="51"/>
      <c r="O15" s="133"/>
      <c r="Q15"/>
    </row>
    <row r="16" spans="1:18" x14ac:dyDescent="0.25">
      <c r="A16" s="26" t="s">
        <v>33</v>
      </c>
      <c r="B16" s="26"/>
      <c r="C16" s="26"/>
      <c r="D16" s="26"/>
      <c r="E16" s="26"/>
      <c r="F16" s="102">
        <f>F14*Rates!$F$8</f>
        <v>0</v>
      </c>
      <c r="G16" s="26"/>
      <c r="H16" s="31"/>
      <c r="I16" s="26"/>
      <c r="J16" s="26"/>
      <c r="K16" s="26"/>
      <c r="L16" s="26"/>
      <c r="M16" s="102">
        <f>M14*Rates!$F$8</f>
        <v>0</v>
      </c>
      <c r="O16" s="133"/>
      <c r="Q16"/>
    </row>
    <row r="17" spans="1:17" x14ac:dyDescent="0.25">
      <c r="A17" s="33" t="s">
        <v>34</v>
      </c>
      <c r="B17" s="31"/>
      <c r="C17" s="31"/>
      <c r="D17" s="31"/>
      <c r="E17" s="31"/>
      <c r="F17" s="99">
        <f>SUM(F14:F16)</f>
        <v>0</v>
      </c>
      <c r="G17" s="31"/>
      <c r="H17" s="31"/>
      <c r="I17" s="31"/>
      <c r="J17" s="31"/>
      <c r="K17" s="31"/>
      <c r="L17" s="31"/>
      <c r="M17" s="99">
        <f>SUM(M14:M16)</f>
        <v>0</v>
      </c>
      <c r="O17" s="133"/>
      <c r="Q17"/>
    </row>
    <row r="18" spans="1:17" x14ac:dyDescent="0.25">
      <c r="A18" s="26"/>
      <c r="B18" s="26"/>
      <c r="C18" s="26"/>
      <c r="D18" s="26"/>
      <c r="E18" s="26"/>
      <c r="F18" s="51"/>
      <c r="G18" s="26"/>
      <c r="H18" s="31"/>
      <c r="I18" s="26"/>
      <c r="J18" s="26"/>
      <c r="K18" s="26"/>
      <c r="L18" s="26"/>
      <c r="M18" s="51"/>
      <c r="O18" s="133"/>
      <c r="Q18"/>
    </row>
    <row r="19" spans="1:17" x14ac:dyDescent="0.25">
      <c r="A19" s="26" t="s">
        <v>16</v>
      </c>
      <c r="B19" s="26"/>
      <c r="C19" s="26"/>
      <c r="D19" s="26"/>
      <c r="E19" s="26"/>
      <c r="F19" s="102">
        <f>F17*Rates!$F$9</f>
        <v>0</v>
      </c>
      <c r="G19" s="26"/>
      <c r="H19" s="31"/>
      <c r="I19" s="26"/>
      <c r="J19" s="26"/>
      <c r="K19" s="26"/>
      <c r="L19" s="26"/>
      <c r="M19" s="102">
        <f>M17*Rates!$F$9</f>
        <v>0</v>
      </c>
      <c r="O19" s="133"/>
      <c r="Q19"/>
    </row>
    <row r="20" spans="1:17" x14ac:dyDescent="0.25">
      <c r="A20" s="33" t="s">
        <v>35</v>
      </c>
      <c r="B20" s="26"/>
      <c r="C20" s="26"/>
      <c r="D20" s="26"/>
      <c r="E20" s="26"/>
      <c r="F20" s="103">
        <f>SUM(F17:F19)</f>
        <v>0</v>
      </c>
      <c r="G20" s="107"/>
      <c r="H20" s="31"/>
      <c r="I20" s="26"/>
      <c r="J20" s="26"/>
      <c r="K20" s="26"/>
      <c r="L20" s="26"/>
      <c r="M20" s="103">
        <f>SUM(M17:M19)</f>
        <v>0</v>
      </c>
      <c r="O20" s="133"/>
      <c r="Q20"/>
    </row>
    <row r="21" spans="1:17" x14ac:dyDescent="0.25">
      <c r="A21" s="26" t="s">
        <v>36</v>
      </c>
      <c r="B21" s="31"/>
      <c r="C21" s="31"/>
      <c r="D21" s="31"/>
      <c r="E21" s="136">
        <v>2</v>
      </c>
      <c r="F21" s="99"/>
      <c r="G21" s="107"/>
      <c r="H21" s="31"/>
      <c r="I21" s="31"/>
      <c r="J21" s="31"/>
      <c r="K21" s="31"/>
      <c r="L21" s="136">
        <v>1</v>
      </c>
      <c r="M21" s="99"/>
      <c r="O21" s="133"/>
      <c r="Q21"/>
    </row>
    <row r="22" spans="1:17" ht="16.5" thickBot="1" x14ac:dyDescent="0.3">
      <c r="A22" s="33" t="s">
        <v>37</v>
      </c>
      <c r="B22" s="31"/>
      <c r="C22" s="31"/>
      <c r="D22" s="31"/>
      <c r="E22" s="31"/>
      <c r="F22" s="131">
        <f>F20*E21</f>
        <v>0</v>
      </c>
      <c r="G22" s="107"/>
      <c r="H22" s="31"/>
      <c r="I22" s="31"/>
      <c r="J22" s="31"/>
      <c r="K22" s="31"/>
      <c r="L22" s="31"/>
      <c r="M22" s="131">
        <f>M20*L21</f>
        <v>0</v>
      </c>
      <c r="O22" s="134">
        <f>F22+M22</f>
        <v>0</v>
      </c>
    </row>
    <row r="23" spans="1:17" ht="16.5" thickTop="1" x14ac:dyDescent="0.25">
      <c r="A23" s="31"/>
      <c r="B23" s="26"/>
      <c r="C23" s="31"/>
      <c r="D23" s="106"/>
      <c r="E23" s="31"/>
      <c r="F23" s="99"/>
      <c r="G23" s="107"/>
      <c r="H23" s="31"/>
      <c r="K23"/>
    </row>
    <row r="24" spans="1:17" x14ac:dyDescent="0.25">
      <c r="A24" s="12" t="s">
        <v>38</v>
      </c>
      <c r="K24"/>
    </row>
    <row r="25" spans="1:17" x14ac:dyDescent="0.25">
      <c r="A25" s="229"/>
      <c r="B25" s="229"/>
      <c r="C25" s="229"/>
      <c r="D25" s="229"/>
      <c r="E25" s="229"/>
      <c r="F25" s="229"/>
      <c r="G25" s="229"/>
      <c r="K25"/>
    </row>
    <row r="26" spans="1:17" x14ac:dyDescent="0.25">
      <c r="A26" s="229"/>
      <c r="B26" s="229"/>
      <c r="C26" s="229"/>
      <c r="D26" s="229"/>
      <c r="E26" s="229"/>
      <c r="F26" s="229"/>
      <c r="G26" s="229"/>
      <c r="K26"/>
    </row>
    <row r="27" spans="1:17" x14ac:dyDescent="0.25">
      <c r="A27" s="229"/>
      <c r="B27" s="229"/>
      <c r="C27" s="229"/>
      <c r="D27" s="229"/>
      <c r="E27" s="229"/>
      <c r="F27" s="229"/>
      <c r="G27" s="229"/>
      <c r="K27"/>
    </row>
    <row r="28" spans="1:17" x14ac:dyDescent="0.25">
      <c r="A28" s="229"/>
      <c r="B28" s="229"/>
      <c r="C28" s="229"/>
      <c r="D28" s="229"/>
      <c r="E28" s="229"/>
      <c r="F28" s="229"/>
      <c r="G28" s="229"/>
      <c r="K28"/>
    </row>
    <row r="29" spans="1:17" x14ac:dyDescent="0.25">
      <c r="A29" s="229"/>
      <c r="B29" s="229"/>
      <c r="C29" s="229"/>
      <c r="D29" s="229"/>
      <c r="E29" s="229"/>
      <c r="F29" s="229"/>
      <c r="G29" s="229"/>
      <c r="K29"/>
    </row>
    <row r="30" spans="1:17" x14ac:dyDescent="0.25">
      <c r="A30" s="229"/>
      <c r="B30" s="229"/>
      <c r="C30" s="229"/>
      <c r="D30" s="229"/>
      <c r="E30" s="229"/>
      <c r="F30" s="229"/>
      <c r="G30" s="229"/>
      <c r="K30"/>
    </row>
    <row r="31" spans="1:17" x14ac:dyDescent="0.25">
      <c r="A31" s="229"/>
      <c r="B31" s="229"/>
      <c r="C31" s="229"/>
      <c r="D31" s="229"/>
      <c r="E31" s="229"/>
      <c r="F31" s="229"/>
      <c r="G31" s="229"/>
      <c r="K31"/>
    </row>
    <row r="32" spans="1:17" x14ac:dyDescent="0.25">
      <c r="A32" s="229"/>
      <c r="B32" s="229"/>
      <c r="C32" s="229"/>
      <c r="D32" s="229"/>
      <c r="E32" s="229"/>
      <c r="F32" s="229"/>
      <c r="G32" s="229"/>
      <c r="K32"/>
    </row>
    <row r="33" spans="1:11" x14ac:dyDescent="0.25">
      <c r="A33" s="229"/>
      <c r="B33" s="229"/>
      <c r="C33" s="229"/>
      <c r="D33" s="229"/>
      <c r="E33" s="229"/>
      <c r="F33" s="229"/>
      <c r="G33" s="229"/>
      <c r="K33"/>
    </row>
    <row r="34" spans="1:11" x14ac:dyDescent="0.25">
      <c r="K34"/>
    </row>
  </sheetData>
  <mergeCells count="3">
    <mergeCell ref="B3:F3"/>
    <mergeCell ref="I3:M3"/>
    <mergeCell ref="A25:G3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16D22-2D41-499B-AD22-E6A33F4E7D85}">
  <dimension ref="A1:Z41"/>
  <sheetViews>
    <sheetView workbookViewId="0">
      <selection activeCell="F4" sqref="F4:N4"/>
    </sheetView>
  </sheetViews>
  <sheetFormatPr defaultColWidth="8.125" defaultRowHeight="15.75" x14ac:dyDescent="0.25"/>
  <cols>
    <col min="6" max="6" width="9.25" customWidth="1"/>
    <col min="7" max="7" width="8.625" customWidth="1"/>
    <col min="8" max="8" width="2.25" customWidth="1"/>
    <col min="9" max="9" width="4" customWidth="1"/>
    <col min="10" max="10" width="7.125" customWidth="1"/>
    <col min="11" max="11" width="2.25" customWidth="1"/>
    <col min="14" max="14" width="9.125" style="59" bestFit="1" customWidth="1"/>
    <col min="16" max="16" width="9.25" customWidth="1"/>
    <col min="17" max="17" width="8.625" customWidth="1"/>
    <col min="18" max="18" width="2.25" customWidth="1"/>
    <col min="19" max="19" width="4" customWidth="1"/>
    <col min="20" max="20" width="7.125" customWidth="1"/>
    <col min="21" max="21" width="2.25" customWidth="1"/>
    <col min="24" max="24" width="9.125" style="59" bestFit="1" customWidth="1"/>
    <col min="26" max="26" width="18.375" customWidth="1"/>
    <col min="262" max="262" width="9.25" customWidth="1"/>
    <col min="263" max="263" width="8.625" customWidth="1"/>
    <col min="264" max="264" width="2.25" customWidth="1"/>
    <col min="265" max="265" width="4" customWidth="1"/>
    <col min="266" max="266" width="7.125" customWidth="1"/>
    <col min="267" max="267" width="2.25" customWidth="1"/>
    <col min="270" max="270" width="9.125" bestFit="1" customWidth="1"/>
    <col min="518" max="518" width="9.25" customWidth="1"/>
    <col min="519" max="519" width="8.625" customWidth="1"/>
    <col min="520" max="520" width="2.25" customWidth="1"/>
    <col min="521" max="521" width="4" customWidth="1"/>
    <col min="522" max="522" width="7.125" customWidth="1"/>
    <col min="523" max="523" width="2.25" customWidth="1"/>
    <col min="526" max="526" width="9.125" bestFit="1" customWidth="1"/>
    <col min="774" max="774" width="9.25" customWidth="1"/>
    <col min="775" max="775" width="8.625" customWidth="1"/>
    <col min="776" max="776" width="2.25" customWidth="1"/>
    <col min="777" max="777" width="4" customWidth="1"/>
    <col min="778" max="778" width="7.125" customWidth="1"/>
    <col min="779" max="779" width="2.25" customWidth="1"/>
    <col min="782" max="782" width="9.125" bestFit="1" customWidth="1"/>
    <col min="1030" max="1030" width="9.25" customWidth="1"/>
    <col min="1031" max="1031" width="8.625" customWidth="1"/>
    <col min="1032" max="1032" width="2.25" customWidth="1"/>
    <col min="1033" max="1033" width="4" customWidth="1"/>
    <col min="1034" max="1034" width="7.125" customWidth="1"/>
    <col min="1035" max="1035" width="2.25" customWidth="1"/>
    <col min="1038" max="1038" width="9.125" bestFit="1" customWidth="1"/>
    <col min="1286" max="1286" width="9.25" customWidth="1"/>
    <col min="1287" max="1287" width="8.625" customWidth="1"/>
    <col min="1288" max="1288" width="2.25" customWidth="1"/>
    <col min="1289" max="1289" width="4" customWidth="1"/>
    <col min="1290" max="1290" width="7.125" customWidth="1"/>
    <col min="1291" max="1291" width="2.25" customWidth="1"/>
    <col min="1294" max="1294" width="9.125" bestFit="1" customWidth="1"/>
    <col min="1542" max="1542" width="9.25" customWidth="1"/>
    <col min="1543" max="1543" width="8.625" customWidth="1"/>
    <col min="1544" max="1544" width="2.25" customWidth="1"/>
    <col min="1545" max="1545" width="4" customWidth="1"/>
    <col min="1546" max="1546" width="7.125" customWidth="1"/>
    <col min="1547" max="1547" width="2.25" customWidth="1"/>
    <col min="1550" max="1550" width="9.125" bestFit="1" customWidth="1"/>
    <col min="1798" max="1798" width="9.25" customWidth="1"/>
    <col min="1799" max="1799" width="8.625" customWidth="1"/>
    <col min="1800" max="1800" width="2.25" customWidth="1"/>
    <col min="1801" max="1801" width="4" customWidth="1"/>
    <col min="1802" max="1802" width="7.125" customWidth="1"/>
    <col min="1803" max="1803" width="2.25" customWidth="1"/>
    <col min="1806" max="1806" width="9.125" bestFit="1" customWidth="1"/>
    <col min="2054" max="2054" width="9.25" customWidth="1"/>
    <col min="2055" max="2055" width="8.625" customWidth="1"/>
    <col min="2056" max="2056" width="2.25" customWidth="1"/>
    <col min="2057" max="2057" width="4" customWidth="1"/>
    <col min="2058" max="2058" width="7.125" customWidth="1"/>
    <col min="2059" max="2059" width="2.25" customWidth="1"/>
    <col min="2062" max="2062" width="9.125" bestFit="1" customWidth="1"/>
    <col min="2310" max="2310" width="9.25" customWidth="1"/>
    <col min="2311" max="2311" width="8.625" customWidth="1"/>
    <col min="2312" max="2312" width="2.25" customWidth="1"/>
    <col min="2313" max="2313" width="4" customWidth="1"/>
    <col min="2314" max="2314" width="7.125" customWidth="1"/>
    <col min="2315" max="2315" width="2.25" customWidth="1"/>
    <col min="2318" max="2318" width="9.125" bestFit="1" customWidth="1"/>
    <col min="2566" max="2566" width="9.25" customWidth="1"/>
    <col min="2567" max="2567" width="8.625" customWidth="1"/>
    <col min="2568" max="2568" width="2.25" customWidth="1"/>
    <col min="2569" max="2569" width="4" customWidth="1"/>
    <col min="2570" max="2570" width="7.125" customWidth="1"/>
    <col min="2571" max="2571" width="2.25" customWidth="1"/>
    <col min="2574" max="2574" width="9.125" bestFit="1" customWidth="1"/>
    <col min="2822" max="2822" width="9.25" customWidth="1"/>
    <col min="2823" max="2823" width="8.625" customWidth="1"/>
    <col min="2824" max="2824" width="2.25" customWidth="1"/>
    <col min="2825" max="2825" width="4" customWidth="1"/>
    <col min="2826" max="2826" width="7.125" customWidth="1"/>
    <col min="2827" max="2827" width="2.25" customWidth="1"/>
    <col min="2830" max="2830" width="9.125" bestFit="1" customWidth="1"/>
    <col min="3078" max="3078" width="9.25" customWidth="1"/>
    <col min="3079" max="3079" width="8.625" customWidth="1"/>
    <col min="3080" max="3080" width="2.25" customWidth="1"/>
    <col min="3081" max="3081" width="4" customWidth="1"/>
    <col min="3082" max="3082" width="7.125" customWidth="1"/>
    <col min="3083" max="3083" width="2.25" customWidth="1"/>
    <col min="3086" max="3086" width="9.125" bestFit="1" customWidth="1"/>
    <col min="3334" max="3334" width="9.25" customWidth="1"/>
    <col min="3335" max="3335" width="8.625" customWidth="1"/>
    <col min="3336" max="3336" width="2.25" customWidth="1"/>
    <col min="3337" max="3337" width="4" customWidth="1"/>
    <col min="3338" max="3338" width="7.125" customWidth="1"/>
    <col min="3339" max="3339" width="2.25" customWidth="1"/>
    <col min="3342" max="3342" width="9.125" bestFit="1" customWidth="1"/>
    <col min="3590" max="3590" width="9.25" customWidth="1"/>
    <col min="3591" max="3591" width="8.625" customWidth="1"/>
    <col min="3592" max="3592" width="2.25" customWidth="1"/>
    <col min="3593" max="3593" width="4" customWidth="1"/>
    <col min="3594" max="3594" width="7.125" customWidth="1"/>
    <col min="3595" max="3595" width="2.25" customWidth="1"/>
    <col min="3598" max="3598" width="9.125" bestFit="1" customWidth="1"/>
    <col min="3846" max="3846" width="9.25" customWidth="1"/>
    <col min="3847" max="3847" width="8.625" customWidth="1"/>
    <col min="3848" max="3848" width="2.25" customWidth="1"/>
    <col min="3849" max="3849" width="4" customWidth="1"/>
    <col min="3850" max="3850" width="7.125" customWidth="1"/>
    <col min="3851" max="3851" width="2.25" customWidth="1"/>
    <col min="3854" max="3854" width="9.125" bestFit="1" customWidth="1"/>
    <col min="4102" max="4102" width="9.25" customWidth="1"/>
    <col min="4103" max="4103" width="8.625" customWidth="1"/>
    <col min="4104" max="4104" width="2.25" customWidth="1"/>
    <col min="4105" max="4105" width="4" customWidth="1"/>
    <col min="4106" max="4106" width="7.125" customWidth="1"/>
    <col min="4107" max="4107" width="2.25" customWidth="1"/>
    <col min="4110" max="4110" width="9.125" bestFit="1" customWidth="1"/>
    <col min="4358" max="4358" width="9.25" customWidth="1"/>
    <col min="4359" max="4359" width="8.625" customWidth="1"/>
    <col min="4360" max="4360" width="2.25" customWidth="1"/>
    <col min="4361" max="4361" width="4" customWidth="1"/>
    <col min="4362" max="4362" width="7.125" customWidth="1"/>
    <col min="4363" max="4363" width="2.25" customWidth="1"/>
    <col min="4366" max="4366" width="9.125" bestFit="1" customWidth="1"/>
    <col min="4614" max="4614" width="9.25" customWidth="1"/>
    <col min="4615" max="4615" width="8.625" customWidth="1"/>
    <col min="4616" max="4616" width="2.25" customWidth="1"/>
    <col min="4617" max="4617" width="4" customWidth="1"/>
    <col min="4618" max="4618" width="7.125" customWidth="1"/>
    <col min="4619" max="4619" width="2.25" customWidth="1"/>
    <col min="4622" max="4622" width="9.125" bestFit="1" customWidth="1"/>
    <col min="4870" max="4870" width="9.25" customWidth="1"/>
    <col min="4871" max="4871" width="8.625" customWidth="1"/>
    <col min="4872" max="4872" width="2.25" customWidth="1"/>
    <col min="4873" max="4873" width="4" customWidth="1"/>
    <col min="4874" max="4874" width="7.125" customWidth="1"/>
    <col min="4875" max="4875" width="2.25" customWidth="1"/>
    <col min="4878" max="4878" width="9.125" bestFit="1" customWidth="1"/>
    <col min="5126" max="5126" width="9.25" customWidth="1"/>
    <col min="5127" max="5127" width="8.625" customWidth="1"/>
    <col min="5128" max="5128" width="2.25" customWidth="1"/>
    <col min="5129" max="5129" width="4" customWidth="1"/>
    <col min="5130" max="5130" width="7.125" customWidth="1"/>
    <col min="5131" max="5131" width="2.25" customWidth="1"/>
    <col min="5134" max="5134" width="9.125" bestFit="1" customWidth="1"/>
    <col min="5382" max="5382" width="9.25" customWidth="1"/>
    <col min="5383" max="5383" width="8.625" customWidth="1"/>
    <col min="5384" max="5384" width="2.25" customWidth="1"/>
    <col min="5385" max="5385" width="4" customWidth="1"/>
    <col min="5386" max="5386" width="7.125" customWidth="1"/>
    <col min="5387" max="5387" width="2.25" customWidth="1"/>
    <col min="5390" max="5390" width="9.125" bestFit="1" customWidth="1"/>
    <col min="5638" max="5638" width="9.25" customWidth="1"/>
    <col min="5639" max="5639" width="8.625" customWidth="1"/>
    <col min="5640" max="5640" width="2.25" customWidth="1"/>
    <col min="5641" max="5641" width="4" customWidth="1"/>
    <col min="5642" max="5642" width="7.125" customWidth="1"/>
    <col min="5643" max="5643" width="2.25" customWidth="1"/>
    <col min="5646" max="5646" width="9.125" bestFit="1" customWidth="1"/>
    <col min="5894" max="5894" width="9.25" customWidth="1"/>
    <col min="5895" max="5895" width="8.625" customWidth="1"/>
    <col min="5896" max="5896" width="2.25" customWidth="1"/>
    <col min="5897" max="5897" width="4" customWidth="1"/>
    <col min="5898" max="5898" width="7.125" customWidth="1"/>
    <col min="5899" max="5899" width="2.25" customWidth="1"/>
    <col min="5902" max="5902" width="9.125" bestFit="1" customWidth="1"/>
    <col min="6150" max="6150" width="9.25" customWidth="1"/>
    <col min="6151" max="6151" width="8.625" customWidth="1"/>
    <col min="6152" max="6152" width="2.25" customWidth="1"/>
    <col min="6153" max="6153" width="4" customWidth="1"/>
    <col min="6154" max="6154" width="7.125" customWidth="1"/>
    <col min="6155" max="6155" width="2.25" customWidth="1"/>
    <col min="6158" max="6158" width="9.125" bestFit="1" customWidth="1"/>
    <col min="6406" max="6406" width="9.25" customWidth="1"/>
    <col min="6407" max="6407" width="8.625" customWidth="1"/>
    <col min="6408" max="6408" width="2.25" customWidth="1"/>
    <col min="6409" max="6409" width="4" customWidth="1"/>
    <col min="6410" max="6410" width="7.125" customWidth="1"/>
    <col min="6411" max="6411" width="2.25" customWidth="1"/>
    <col min="6414" max="6414" width="9.125" bestFit="1" customWidth="1"/>
    <col min="6662" max="6662" width="9.25" customWidth="1"/>
    <col min="6663" max="6663" width="8.625" customWidth="1"/>
    <col min="6664" max="6664" width="2.25" customWidth="1"/>
    <col min="6665" max="6665" width="4" customWidth="1"/>
    <col min="6666" max="6666" width="7.125" customWidth="1"/>
    <col min="6667" max="6667" width="2.25" customWidth="1"/>
    <col min="6670" max="6670" width="9.125" bestFit="1" customWidth="1"/>
    <col min="6918" max="6918" width="9.25" customWidth="1"/>
    <col min="6919" max="6919" width="8.625" customWidth="1"/>
    <col min="6920" max="6920" width="2.25" customWidth="1"/>
    <col min="6921" max="6921" width="4" customWidth="1"/>
    <col min="6922" max="6922" width="7.125" customWidth="1"/>
    <col min="6923" max="6923" width="2.25" customWidth="1"/>
    <col min="6926" max="6926" width="9.125" bestFit="1" customWidth="1"/>
    <col min="7174" max="7174" width="9.25" customWidth="1"/>
    <col min="7175" max="7175" width="8.625" customWidth="1"/>
    <col min="7176" max="7176" width="2.25" customWidth="1"/>
    <col min="7177" max="7177" width="4" customWidth="1"/>
    <col min="7178" max="7178" width="7.125" customWidth="1"/>
    <col min="7179" max="7179" width="2.25" customWidth="1"/>
    <col min="7182" max="7182" width="9.125" bestFit="1" customWidth="1"/>
    <col min="7430" max="7430" width="9.25" customWidth="1"/>
    <col min="7431" max="7431" width="8.625" customWidth="1"/>
    <col min="7432" max="7432" width="2.25" customWidth="1"/>
    <col min="7433" max="7433" width="4" customWidth="1"/>
    <col min="7434" max="7434" width="7.125" customWidth="1"/>
    <col min="7435" max="7435" width="2.25" customWidth="1"/>
    <col min="7438" max="7438" width="9.125" bestFit="1" customWidth="1"/>
    <col min="7686" max="7686" width="9.25" customWidth="1"/>
    <col min="7687" max="7687" width="8.625" customWidth="1"/>
    <col min="7688" max="7688" width="2.25" customWidth="1"/>
    <col min="7689" max="7689" width="4" customWidth="1"/>
    <col min="7690" max="7690" width="7.125" customWidth="1"/>
    <col min="7691" max="7691" width="2.25" customWidth="1"/>
    <col min="7694" max="7694" width="9.125" bestFit="1" customWidth="1"/>
    <col min="7942" max="7942" width="9.25" customWidth="1"/>
    <col min="7943" max="7943" width="8.625" customWidth="1"/>
    <col min="7944" max="7944" width="2.25" customWidth="1"/>
    <col min="7945" max="7945" width="4" customWidth="1"/>
    <col min="7946" max="7946" width="7.125" customWidth="1"/>
    <col min="7947" max="7947" width="2.25" customWidth="1"/>
    <col min="7950" max="7950" width="9.125" bestFit="1" customWidth="1"/>
    <col min="8198" max="8198" width="9.25" customWidth="1"/>
    <col min="8199" max="8199" width="8.625" customWidth="1"/>
    <col min="8200" max="8200" width="2.25" customWidth="1"/>
    <col min="8201" max="8201" width="4" customWidth="1"/>
    <col min="8202" max="8202" width="7.125" customWidth="1"/>
    <col min="8203" max="8203" width="2.25" customWidth="1"/>
    <col min="8206" max="8206" width="9.125" bestFit="1" customWidth="1"/>
    <col min="8454" max="8454" width="9.25" customWidth="1"/>
    <col min="8455" max="8455" width="8.625" customWidth="1"/>
    <col min="8456" max="8456" width="2.25" customWidth="1"/>
    <col min="8457" max="8457" width="4" customWidth="1"/>
    <col min="8458" max="8458" width="7.125" customWidth="1"/>
    <col min="8459" max="8459" width="2.25" customWidth="1"/>
    <col min="8462" max="8462" width="9.125" bestFit="1" customWidth="1"/>
    <col min="8710" max="8710" width="9.25" customWidth="1"/>
    <col min="8711" max="8711" width="8.625" customWidth="1"/>
    <col min="8712" max="8712" width="2.25" customWidth="1"/>
    <col min="8713" max="8713" width="4" customWidth="1"/>
    <col min="8714" max="8714" width="7.125" customWidth="1"/>
    <col min="8715" max="8715" width="2.25" customWidth="1"/>
    <col min="8718" max="8718" width="9.125" bestFit="1" customWidth="1"/>
    <col min="8966" max="8966" width="9.25" customWidth="1"/>
    <col min="8967" max="8967" width="8.625" customWidth="1"/>
    <col min="8968" max="8968" width="2.25" customWidth="1"/>
    <col min="8969" max="8969" width="4" customWidth="1"/>
    <col min="8970" max="8970" width="7.125" customWidth="1"/>
    <col min="8971" max="8971" width="2.25" customWidth="1"/>
    <col min="8974" max="8974" width="9.125" bestFit="1" customWidth="1"/>
    <col min="9222" max="9222" width="9.25" customWidth="1"/>
    <col min="9223" max="9223" width="8.625" customWidth="1"/>
    <col min="9224" max="9224" width="2.25" customWidth="1"/>
    <col min="9225" max="9225" width="4" customWidth="1"/>
    <col min="9226" max="9226" width="7.125" customWidth="1"/>
    <col min="9227" max="9227" width="2.25" customWidth="1"/>
    <col min="9230" max="9230" width="9.125" bestFit="1" customWidth="1"/>
    <col min="9478" max="9478" width="9.25" customWidth="1"/>
    <col min="9479" max="9479" width="8.625" customWidth="1"/>
    <col min="9480" max="9480" width="2.25" customWidth="1"/>
    <col min="9481" max="9481" width="4" customWidth="1"/>
    <col min="9482" max="9482" width="7.125" customWidth="1"/>
    <col min="9483" max="9483" width="2.25" customWidth="1"/>
    <col min="9486" max="9486" width="9.125" bestFit="1" customWidth="1"/>
    <col min="9734" max="9734" width="9.25" customWidth="1"/>
    <col min="9735" max="9735" width="8.625" customWidth="1"/>
    <col min="9736" max="9736" width="2.25" customWidth="1"/>
    <col min="9737" max="9737" width="4" customWidth="1"/>
    <col min="9738" max="9738" width="7.125" customWidth="1"/>
    <col min="9739" max="9739" width="2.25" customWidth="1"/>
    <col min="9742" max="9742" width="9.125" bestFit="1" customWidth="1"/>
    <col min="9990" max="9990" width="9.25" customWidth="1"/>
    <col min="9991" max="9991" width="8.625" customWidth="1"/>
    <col min="9992" max="9992" width="2.25" customWidth="1"/>
    <col min="9993" max="9993" width="4" customWidth="1"/>
    <col min="9994" max="9994" width="7.125" customWidth="1"/>
    <col min="9995" max="9995" width="2.25" customWidth="1"/>
    <col min="9998" max="9998" width="9.125" bestFit="1" customWidth="1"/>
    <col min="10246" max="10246" width="9.25" customWidth="1"/>
    <col min="10247" max="10247" width="8.625" customWidth="1"/>
    <col min="10248" max="10248" width="2.25" customWidth="1"/>
    <col min="10249" max="10249" width="4" customWidth="1"/>
    <col min="10250" max="10250" width="7.125" customWidth="1"/>
    <col min="10251" max="10251" width="2.25" customWidth="1"/>
    <col min="10254" max="10254" width="9.125" bestFit="1" customWidth="1"/>
    <col min="10502" max="10502" width="9.25" customWidth="1"/>
    <col min="10503" max="10503" width="8.625" customWidth="1"/>
    <col min="10504" max="10504" width="2.25" customWidth="1"/>
    <col min="10505" max="10505" width="4" customWidth="1"/>
    <col min="10506" max="10506" width="7.125" customWidth="1"/>
    <col min="10507" max="10507" width="2.25" customWidth="1"/>
    <col min="10510" max="10510" width="9.125" bestFit="1" customWidth="1"/>
    <col min="10758" max="10758" width="9.25" customWidth="1"/>
    <col min="10759" max="10759" width="8.625" customWidth="1"/>
    <col min="10760" max="10760" width="2.25" customWidth="1"/>
    <col min="10761" max="10761" width="4" customWidth="1"/>
    <col min="10762" max="10762" width="7.125" customWidth="1"/>
    <col min="10763" max="10763" width="2.25" customWidth="1"/>
    <col min="10766" max="10766" width="9.125" bestFit="1" customWidth="1"/>
    <col min="11014" max="11014" width="9.25" customWidth="1"/>
    <col min="11015" max="11015" width="8.625" customWidth="1"/>
    <col min="11016" max="11016" width="2.25" customWidth="1"/>
    <col min="11017" max="11017" width="4" customWidth="1"/>
    <col min="11018" max="11018" width="7.125" customWidth="1"/>
    <col min="11019" max="11019" width="2.25" customWidth="1"/>
    <col min="11022" max="11022" width="9.125" bestFit="1" customWidth="1"/>
    <col min="11270" max="11270" width="9.25" customWidth="1"/>
    <col min="11271" max="11271" width="8.625" customWidth="1"/>
    <col min="11272" max="11272" width="2.25" customWidth="1"/>
    <col min="11273" max="11273" width="4" customWidth="1"/>
    <col min="11274" max="11274" width="7.125" customWidth="1"/>
    <col min="11275" max="11275" width="2.25" customWidth="1"/>
    <col min="11278" max="11278" width="9.125" bestFit="1" customWidth="1"/>
    <col min="11526" max="11526" width="9.25" customWidth="1"/>
    <col min="11527" max="11527" width="8.625" customWidth="1"/>
    <col min="11528" max="11528" width="2.25" customWidth="1"/>
    <col min="11529" max="11529" width="4" customWidth="1"/>
    <col min="11530" max="11530" width="7.125" customWidth="1"/>
    <col min="11531" max="11531" width="2.25" customWidth="1"/>
    <col min="11534" max="11534" width="9.125" bestFit="1" customWidth="1"/>
    <col min="11782" max="11782" width="9.25" customWidth="1"/>
    <col min="11783" max="11783" width="8.625" customWidth="1"/>
    <col min="11784" max="11784" width="2.25" customWidth="1"/>
    <col min="11785" max="11785" width="4" customWidth="1"/>
    <col min="11786" max="11786" width="7.125" customWidth="1"/>
    <col min="11787" max="11787" width="2.25" customWidth="1"/>
    <col min="11790" max="11790" width="9.125" bestFit="1" customWidth="1"/>
    <col min="12038" max="12038" width="9.25" customWidth="1"/>
    <col min="12039" max="12039" width="8.625" customWidth="1"/>
    <col min="12040" max="12040" width="2.25" customWidth="1"/>
    <col min="12041" max="12041" width="4" customWidth="1"/>
    <col min="12042" max="12042" width="7.125" customWidth="1"/>
    <col min="12043" max="12043" width="2.25" customWidth="1"/>
    <col min="12046" max="12046" width="9.125" bestFit="1" customWidth="1"/>
    <col min="12294" max="12294" width="9.25" customWidth="1"/>
    <col min="12295" max="12295" width="8.625" customWidth="1"/>
    <col min="12296" max="12296" width="2.25" customWidth="1"/>
    <col min="12297" max="12297" width="4" customWidth="1"/>
    <col min="12298" max="12298" width="7.125" customWidth="1"/>
    <col min="12299" max="12299" width="2.25" customWidth="1"/>
    <col min="12302" max="12302" width="9.125" bestFit="1" customWidth="1"/>
    <col min="12550" max="12550" width="9.25" customWidth="1"/>
    <col min="12551" max="12551" width="8.625" customWidth="1"/>
    <col min="12552" max="12552" width="2.25" customWidth="1"/>
    <col min="12553" max="12553" width="4" customWidth="1"/>
    <col min="12554" max="12554" width="7.125" customWidth="1"/>
    <col min="12555" max="12555" width="2.25" customWidth="1"/>
    <col min="12558" max="12558" width="9.125" bestFit="1" customWidth="1"/>
    <col min="12806" max="12806" width="9.25" customWidth="1"/>
    <col min="12807" max="12807" width="8.625" customWidth="1"/>
    <col min="12808" max="12808" width="2.25" customWidth="1"/>
    <col min="12809" max="12809" width="4" customWidth="1"/>
    <col min="12810" max="12810" width="7.125" customWidth="1"/>
    <col min="12811" max="12811" width="2.25" customWidth="1"/>
    <col min="12814" max="12814" width="9.125" bestFit="1" customWidth="1"/>
    <col min="13062" max="13062" width="9.25" customWidth="1"/>
    <col min="13063" max="13063" width="8.625" customWidth="1"/>
    <col min="13064" max="13064" width="2.25" customWidth="1"/>
    <col min="13065" max="13065" width="4" customWidth="1"/>
    <col min="13066" max="13066" width="7.125" customWidth="1"/>
    <col min="13067" max="13067" width="2.25" customWidth="1"/>
    <col min="13070" max="13070" width="9.125" bestFit="1" customWidth="1"/>
    <col min="13318" max="13318" width="9.25" customWidth="1"/>
    <col min="13319" max="13319" width="8.625" customWidth="1"/>
    <col min="13320" max="13320" width="2.25" customWidth="1"/>
    <col min="13321" max="13321" width="4" customWidth="1"/>
    <col min="13322" max="13322" width="7.125" customWidth="1"/>
    <col min="13323" max="13323" width="2.25" customWidth="1"/>
    <col min="13326" max="13326" width="9.125" bestFit="1" customWidth="1"/>
    <col min="13574" max="13574" width="9.25" customWidth="1"/>
    <col min="13575" max="13575" width="8.625" customWidth="1"/>
    <col min="13576" max="13576" width="2.25" customWidth="1"/>
    <col min="13577" max="13577" width="4" customWidth="1"/>
    <col min="13578" max="13578" width="7.125" customWidth="1"/>
    <col min="13579" max="13579" width="2.25" customWidth="1"/>
    <col min="13582" max="13582" width="9.125" bestFit="1" customWidth="1"/>
    <col min="13830" max="13830" width="9.25" customWidth="1"/>
    <col min="13831" max="13831" width="8.625" customWidth="1"/>
    <col min="13832" max="13832" width="2.25" customWidth="1"/>
    <col min="13833" max="13833" width="4" customWidth="1"/>
    <col min="13834" max="13834" width="7.125" customWidth="1"/>
    <col min="13835" max="13835" width="2.25" customWidth="1"/>
    <col min="13838" max="13838" width="9.125" bestFit="1" customWidth="1"/>
    <col min="14086" max="14086" width="9.25" customWidth="1"/>
    <col min="14087" max="14087" width="8.625" customWidth="1"/>
    <col min="14088" max="14088" width="2.25" customWidth="1"/>
    <col min="14089" max="14089" width="4" customWidth="1"/>
    <col min="14090" max="14090" width="7.125" customWidth="1"/>
    <col min="14091" max="14091" width="2.25" customWidth="1"/>
    <col min="14094" max="14094" width="9.125" bestFit="1" customWidth="1"/>
    <col min="14342" max="14342" width="9.25" customWidth="1"/>
    <col min="14343" max="14343" width="8.625" customWidth="1"/>
    <col min="14344" max="14344" width="2.25" customWidth="1"/>
    <col min="14345" max="14345" width="4" customWidth="1"/>
    <col min="14346" max="14346" width="7.125" customWidth="1"/>
    <col min="14347" max="14347" width="2.25" customWidth="1"/>
    <col min="14350" max="14350" width="9.125" bestFit="1" customWidth="1"/>
    <col min="14598" max="14598" width="9.25" customWidth="1"/>
    <col min="14599" max="14599" width="8.625" customWidth="1"/>
    <col min="14600" max="14600" width="2.25" customWidth="1"/>
    <col min="14601" max="14601" width="4" customWidth="1"/>
    <col min="14602" max="14602" width="7.125" customWidth="1"/>
    <col min="14603" max="14603" width="2.25" customWidth="1"/>
    <col min="14606" max="14606" width="9.125" bestFit="1" customWidth="1"/>
    <col min="14854" max="14854" width="9.25" customWidth="1"/>
    <col min="14855" max="14855" width="8.625" customWidth="1"/>
    <col min="14856" max="14856" width="2.25" customWidth="1"/>
    <col min="14857" max="14857" width="4" customWidth="1"/>
    <col min="14858" max="14858" width="7.125" customWidth="1"/>
    <col min="14859" max="14859" width="2.25" customWidth="1"/>
    <col min="14862" max="14862" width="9.125" bestFit="1" customWidth="1"/>
    <col min="15110" max="15110" width="9.25" customWidth="1"/>
    <col min="15111" max="15111" width="8.625" customWidth="1"/>
    <col min="15112" max="15112" width="2.25" customWidth="1"/>
    <col min="15113" max="15113" width="4" customWidth="1"/>
    <col min="15114" max="15114" width="7.125" customWidth="1"/>
    <col min="15115" max="15115" width="2.25" customWidth="1"/>
    <col min="15118" max="15118" width="9.125" bestFit="1" customWidth="1"/>
    <col min="15366" max="15366" width="9.25" customWidth="1"/>
    <col min="15367" max="15367" width="8.625" customWidth="1"/>
    <col min="15368" max="15368" width="2.25" customWidth="1"/>
    <col min="15369" max="15369" width="4" customWidth="1"/>
    <col min="15370" max="15370" width="7.125" customWidth="1"/>
    <col min="15371" max="15371" width="2.25" customWidth="1"/>
    <col min="15374" max="15374" width="9.125" bestFit="1" customWidth="1"/>
    <col min="15622" max="15622" width="9.25" customWidth="1"/>
    <col min="15623" max="15623" width="8.625" customWidth="1"/>
    <col min="15624" max="15624" width="2.25" customWidth="1"/>
    <col min="15625" max="15625" width="4" customWidth="1"/>
    <col min="15626" max="15626" width="7.125" customWidth="1"/>
    <col min="15627" max="15627" width="2.25" customWidth="1"/>
    <col min="15630" max="15630" width="9.125" bestFit="1" customWidth="1"/>
    <col min="15878" max="15878" width="9.25" customWidth="1"/>
    <col min="15879" max="15879" width="8.625" customWidth="1"/>
    <col min="15880" max="15880" width="2.25" customWidth="1"/>
    <col min="15881" max="15881" width="4" customWidth="1"/>
    <col min="15882" max="15882" width="7.125" customWidth="1"/>
    <col min="15883" max="15883" width="2.25" customWidth="1"/>
    <col min="15886" max="15886" width="9.125" bestFit="1" customWidth="1"/>
    <col min="16134" max="16134" width="9.25" customWidth="1"/>
    <col min="16135" max="16135" width="8.625" customWidth="1"/>
    <col min="16136" max="16136" width="2.25" customWidth="1"/>
    <col min="16137" max="16137" width="4" customWidth="1"/>
    <col min="16138" max="16138" width="7.125" customWidth="1"/>
    <col min="16139" max="16139" width="2.25" customWidth="1"/>
    <col min="16142" max="16142" width="9.125" bestFit="1" customWidth="1"/>
  </cols>
  <sheetData>
    <row r="1" spans="1:26" ht="18.75" x14ac:dyDescent="0.3">
      <c r="A1" s="56" t="s">
        <v>172</v>
      </c>
      <c r="I1" s="57"/>
      <c r="J1" s="57"/>
      <c r="K1" s="57"/>
      <c r="L1" s="57"/>
      <c r="M1" s="57"/>
      <c r="N1" s="58"/>
      <c r="S1" s="57"/>
      <c r="T1" s="57"/>
      <c r="U1" s="57"/>
      <c r="V1" s="57"/>
      <c r="W1" s="57"/>
      <c r="X1" s="58"/>
      <c r="Z1" s="31"/>
    </row>
    <row r="2" spans="1:26" x14ac:dyDescent="0.25">
      <c r="A2" t="s">
        <v>50</v>
      </c>
      <c r="Z2" s="31"/>
    </row>
    <row r="3" spans="1:26" x14ac:dyDescent="0.25">
      <c r="A3" s="60"/>
      <c r="B3" s="60"/>
      <c r="C3" s="60"/>
      <c r="D3" s="60"/>
      <c r="E3" s="60"/>
      <c r="F3" s="60"/>
      <c r="G3" s="60"/>
      <c r="H3" s="61"/>
      <c r="I3" s="60"/>
      <c r="J3" s="60"/>
      <c r="K3" s="60"/>
      <c r="L3" s="60"/>
      <c r="M3" s="61"/>
      <c r="N3" s="62"/>
      <c r="O3" s="63"/>
      <c r="P3" s="60"/>
      <c r="Q3" s="60"/>
      <c r="R3" s="61"/>
      <c r="S3" s="60"/>
      <c r="T3" s="60"/>
      <c r="U3" s="60"/>
      <c r="V3" s="60"/>
      <c r="W3" s="61"/>
      <c r="X3" s="62"/>
    </row>
    <row r="4" spans="1:26" ht="16.5" thickBot="1" x14ac:dyDescent="0.3">
      <c r="A4" s="63"/>
      <c r="B4" s="63"/>
      <c r="C4" s="63"/>
      <c r="D4" s="63"/>
      <c r="E4" s="63"/>
      <c r="F4" s="255" t="s">
        <v>190</v>
      </c>
      <c r="G4" s="255"/>
      <c r="H4" s="255"/>
      <c r="I4" s="255"/>
      <c r="J4" s="255"/>
      <c r="K4" s="255"/>
      <c r="L4" s="255"/>
      <c r="M4" s="255"/>
      <c r="N4" s="255"/>
      <c r="O4" s="60"/>
      <c r="P4" s="255" t="s">
        <v>187</v>
      </c>
      <c r="Q4" s="255"/>
      <c r="R4" s="255"/>
      <c r="S4" s="255"/>
      <c r="T4" s="255"/>
      <c r="U4" s="255"/>
      <c r="V4" s="255"/>
      <c r="W4" s="255"/>
      <c r="X4" s="255"/>
      <c r="Z4" s="153" t="s">
        <v>43</v>
      </c>
    </row>
    <row r="5" spans="1:26" x14ac:dyDescent="0.25">
      <c r="A5" s="60"/>
      <c r="B5" s="64"/>
      <c r="C5" s="65"/>
      <c r="D5" s="65"/>
      <c r="E5" s="65"/>
      <c r="F5" s="256" t="s">
        <v>51</v>
      </c>
      <c r="G5" s="257"/>
      <c r="H5" s="66"/>
      <c r="I5" s="256" t="s">
        <v>51</v>
      </c>
      <c r="J5" s="257"/>
      <c r="K5" s="66"/>
      <c r="L5" s="66"/>
      <c r="M5" s="66"/>
      <c r="N5" s="67"/>
      <c r="O5" s="60"/>
      <c r="P5" s="256" t="s">
        <v>51</v>
      </c>
      <c r="Q5" s="257"/>
      <c r="R5" s="66"/>
      <c r="S5" s="256" t="s">
        <v>51</v>
      </c>
      <c r="T5" s="257"/>
      <c r="U5" s="66"/>
      <c r="V5" s="66"/>
      <c r="W5" s="66"/>
      <c r="X5" s="67"/>
      <c r="Z5" s="154"/>
    </row>
    <row r="6" spans="1:26" x14ac:dyDescent="0.25">
      <c r="A6" s="60"/>
      <c r="B6" s="93"/>
      <c r="C6" s="60"/>
      <c r="D6" s="60"/>
      <c r="E6" s="60"/>
      <c r="F6" s="139" t="s">
        <v>52</v>
      </c>
      <c r="G6" s="140"/>
      <c r="H6" s="141"/>
      <c r="I6" s="139" t="s">
        <v>53</v>
      </c>
      <c r="J6" s="140"/>
      <c r="K6" s="141"/>
      <c r="L6" s="141" t="s">
        <v>53</v>
      </c>
      <c r="M6" s="141"/>
      <c r="N6" s="142"/>
      <c r="O6" s="60"/>
      <c r="P6" s="139" t="s">
        <v>52</v>
      </c>
      <c r="Q6" s="140"/>
      <c r="R6" s="141"/>
      <c r="S6" s="139" t="s">
        <v>53</v>
      </c>
      <c r="T6" s="140"/>
      <c r="U6" s="141"/>
      <c r="V6" s="141" t="s">
        <v>53</v>
      </c>
      <c r="W6" s="141"/>
      <c r="X6" s="142"/>
      <c r="Z6" s="154"/>
    </row>
    <row r="7" spans="1:26" ht="31.5" x14ac:dyDescent="0.25">
      <c r="A7" s="60">
        <v>1</v>
      </c>
      <c r="B7" s="242" t="s">
        <v>54</v>
      </c>
      <c r="C7" s="243"/>
      <c r="D7" s="243"/>
      <c r="E7" s="244"/>
      <c r="F7" s="143"/>
      <c r="G7" s="68" t="s">
        <v>55</v>
      </c>
      <c r="H7" s="69" t="s">
        <v>56</v>
      </c>
      <c r="I7" s="146"/>
      <c r="J7" s="69" t="s">
        <v>57</v>
      </c>
      <c r="K7" s="69" t="s">
        <v>21</v>
      </c>
      <c r="L7" s="146"/>
      <c r="M7" s="69" t="s">
        <v>25</v>
      </c>
      <c r="N7" s="70">
        <f>F7*I7*L7</f>
        <v>0</v>
      </c>
      <c r="O7" s="60"/>
      <c r="P7" s="143"/>
      <c r="Q7" s="68" t="s">
        <v>55</v>
      </c>
      <c r="R7" s="69" t="s">
        <v>56</v>
      </c>
      <c r="S7" s="146"/>
      <c r="T7" s="69" t="s">
        <v>57</v>
      </c>
      <c r="U7" s="69" t="s">
        <v>21</v>
      </c>
      <c r="V7" s="146"/>
      <c r="W7" s="69" t="s">
        <v>25</v>
      </c>
      <c r="X7" s="70">
        <f>P7*S7*V7</f>
        <v>0</v>
      </c>
      <c r="Z7" s="154"/>
    </row>
    <row r="8" spans="1:26" ht="30" x14ac:dyDescent="0.25">
      <c r="A8" s="71">
        <v>2</v>
      </c>
      <c r="B8" s="258" t="s">
        <v>58</v>
      </c>
      <c r="C8" s="259"/>
      <c r="D8" s="259"/>
      <c r="E8" s="260"/>
      <c r="F8" s="144"/>
      <c r="G8" s="72" t="s">
        <v>55</v>
      </c>
      <c r="H8" s="73" t="s">
        <v>56</v>
      </c>
      <c r="I8" s="147"/>
      <c r="J8" s="73" t="s">
        <v>59</v>
      </c>
      <c r="K8" s="73" t="s">
        <v>56</v>
      </c>
      <c r="L8" s="147"/>
      <c r="M8" s="89" t="s">
        <v>25</v>
      </c>
      <c r="N8" s="70">
        <f t="shared" ref="N8:N10" si="0">F8*I8*L8</f>
        <v>0</v>
      </c>
      <c r="O8" s="60"/>
      <c r="P8" s="144"/>
      <c r="Q8" s="72" t="s">
        <v>55</v>
      </c>
      <c r="R8" s="73" t="s">
        <v>56</v>
      </c>
      <c r="S8" s="147"/>
      <c r="T8" s="73" t="s">
        <v>59</v>
      </c>
      <c r="U8" s="73" t="s">
        <v>56</v>
      </c>
      <c r="V8" s="147"/>
      <c r="W8" s="89" t="s">
        <v>25</v>
      </c>
      <c r="X8" s="70">
        <f t="shared" ref="X8:X10" si="1">P8*S8*V8</f>
        <v>0</v>
      </c>
      <c r="Z8" s="154"/>
    </row>
    <row r="9" spans="1:26" x14ac:dyDescent="0.25">
      <c r="A9" s="71">
        <v>3</v>
      </c>
      <c r="B9" s="242" t="s">
        <v>60</v>
      </c>
      <c r="C9" s="243"/>
      <c r="D9" s="243"/>
      <c r="E9" s="244"/>
      <c r="F9" s="143"/>
      <c r="G9" s="68" t="s">
        <v>61</v>
      </c>
      <c r="H9" s="69" t="s">
        <v>56</v>
      </c>
      <c r="I9" s="148"/>
      <c r="J9" s="69" t="s">
        <v>62</v>
      </c>
      <c r="K9" s="69" t="s">
        <v>56</v>
      </c>
      <c r="L9" s="148"/>
      <c r="M9" s="84" t="s">
        <v>59</v>
      </c>
      <c r="N9" s="70">
        <f t="shared" si="0"/>
        <v>0</v>
      </c>
      <c r="O9" s="60"/>
      <c r="P9" s="143"/>
      <c r="Q9" s="68" t="s">
        <v>61</v>
      </c>
      <c r="R9" s="69" t="s">
        <v>56</v>
      </c>
      <c r="S9" s="148"/>
      <c r="T9" s="69" t="s">
        <v>62</v>
      </c>
      <c r="U9" s="69" t="s">
        <v>56</v>
      </c>
      <c r="V9" s="148"/>
      <c r="W9" s="84" t="s">
        <v>59</v>
      </c>
      <c r="X9" s="70">
        <f t="shared" si="1"/>
        <v>0</v>
      </c>
      <c r="Z9" s="154"/>
    </row>
    <row r="10" spans="1:26" x14ac:dyDescent="0.25">
      <c r="A10" s="71">
        <v>4</v>
      </c>
      <c r="B10" s="121" t="s">
        <v>63</v>
      </c>
      <c r="C10" s="97"/>
      <c r="D10" s="97"/>
      <c r="E10" s="97"/>
      <c r="F10" s="145"/>
      <c r="G10" s="122" t="s">
        <v>64</v>
      </c>
      <c r="H10" s="123" t="s">
        <v>56</v>
      </c>
      <c r="I10" s="148"/>
      <c r="J10" s="123" t="s">
        <v>65</v>
      </c>
      <c r="K10" s="123" t="s">
        <v>56</v>
      </c>
      <c r="L10" s="148"/>
      <c r="M10" s="120" t="s">
        <v>59</v>
      </c>
      <c r="N10" s="124">
        <f t="shared" si="0"/>
        <v>0</v>
      </c>
      <c r="P10" s="145"/>
      <c r="Q10" s="122" t="s">
        <v>64</v>
      </c>
      <c r="R10" s="123" t="s">
        <v>56</v>
      </c>
      <c r="S10" s="148"/>
      <c r="T10" s="123" t="s">
        <v>65</v>
      </c>
      <c r="U10" s="123" t="s">
        <v>56</v>
      </c>
      <c r="V10" s="148"/>
      <c r="W10" s="120" t="s">
        <v>59</v>
      </c>
      <c r="X10" s="124">
        <f t="shared" si="1"/>
        <v>0</v>
      </c>
      <c r="Z10" s="154"/>
    </row>
    <row r="11" spans="1:26" x14ac:dyDescent="0.25">
      <c r="A11" s="94"/>
      <c r="B11" s="235" t="s">
        <v>66</v>
      </c>
      <c r="C11" s="236"/>
      <c r="D11" s="236"/>
      <c r="E11" s="237"/>
      <c r="F11" s="81"/>
      <c r="G11" s="82"/>
      <c r="H11" s="82"/>
      <c r="I11" s="82"/>
      <c r="J11" s="82"/>
      <c r="K11" s="82"/>
      <c r="L11" s="82"/>
      <c r="M11" s="82"/>
      <c r="N11" s="118">
        <f>SUM(N7:N10)</f>
        <v>0</v>
      </c>
      <c r="P11" s="81"/>
      <c r="Q11" s="82"/>
      <c r="R11" s="82"/>
      <c r="S11" s="82"/>
      <c r="T11" s="82"/>
      <c r="U11" s="82"/>
      <c r="V11" s="82"/>
      <c r="W11" s="82"/>
      <c r="X11" s="118">
        <f>SUM(X7:X10)</f>
        <v>0</v>
      </c>
      <c r="Z11" s="154"/>
    </row>
    <row r="12" spans="1:26" x14ac:dyDescent="0.25">
      <c r="A12" s="94"/>
      <c r="B12" s="238" t="s">
        <v>67</v>
      </c>
      <c r="C12" s="239"/>
      <c r="D12" s="239"/>
      <c r="E12" s="239"/>
      <c r="F12" s="83"/>
      <c r="G12" s="84"/>
      <c r="H12" s="84"/>
      <c r="I12" s="84"/>
      <c r="J12" s="84"/>
      <c r="K12" s="84"/>
      <c r="L12" s="84"/>
      <c r="M12" s="84"/>
      <c r="N12" s="85">
        <f>N11*(1+Rates!$F$8)</f>
        <v>0</v>
      </c>
      <c r="P12" s="83"/>
      <c r="Q12" s="84"/>
      <c r="R12" s="84"/>
      <c r="S12" s="84"/>
      <c r="T12" s="84"/>
      <c r="U12" s="84"/>
      <c r="V12" s="84"/>
      <c r="W12" s="84"/>
      <c r="X12" s="85">
        <f>X11*(1+Rates!$F$8)</f>
        <v>0</v>
      </c>
      <c r="Z12" s="154"/>
    </row>
    <row r="13" spans="1:26" ht="15.95" customHeight="1" thickBot="1" x14ac:dyDescent="0.3">
      <c r="A13" s="94"/>
      <c r="B13" s="240" t="s">
        <v>68</v>
      </c>
      <c r="C13" s="241"/>
      <c r="D13" s="241"/>
      <c r="E13" s="241"/>
      <c r="F13" s="92"/>
      <c r="G13" s="95"/>
      <c r="H13" s="95"/>
      <c r="I13" s="95"/>
      <c r="J13" s="95"/>
      <c r="K13" s="95"/>
      <c r="L13" s="95"/>
      <c r="M13" s="95"/>
      <c r="N13" s="96">
        <f>N12*(1+Rates!$F$9)</f>
        <v>0</v>
      </c>
      <c r="P13" s="92"/>
      <c r="Q13" s="95"/>
      <c r="R13" s="95"/>
      <c r="S13" s="95"/>
      <c r="T13" s="95"/>
      <c r="U13" s="95"/>
      <c r="V13" s="95"/>
      <c r="W13" s="95"/>
      <c r="X13" s="96">
        <f>X12*(1+Rates!$F$9)</f>
        <v>0</v>
      </c>
      <c r="Z13" s="154"/>
    </row>
    <row r="14" spans="1:26" ht="16.5" thickBot="1" x14ac:dyDescent="0.3">
      <c r="B14" s="75"/>
      <c r="C14" s="76"/>
      <c r="D14" s="76"/>
      <c r="E14" s="76"/>
      <c r="F14" s="253" t="s">
        <v>69</v>
      </c>
      <c r="G14" s="253"/>
      <c r="H14" s="253"/>
      <c r="I14" s="253"/>
      <c r="J14" s="253"/>
      <c r="K14" s="253"/>
      <c r="L14" s="253"/>
      <c r="M14" s="254"/>
      <c r="N14" s="77">
        <f>N13</f>
        <v>0</v>
      </c>
      <c r="P14" s="253" t="s">
        <v>69</v>
      </c>
      <c r="Q14" s="253"/>
      <c r="R14" s="253"/>
      <c r="S14" s="253"/>
      <c r="T14" s="253"/>
      <c r="U14" s="253"/>
      <c r="V14" s="253"/>
      <c r="W14" s="254"/>
      <c r="X14" s="77">
        <f>X13</f>
        <v>0</v>
      </c>
      <c r="Z14" s="154"/>
    </row>
    <row r="15" spans="1:26" x14ac:dyDescent="0.25">
      <c r="I15" s="78"/>
      <c r="S15" s="78"/>
      <c r="Z15" s="154"/>
    </row>
    <row r="16" spans="1:26" ht="16.5" thickBot="1" x14ac:dyDescent="0.3">
      <c r="A16" t="s">
        <v>70</v>
      </c>
      <c r="Z16" s="154"/>
    </row>
    <row r="17" spans="1:26" ht="55.5" customHeight="1" x14ac:dyDescent="0.25">
      <c r="A17" s="60">
        <v>5</v>
      </c>
      <c r="B17" s="251" t="s">
        <v>71</v>
      </c>
      <c r="C17" s="252"/>
      <c r="D17" s="252"/>
      <c r="E17" s="252"/>
      <c r="F17" s="137"/>
      <c r="G17" s="74" t="s">
        <v>64</v>
      </c>
      <c r="H17" s="74" t="s">
        <v>56</v>
      </c>
      <c r="I17" s="147"/>
      <c r="J17" s="74" t="s">
        <v>65</v>
      </c>
      <c r="K17" s="74" t="s">
        <v>56</v>
      </c>
      <c r="L17" s="147"/>
      <c r="M17" s="74" t="s">
        <v>59</v>
      </c>
      <c r="N17" s="79">
        <f>F17*I17*L17</f>
        <v>0</v>
      </c>
      <c r="P17" s="137"/>
      <c r="Q17" s="74" t="s">
        <v>64</v>
      </c>
      <c r="R17" s="74" t="s">
        <v>56</v>
      </c>
      <c r="S17" s="147"/>
      <c r="T17" s="74" t="s">
        <v>65</v>
      </c>
      <c r="U17" s="74" t="s">
        <v>56</v>
      </c>
      <c r="V17" s="147"/>
      <c r="W17" s="74" t="s">
        <v>59</v>
      </c>
      <c r="X17" s="79">
        <f>P17*S17*V17</f>
        <v>0</v>
      </c>
      <c r="Z17" s="154"/>
    </row>
    <row r="18" spans="1:26" ht="15.95" customHeight="1" x14ac:dyDescent="0.25">
      <c r="A18" s="80">
        <v>6</v>
      </c>
      <c r="B18" s="247" t="s">
        <v>72</v>
      </c>
      <c r="C18" s="248"/>
      <c r="D18" s="248"/>
      <c r="E18" s="248"/>
      <c r="F18" s="137"/>
      <c r="G18" s="84"/>
      <c r="H18" s="84"/>
      <c r="I18" s="138"/>
      <c r="J18" s="84"/>
      <c r="K18" s="84" t="s">
        <v>56</v>
      </c>
      <c r="L18" s="147"/>
      <c r="M18" s="84" t="s">
        <v>59</v>
      </c>
      <c r="N18" s="85">
        <f t="shared" ref="N18:N22" si="2">F18*I18*L18</f>
        <v>0</v>
      </c>
      <c r="P18" s="137"/>
      <c r="Q18" s="84"/>
      <c r="R18" s="84"/>
      <c r="S18" s="138"/>
      <c r="T18" s="84"/>
      <c r="U18" s="84" t="s">
        <v>56</v>
      </c>
      <c r="V18" s="147"/>
      <c r="W18" s="84" t="s">
        <v>59</v>
      </c>
      <c r="X18" s="85">
        <f t="shared" ref="X18:X22" si="3">P18*S18*V18</f>
        <v>0</v>
      </c>
      <c r="Z18" s="154"/>
    </row>
    <row r="19" spans="1:26" x14ac:dyDescent="0.25">
      <c r="A19" s="60">
        <v>7</v>
      </c>
      <c r="B19" s="247" t="s">
        <v>73</v>
      </c>
      <c r="C19" s="248"/>
      <c r="D19" s="248"/>
      <c r="E19" s="248"/>
      <c r="F19" s="149"/>
      <c r="G19" s="83" t="s">
        <v>64</v>
      </c>
      <c r="H19" s="84" t="s">
        <v>56</v>
      </c>
      <c r="I19" s="147"/>
      <c r="J19" s="84" t="s">
        <v>65</v>
      </c>
      <c r="K19" s="84" t="s">
        <v>56</v>
      </c>
      <c r="L19" s="147"/>
      <c r="M19" s="84" t="s">
        <v>59</v>
      </c>
      <c r="N19" s="85">
        <f t="shared" si="2"/>
        <v>0</v>
      </c>
      <c r="P19" s="149"/>
      <c r="Q19" s="83" t="s">
        <v>64</v>
      </c>
      <c r="R19" s="84" t="s">
        <v>56</v>
      </c>
      <c r="S19" s="147"/>
      <c r="T19" s="84" t="s">
        <v>65</v>
      </c>
      <c r="U19" s="84" t="s">
        <v>56</v>
      </c>
      <c r="V19" s="147"/>
      <c r="W19" s="84" t="s">
        <v>59</v>
      </c>
      <c r="X19" s="85">
        <f t="shared" si="3"/>
        <v>0</v>
      </c>
      <c r="Z19" s="154"/>
    </row>
    <row r="20" spans="1:26" x14ac:dyDescent="0.25">
      <c r="A20" s="60">
        <v>8</v>
      </c>
      <c r="B20" s="245" t="s">
        <v>74</v>
      </c>
      <c r="C20" s="246"/>
      <c r="D20" s="246"/>
      <c r="E20" s="246"/>
      <c r="F20" s="137"/>
      <c r="G20" s="84" t="s">
        <v>64</v>
      </c>
      <c r="H20" s="84" t="s">
        <v>56</v>
      </c>
      <c r="I20" s="147"/>
      <c r="J20" s="84" t="s">
        <v>65</v>
      </c>
      <c r="K20" s="84" t="s">
        <v>56</v>
      </c>
      <c r="L20" s="138"/>
      <c r="M20" s="84" t="s">
        <v>25</v>
      </c>
      <c r="N20" s="85">
        <f t="shared" si="2"/>
        <v>0</v>
      </c>
      <c r="P20" s="137"/>
      <c r="Q20" s="84" t="s">
        <v>64</v>
      </c>
      <c r="R20" s="84" t="s">
        <v>56</v>
      </c>
      <c r="S20" s="147"/>
      <c r="T20" s="84" t="s">
        <v>65</v>
      </c>
      <c r="U20" s="84" t="s">
        <v>56</v>
      </c>
      <c r="V20" s="138"/>
      <c r="W20" s="84" t="s">
        <v>25</v>
      </c>
      <c r="X20" s="85">
        <f t="shared" si="3"/>
        <v>0</v>
      </c>
      <c r="Z20" s="154"/>
    </row>
    <row r="21" spans="1:26" x14ac:dyDescent="0.25">
      <c r="A21" s="60">
        <v>9</v>
      </c>
      <c r="B21" s="247" t="s">
        <v>75</v>
      </c>
      <c r="C21" s="248"/>
      <c r="D21" s="248"/>
      <c r="E21" s="248"/>
      <c r="F21" s="149"/>
      <c r="G21" s="83" t="s">
        <v>64</v>
      </c>
      <c r="H21" s="84" t="s">
        <v>56</v>
      </c>
      <c r="I21" s="147"/>
      <c r="J21" s="84" t="s">
        <v>65</v>
      </c>
      <c r="K21" s="84" t="s">
        <v>56</v>
      </c>
      <c r="L21" s="138"/>
      <c r="M21" s="84" t="s">
        <v>25</v>
      </c>
      <c r="N21" s="85">
        <f t="shared" si="2"/>
        <v>0</v>
      </c>
      <c r="P21" s="149"/>
      <c r="Q21" s="83" t="s">
        <v>64</v>
      </c>
      <c r="R21" s="84" t="s">
        <v>56</v>
      </c>
      <c r="S21" s="147"/>
      <c r="T21" s="84" t="s">
        <v>65</v>
      </c>
      <c r="U21" s="84" t="s">
        <v>56</v>
      </c>
      <c r="V21" s="138"/>
      <c r="W21" s="84" t="s">
        <v>25</v>
      </c>
      <c r="X21" s="85">
        <f t="shared" si="3"/>
        <v>0</v>
      </c>
      <c r="Z21" s="154"/>
    </row>
    <row r="22" spans="1:26" ht="31.5" x14ac:dyDescent="0.25">
      <c r="A22" s="60">
        <v>10</v>
      </c>
      <c r="B22" s="249" t="s">
        <v>76</v>
      </c>
      <c r="C22" s="250"/>
      <c r="D22" s="250"/>
      <c r="E22" s="250"/>
      <c r="F22" s="137"/>
      <c r="G22" s="120" t="s">
        <v>77</v>
      </c>
      <c r="H22" s="120" t="s">
        <v>21</v>
      </c>
      <c r="I22" s="138"/>
      <c r="J22" s="120" t="s">
        <v>78</v>
      </c>
      <c r="K22" s="120" t="s">
        <v>21</v>
      </c>
      <c r="L22" s="138"/>
      <c r="M22" s="120" t="s">
        <v>25</v>
      </c>
      <c r="N22" s="119">
        <f t="shared" si="2"/>
        <v>0</v>
      </c>
      <c r="P22" s="137"/>
      <c r="Q22" s="120" t="s">
        <v>77</v>
      </c>
      <c r="R22" s="120" t="s">
        <v>21</v>
      </c>
      <c r="S22" s="138"/>
      <c r="T22" s="120" t="s">
        <v>78</v>
      </c>
      <c r="U22" s="120" t="s">
        <v>21</v>
      </c>
      <c r="V22" s="138"/>
      <c r="W22" s="120" t="s">
        <v>25</v>
      </c>
      <c r="X22" s="119">
        <f t="shared" si="3"/>
        <v>0</v>
      </c>
      <c r="Z22" s="154"/>
    </row>
    <row r="23" spans="1:26" x14ac:dyDescent="0.25">
      <c r="A23" s="94"/>
      <c r="B23" s="235" t="s">
        <v>66</v>
      </c>
      <c r="C23" s="236"/>
      <c r="D23" s="236"/>
      <c r="E23" s="237"/>
      <c r="F23" s="81"/>
      <c r="G23" s="82"/>
      <c r="H23" s="82"/>
      <c r="I23" s="82"/>
      <c r="J23" s="82"/>
      <c r="K23" s="82"/>
      <c r="L23" s="82"/>
      <c r="M23" s="82"/>
      <c r="N23" s="118">
        <f>SUM(N17:N22)</f>
        <v>0</v>
      </c>
      <c r="P23" s="81"/>
      <c r="Q23" s="82"/>
      <c r="R23" s="82"/>
      <c r="S23" s="82"/>
      <c r="T23" s="82"/>
      <c r="U23" s="82"/>
      <c r="V23" s="82"/>
      <c r="W23" s="82"/>
      <c r="X23" s="118">
        <f>SUM(X17:X22)</f>
        <v>0</v>
      </c>
      <c r="Z23" s="154"/>
    </row>
    <row r="24" spans="1:26" ht="15.95" customHeight="1" x14ac:dyDescent="0.25">
      <c r="A24" s="94"/>
      <c r="B24" s="238" t="s">
        <v>67</v>
      </c>
      <c r="C24" s="239"/>
      <c r="D24" s="239"/>
      <c r="E24" s="239"/>
      <c r="F24" s="83"/>
      <c r="G24" s="84"/>
      <c r="H24" s="84"/>
      <c r="I24" s="84"/>
      <c r="J24" s="84"/>
      <c r="K24" s="84"/>
      <c r="L24" s="84"/>
      <c r="M24" s="84"/>
      <c r="N24" s="85">
        <f>N23*(1+Rates!$F$8)</f>
        <v>0</v>
      </c>
      <c r="P24" s="83"/>
      <c r="Q24" s="84"/>
      <c r="R24" s="84"/>
      <c r="S24" s="84"/>
      <c r="T24" s="84"/>
      <c r="U24" s="84"/>
      <c r="V24" s="84"/>
      <c r="W24" s="84"/>
      <c r="X24" s="85">
        <f>X23*(1+Rates!$F$8)</f>
        <v>0</v>
      </c>
      <c r="Z24" s="154"/>
    </row>
    <row r="25" spans="1:26" ht="15.95" customHeight="1" thickBot="1" x14ac:dyDescent="0.3">
      <c r="A25" s="94"/>
      <c r="B25" s="240" t="s">
        <v>68</v>
      </c>
      <c r="C25" s="241"/>
      <c r="D25" s="241"/>
      <c r="E25" s="241"/>
      <c r="F25" s="92"/>
      <c r="G25" s="95"/>
      <c r="H25" s="95"/>
      <c r="I25" s="95"/>
      <c r="J25" s="95"/>
      <c r="K25" s="95"/>
      <c r="L25" s="95"/>
      <c r="M25" s="95"/>
      <c r="N25" s="96">
        <f>N24*(1+Rates!$F$9)</f>
        <v>0</v>
      </c>
      <c r="P25" s="92"/>
      <c r="Q25" s="95"/>
      <c r="R25" s="95"/>
      <c r="S25" s="95"/>
      <c r="T25" s="95"/>
      <c r="U25" s="95"/>
      <c r="V25" s="95"/>
      <c r="W25" s="95"/>
      <c r="X25" s="96">
        <f>X24*(1+Rates!$F$9)</f>
        <v>0</v>
      </c>
      <c r="Z25" s="154"/>
    </row>
    <row r="26" spans="1:26" ht="16.5" thickBot="1" x14ac:dyDescent="0.3">
      <c r="B26" s="75"/>
      <c r="C26" s="76"/>
      <c r="D26" s="76"/>
      <c r="E26" s="76"/>
      <c r="F26" s="76"/>
      <c r="G26" s="76"/>
      <c r="H26" s="76"/>
      <c r="I26" s="76"/>
      <c r="J26" s="76"/>
      <c r="K26" s="76"/>
      <c r="L26" s="76"/>
      <c r="M26" s="86" t="s">
        <v>69</v>
      </c>
      <c r="N26" s="117">
        <f>SUM(N17:N22)</f>
        <v>0</v>
      </c>
      <c r="P26" s="76"/>
      <c r="Q26" s="76"/>
      <c r="R26" s="76"/>
      <c r="S26" s="76"/>
      <c r="T26" s="76"/>
      <c r="U26" s="76"/>
      <c r="V26" s="76"/>
      <c r="W26" s="86" t="s">
        <v>69</v>
      </c>
      <c r="X26" s="117">
        <f>SUM(X17:X22)</f>
        <v>0</v>
      </c>
      <c r="Z26" s="154"/>
    </row>
    <row r="27" spans="1:26" ht="16.5" thickBot="1" x14ac:dyDescent="0.3">
      <c r="N27" s="87"/>
      <c r="X27" s="87"/>
      <c r="Z27" s="154"/>
    </row>
    <row r="28" spans="1:26" ht="16.5" thickBot="1" x14ac:dyDescent="0.3">
      <c r="F28" s="233" t="s">
        <v>79</v>
      </c>
      <c r="G28" s="233"/>
      <c r="H28" s="233"/>
      <c r="I28" s="233"/>
      <c r="J28" s="233"/>
      <c r="K28" s="233"/>
      <c r="L28" s="233"/>
      <c r="M28" s="234"/>
      <c r="N28" s="116">
        <f>SUM(N14,N26)</f>
        <v>0</v>
      </c>
      <c r="P28" s="233" t="s">
        <v>79</v>
      </c>
      <c r="Q28" s="233"/>
      <c r="R28" s="233"/>
      <c r="S28" s="233"/>
      <c r="T28" s="233"/>
      <c r="U28" s="233"/>
      <c r="V28" s="233"/>
      <c r="W28" s="234"/>
      <c r="X28" s="116">
        <f>SUM(X14,X26)</f>
        <v>0</v>
      </c>
      <c r="Z28" s="154"/>
    </row>
    <row r="29" spans="1:26" x14ac:dyDescent="0.25">
      <c r="F29" s="156"/>
      <c r="G29" s="156"/>
      <c r="H29" s="156"/>
      <c r="I29" s="156"/>
      <c r="J29" s="156"/>
      <c r="K29" s="156"/>
      <c r="L29" s="156"/>
      <c r="M29" s="156"/>
      <c r="N29" s="152"/>
      <c r="P29" s="156"/>
      <c r="Q29" s="156"/>
      <c r="R29" s="156"/>
      <c r="S29" s="156"/>
      <c r="T29" s="156"/>
      <c r="U29" s="156"/>
      <c r="V29" s="156"/>
      <c r="W29" s="156"/>
      <c r="X29" s="152"/>
      <c r="Z29" s="154"/>
    </row>
    <row r="30" spans="1:26" ht="16.5" thickBot="1" x14ac:dyDescent="0.3">
      <c r="B30" s="26" t="s">
        <v>36</v>
      </c>
      <c r="M30">
        <v>2</v>
      </c>
      <c r="N30" s="151">
        <f>N28*M30</f>
        <v>0</v>
      </c>
      <c r="W30">
        <v>1</v>
      </c>
      <c r="X30" s="151">
        <f>X28*W30</f>
        <v>0</v>
      </c>
      <c r="Z30" s="155">
        <f>N30+X30</f>
        <v>0</v>
      </c>
    </row>
    <row r="31" spans="1:26" ht="16.5" thickTop="1" x14ac:dyDescent="0.25">
      <c r="B31" s="26"/>
      <c r="N31" s="152"/>
      <c r="X31" s="152"/>
    </row>
    <row r="32" spans="1:26" x14ac:dyDescent="0.25">
      <c r="A32" s="12" t="s">
        <v>38</v>
      </c>
    </row>
    <row r="33" spans="1:24" x14ac:dyDescent="0.25">
      <c r="A33" s="231"/>
      <c r="B33" s="232"/>
      <c r="C33" s="232"/>
      <c r="D33" s="232"/>
      <c r="E33" s="232"/>
      <c r="F33" s="232"/>
      <c r="G33" s="232"/>
      <c r="H33" s="232"/>
      <c r="I33" s="232"/>
      <c r="J33" s="232"/>
      <c r="K33" s="232"/>
      <c r="L33" s="232"/>
      <c r="M33" s="232"/>
      <c r="N33" s="232"/>
      <c r="X33"/>
    </row>
    <row r="34" spans="1:24" x14ac:dyDescent="0.25">
      <c r="A34" s="231"/>
      <c r="B34" s="232"/>
      <c r="C34" s="232"/>
      <c r="D34" s="232"/>
      <c r="E34" s="232"/>
      <c r="F34" s="232"/>
      <c r="G34" s="232"/>
      <c r="H34" s="232"/>
      <c r="I34" s="232"/>
      <c r="J34" s="232"/>
      <c r="K34" s="232"/>
      <c r="L34" s="232"/>
      <c r="M34" s="232"/>
      <c r="N34" s="232"/>
      <c r="X34"/>
    </row>
    <row r="35" spans="1:24" x14ac:dyDescent="0.25">
      <c r="A35" s="231"/>
      <c r="B35" s="232"/>
      <c r="C35" s="232"/>
      <c r="D35" s="232"/>
      <c r="E35" s="232"/>
      <c r="F35" s="232"/>
      <c r="G35" s="232"/>
      <c r="H35" s="232"/>
      <c r="I35" s="232"/>
      <c r="J35" s="232"/>
      <c r="K35" s="232"/>
      <c r="L35" s="232"/>
      <c r="M35" s="232"/>
      <c r="N35" s="232"/>
      <c r="X35"/>
    </row>
    <row r="36" spans="1:24" x14ac:dyDescent="0.25">
      <c r="A36" s="231"/>
      <c r="B36" s="232"/>
      <c r="C36" s="232"/>
      <c r="D36" s="232"/>
      <c r="E36" s="232"/>
      <c r="F36" s="232"/>
      <c r="G36" s="232"/>
      <c r="H36" s="232"/>
      <c r="I36" s="232"/>
      <c r="J36" s="232"/>
      <c r="K36" s="232"/>
      <c r="L36" s="232"/>
      <c r="M36" s="232"/>
      <c r="N36" s="232"/>
      <c r="X36"/>
    </row>
    <row r="37" spans="1:24" x14ac:dyDescent="0.25">
      <c r="A37" s="231"/>
      <c r="B37" s="232"/>
      <c r="C37" s="232"/>
      <c r="D37" s="232"/>
      <c r="E37" s="232"/>
      <c r="F37" s="232"/>
      <c r="G37" s="232"/>
      <c r="H37" s="232"/>
      <c r="I37" s="232"/>
      <c r="J37" s="232"/>
      <c r="K37" s="232"/>
      <c r="L37" s="232"/>
      <c r="M37" s="232"/>
      <c r="N37" s="232"/>
      <c r="X37"/>
    </row>
    <row r="38" spans="1:24" x14ac:dyDescent="0.25">
      <c r="A38" s="231"/>
      <c r="B38" s="232"/>
      <c r="C38" s="232"/>
      <c r="D38" s="232"/>
      <c r="E38" s="232"/>
      <c r="F38" s="232"/>
      <c r="G38" s="232"/>
      <c r="H38" s="232"/>
      <c r="I38" s="232"/>
      <c r="J38" s="232"/>
      <c r="K38" s="232"/>
      <c r="L38" s="232"/>
      <c r="M38" s="232"/>
      <c r="N38" s="232"/>
      <c r="X38"/>
    </row>
    <row r="39" spans="1:24" x14ac:dyDescent="0.25">
      <c r="A39" s="231"/>
      <c r="B39" s="232"/>
      <c r="C39" s="232"/>
      <c r="D39" s="232"/>
      <c r="E39" s="232"/>
      <c r="F39" s="232"/>
      <c r="G39" s="232"/>
      <c r="H39" s="232"/>
      <c r="I39" s="232"/>
      <c r="J39" s="232"/>
      <c r="K39" s="232"/>
      <c r="L39" s="232"/>
      <c r="M39" s="232"/>
      <c r="N39" s="232"/>
      <c r="X39"/>
    </row>
    <row r="40" spans="1:24" x14ac:dyDescent="0.25">
      <c r="A40" s="231"/>
      <c r="B40" s="232"/>
      <c r="C40" s="232"/>
      <c r="D40" s="232"/>
      <c r="E40" s="232"/>
      <c r="F40" s="232"/>
      <c r="G40" s="232"/>
      <c r="H40" s="232"/>
      <c r="I40" s="232"/>
      <c r="J40" s="232"/>
      <c r="K40" s="232"/>
      <c r="L40" s="232"/>
      <c r="M40" s="232"/>
      <c r="N40" s="232"/>
      <c r="X40"/>
    </row>
    <row r="41" spans="1:24" x14ac:dyDescent="0.25">
      <c r="A41" s="231"/>
      <c r="B41" s="232"/>
      <c r="C41" s="232"/>
      <c r="D41" s="232"/>
      <c r="E41" s="232"/>
      <c r="F41" s="232"/>
      <c r="G41" s="232"/>
      <c r="H41" s="232"/>
      <c r="I41" s="232"/>
      <c r="J41" s="232"/>
      <c r="K41" s="232"/>
      <c r="L41" s="232"/>
      <c r="M41" s="232"/>
      <c r="N41" s="232"/>
      <c r="X41"/>
    </row>
  </sheetData>
  <mergeCells count="26">
    <mergeCell ref="P28:W28"/>
    <mergeCell ref="F14:M14"/>
    <mergeCell ref="B18:E18"/>
    <mergeCell ref="B19:E19"/>
    <mergeCell ref="F4:N4"/>
    <mergeCell ref="P4:X4"/>
    <mergeCell ref="P5:Q5"/>
    <mergeCell ref="S5:T5"/>
    <mergeCell ref="P14:W14"/>
    <mergeCell ref="B11:E11"/>
    <mergeCell ref="B12:E12"/>
    <mergeCell ref="B13:E13"/>
    <mergeCell ref="F5:G5"/>
    <mergeCell ref="I5:J5"/>
    <mergeCell ref="B7:E7"/>
    <mergeCell ref="B8:E8"/>
    <mergeCell ref="B9:E9"/>
    <mergeCell ref="B20:E20"/>
    <mergeCell ref="B21:E21"/>
    <mergeCell ref="B22:E22"/>
    <mergeCell ref="B17:E17"/>
    <mergeCell ref="A33:N41"/>
    <mergeCell ref="F28:M28"/>
    <mergeCell ref="B23:E23"/>
    <mergeCell ref="B24:E24"/>
    <mergeCell ref="B25:E25"/>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1F9B1-AC8B-4C4C-B617-3C882A3DB3C6}">
  <dimension ref="A1:Z41"/>
  <sheetViews>
    <sheetView workbookViewId="0">
      <selection activeCell="P5" sqref="P5:X5"/>
    </sheetView>
  </sheetViews>
  <sheetFormatPr defaultColWidth="8.125" defaultRowHeight="15.75" x14ac:dyDescent="0.25"/>
  <cols>
    <col min="8" max="8" width="5.625" customWidth="1"/>
    <col min="14" max="14" width="9.75" style="59" customWidth="1"/>
    <col min="15" max="15" width="10.625" customWidth="1"/>
    <col min="16" max="16" width="14.625" customWidth="1"/>
    <col min="18" max="18" width="14.375" customWidth="1"/>
    <col min="24" max="24" width="11" customWidth="1"/>
    <col min="26" max="26" width="18.25" customWidth="1"/>
    <col min="270" max="270" width="9.75" customWidth="1"/>
    <col min="526" max="526" width="9.75" customWidth="1"/>
    <col min="782" max="782" width="9.75" customWidth="1"/>
    <col min="1038" max="1038" width="9.75" customWidth="1"/>
    <col min="1294" max="1294" width="9.75" customWidth="1"/>
    <col min="1550" max="1550" width="9.75" customWidth="1"/>
    <col min="1806" max="1806" width="9.75" customWidth="1"/>
    <col min="2062" max="2062" width="9.75" customWidth="1"/>
    <col min="2318" max="2318" width="9.75" customWidth="1"/>
    <col min="2574" max="2574" width="9.75" customWidth="1"/>
    <col min="2830" max="2830" width="9.75" customWidth="1"/>
    <col min="3086" max="3086" width="9.75" customWidth="1"/>
    <col min="3342" max="3342" width="9.75" customWidth="1"/>
    <col min="3598" max="3598" width="9.75" customWidth="1"/>
    <col min="3854" max="3854" width="9.75" customWidth="1"/>
    <col min="4110" max="4110" width="9.75" customWidth="1"/>
    <col min="4366" max="4366" width="9.75" customWidth="1"/>
    <col min="4622" max="4622" width="9.75" customWidth="1"/>
    <col min="4878" max="4878" width="9.75" customWidth="1"/>
    <col min="5134" max="5134" width="9.75" customWidth="1"/>
    <col min="5390" max="5390" width="9.75" customWidth="1"/>
    <col min="5646" max="5646" width="9.75" customWidth="1"/>
    <col min="5902" max="5902" width="9.75" customWidth="1"/>
    <col min="6158" max="6158" width="9.75" customWidth="1"/>
    <col min="6414" max="6414" width="9.75" customWidth="1"/>
    <col min="6670" max="6670" width="9.75" customWidth="1"/>
    <col min="6926" max="6926" width="9.75" customWidth="1"/>
    <col min="7182" max="7182" width="9.75" customWidth="1"/>
    <col min="7438" max="7438" width="9.75" customWidth="1"/>
    <col min="7694" max="7694" width="9.75" customWidth="1"/>
    <col min="7950" max="7950" width="9.75" customWidth="1"/>
    <col min="8206" max="8206" width="9.75" customWidth="1"/>
    <col min="8462" max="8462" width="9.75" customWidth="1"/>
    <col min="8718" max="8718" width="9.75" customWidth="1"/>
    <col min="8974" max="8974" width="9.75" customWidth="1"/>
    <col min="9230" max="9230" width="9.75" customWidth="1"/>
    <col min="9486" max="9486" width="9.75" customWidth="1"/>
    <col min="9742" max="9742" width="9.75" customWidth="1"/>
    <col min="9998" max="9998" width="9.75" customWidth="1"/>
    <col min="10254" max="10254" width="9.75" customWidth="1"/>
    <col min="10510" max="10510" width="9.75" customWidth="1"/>
    <col min="10766" max="10766" width="9.75" customWidth="1"/>
    <col min="11022" max="11022" width="9.75" customWidth="1"/>
    <col min="11278" max="11278" width="9.75" customWidth="1"/>
    <col min="11534" max="11534" width="9.75" customWidth="1"/>
    <col min="11790" max="11790" width="9.75" customWidth="1"/>
    <col min="12046" max="12046" width="9.75" customWidth="1"/>
    <col min="12302" max="12302" width="9.75" customWidth="1"/>
    <col min="12558" max="12558" width="9.75" customWidth="1"/>
    <col min="12814" max="12814" width="9.75" customWidth="1"/>
    <col min="13070" max="13070" width="9.75" customWidth="1"/>
    <col min="13326" max="13326" width="9.75" customWidth="1"/>
    <col min="13582" max="13582" width="9.75" customWidth="1"/>
    <col min="13838" max="13838" width="9.75" customWidth="1"/>
    <col min="14094" max="14094" width="9.75" customWidth="1"/>
    <col min="14350" max="14350" width="9.75" customWidth="1"/>
    <col min="14606" max="14606" width="9.75" customWidth="1"/>
    <col min="14862" max="14862" width="9.75" customWidth="1"/>
    <col min="15118" max="15118" width="9.75" customWidth="1"/>
    <col min="15374" max="15374" width="9.75" customWidth="1"/>
    <col min="15630" max="15630" width="9.75" customWidth="1"/>
    <col min="15886" max="15886" width="9.75" customWidth="1"/>
    <col min="16142" max="16142" width="9.75" customWidth="1"/>
  </cols>
  <sheetData>
    <row r="1" spans="1:26" x14ac:dyDescent="0.25">
      <c r="A1" s="56" t="s">
        <v>80</v>
      </c>
      <c r="Z1" s="31"/>
    </row>
    <row r="2" spans="1:26" x14ac:dyDescent="0.25">
      <c r="A2" t="s">
        <v>81</v>
      </c>
      <c r="Z2" s="31"/>
    </row>
    <row r="3" spans="1:26" x14ac:dyDescent="0.25">
      <c r="A3" t="s">
        <v>82</v>
      </c>
      <c r="Z3" s="31"/>
    </row>
    <row r="4" spans="1:26" ht="15.6" customHeight="1" x14ac:dyDescent="0.25">
      <c r="A4" s="60"/>
      <c r="B4" s="60"/>
      <c r="C4" s="60"/>
      <c r="D4" s="60"/>
      <c r="E4" s="60"/>
      <c r="F4" s="60"/>
      <c r="G4" s="60"/>
      <c r="H4" s="61"/>
      <c r="I4" s="60"/>
      <c r="J4" s="60"/>
      <c r="K4" s="60"/>
      <c r="L4" s="60"/>
      <c r="M4" s="61"/>
      <c r="N4" s="62"/>
    </row>
    <row r="5" spans="1:26" ht="30.95" customHeight="1" thickBot="1" x14ac:dyDescent="0.3">
      <c r="A5" s="63"/>
      <c r="B5" s="76"/>
      <c r="C5" s="76"/>
      <c r="D5" s="76"/>
      <c r="E5" s="76"/>
      <c r="F5" s="268" t="s">
        <v>190</v>
      </c>
      <c r="G5" s="268"/>
      <c r="H5" s="268"/>
      <c r="I5" s="268"/>
      <c r="J5" s="268"/>
      <c r="K5" s="268"/>
      <c r="L5" s="268"/>
      <c r="M5" s="268"/>
      <c r="N5" s="268"/>
      <c r="P5" s="268" t="s">
        <v>187</v>
      </c>
      <c r="Q5" s="268"/>
      <c r="R5" s="268"/>
      <c r="S5" s="268"/>
      <c r="T5" s="268"/>
      <c r="U5" s="268"/>
      <c r="V5" s="268"/>
      <c r="W5" s="268"/>
      <c r="X5" s="268"/>
      <c r="Z5" s="153" t="s">
        <v>43</v>
      </c>
    </row>
    <row r="6" spans="1:26" x14ac:dyDescent="0.25">
      <c r="A6" s="60"/>
      <c r="B6" s="64"/>
      <c r="C6" s="65"/>
      <c r="D6" s="65"/>
      <c r="E6" s="65"/>
      <c r="F6" s="256" t="s">
        <v>51</v>
      </c>
      <c r="G6" s="257"/>
      <c r="H6" s="66"/>
      <c r="I6" s="256" t="s">
        <v>51</v>
      </c>
      <c r="J6" s="257"/>
      <c r="K6" s="66"/>
      <c r="L6" s="66" t="s">
        <v>51</v>
      </c>
      <c r="M6" s="66"/>
      <c r="N6" s="67"/>
      <c r="P6" s="256" t="s">
        <v>51</v>
      </c>
      <c r="Q6" s="257"/>
      <c r="R6" s="66"/>
      <c r="S6" s="256" t="s">
        <v>51</v>
      </c>
      <c r="T6" s="257"/>
      <c r="U6" s="66"/>
      <c r="V6" s="66" t="s">
        <v>51</v>
      </c>
      <c r="W6" s="66"/>
      <c r="X6" s="67"/>
      <c r="Z6" s="154"/>
    </row>
    <row r="7" spans="1:26" x14ac:dyDescent="0.25">
      <c r="A7" s="60"/>
      <c r="B7" s="93"/>
      <c r="C7" s="60"/>
      <c r="D7" s="60"/>
      <c r="E7" s="60"/>
      <c r="F7" s="139" t="s">
        <v>52</v>
      </c>
      <c r="G7" s="140"/>
      <c r="H7" s="141"/>
      <c r="I7" s="139" t="s">
        <v>53</v>
      </c>
      <c r="J7" s="140"/>
      <c r="K7" s="141"/>
      <c r="L7" s="141" t="s">
        <v>53</v>
      </c>
      <c r="M7" s="141"/>
      <c r="N7" s="142"/>
      <c r="P7" s="139" t="s">
        <v>52</v>
      </c>
      <c r="Q7" s="140"/>
      <c r="R7" s="141"/>
      <c r="S7" s="139" t="s">
        <v>53</v>
      </c>
      <c r="T7" s="140"/>
      <c r="U7" s="141"/>
      <c r="V7" s="141" t="s">
        <v>53</v>
      </c>
      <c r="W7" s="141"/>
      <c r="X7" s="142"/>
      <c r="Z7" s="154"/>
    </row>
    <row r="8" spans="1:26" s="90" customFormat="1" ht="37.5" customHeight="1" x14ac:dyDescent="0.25">
      <c r="A8" s="80">
        <v>1</v>
      </c>
      <c r="B8" s="261" t="s">
        <v>54</v>
      </c>
      <c r="C8" s="262"/>
      <c r="D8" s="262"/>
      <c r="E8" s="263"/>
      <c r="F8" s="137"/>
      <c r="G8" s="83" t="s">
        <v>55</v>
      </c>
      <c r="H8" s="84" t="s">
        <v>56</v>
      </c>
      <c r="I8" s="138"/>
      <c r="J8" s="84" t="s">
        <v>59</v>
      </c>
      <c r="K8" s="84" t="s">
        <v>56</v>
      </c>
      <c r="L8" s="138"/>
      <c r="M8" s="84" t="s">
        <v>25</v>
      </c>
      <c r="N8" s="85">
        <f>F8*I8*L8</f>
        <v>0</v>
      </c>
      <c r="P8" s="137"/>
      <c r="Q8" s="83" t="s">
        <v>55</v>
      </c>
      <c r="R8" s="84" t="s">
        <v>56</v>
      </c>
      <c r="S8" s="138"/>
      <c r="T8" s="84" t="s">
        <v>59</v>
      </c>
      <c r="U8" s="84" t="s">
        <v>56</v>
      </c>
      <c r="V8" s="138"/>
      <c r="W8" s="84" t="s">
        <v>25</v>
      </c>
      <c r="X8" s="85">
        <f>P8*S8*V8</f>
        <v>0</v>
      </c>
      <c r="Z8" s="154"/>
    </row>
    <row r="9" spans="1:26" s="90" customFormat="1" ht="31.5" x14ac:dyDescent="0.25">
      <c r="A9" s="80">
        <v>2</v>
      </c>
      <c r="B9" s="261" t="s">
        <v>58</v>
      </c>
      <c r="C9" s="262"/>
      <c r="D9" s="262"/>
      <c r="E9" s="263"/>
      <c r="F9" s="137"/>
      <c r="G9" s="83" t="s">
        <v>55</v>
      </c>
      <c r="H9" s="84" t="s">
        <v>56</v>
      </c>
      <c r="I9" s="138"/>
      <c r="J9" s="84" t="s">
        <v>59</v>
      </c>
      <c r="K9" s="84" t="s">
        <v>56</v>
      </c>
      <c r="L9" s="138"/>
      <c r="M9" s="84" t="s">
        <v>25</v>
      </c>
      <c r="N9" s="85">
        <f t="shared" ref="N9:N11" si="0">F9*I9*L9</f>
        <v>0</v>
      </c>
      <c r="P9" s="137"/>
      <c r="Q9" s="83" t="s">
        <v>55</v>
      </c>
      <c r="R9" s="84" t="s">
        <v>56</v>
      </c>
      <c r="S9" s="138"/>
      <c r="T9" s="84" t="s">
        <v>59</v>
      </c>
      <c r="U9" s="84" t="s">
        <v>56</v>
      </c>
      <c r="V9" s="138"/>
      <c r="W9" s="84" t="s">
        <v>25</v>
      </c>
      <c r="X9" s="85">
        <f t="shared" ref="X9:X11" si="1">P9*S9*V9</f>
        <v>0</v>
      </c>
      <c r="Z9" s="154"/>
    </row>
    <row r="10" spans="1:26" x14ac:dyDescent="0.25">
      <c r="A10" s="60">
        <v>3</v>
      </c>
      <c r="B10" s="242" t="s">
        <v>83</v>
      </c>
      <c r="C10" s="243"/>
      <c r="D10" s="243"/>
      <c r="E10" s="244"/>
      <c r="F10" s="137"/>
      <c r="G10" s="83" t="s">
        <v>61</v>
      </c>
      <c r="H10" s="84" t="s">
        <v>56</v>
      </c>
      <c r="I10" s="138"/>
      <c r="J10" s="84" t="s">
        <v>62</v>
      </c>
      <c r="K10" s="84" t="s">
        <v>56</v>
      </c>
      <c r="L10" s="138"/>
      <c r="M10" s="84" t="s">
        <v>25</v>
      </c>
      <c r="N10" s="85">
        <f t="shared" si="0"/>
        <v>0</v>
      </c>
      <c r="P10" s="137"/>
      <c r="Q10" s="83" t="s">
        <v>61</v>
      </c>
      <c r="R10" s="84" t="s">
        <v>56</v>
      </c>
      <c r="S10" s="138"/>
      <c r="T10" s="84" t="s">
        <v>62</v>
      </c>
      <c r="U10" s="84" t="s">
        <v>56</v>
      </c>
      <c r="V10" s="138"/>
      <c r="W10" s="84" t="s">
        <v>25</v>
      </c>
      <c r="X10" s="85">
        <f t="shared" si="1"/>
        <v>0</v>
      </c>
      <c r="Z10" s="154"/>
    </row>
    <row r="11" spans="1:26" x14ac:dyDescent="0.25">
      <c r="A11" s="60">
        <v>4</v>
      </c>
      <c r="B11" s="121" t="s">
        <v>63</v>
      </c>
      <c r="C11" s="97"/>
      <c r="D11" s="97"/>
      <c r="E11" s="97"/>
      <c r="F11" s="149"/>
      <c r="G11" s="92" t="s">
        <v>64</v>
      </c>
      <c r="H11" s="95" t="s">
        <v>56</v>
      </c>
      <c r="I11" s="138"/>
      <c r="J11" s="95" t="s">
        <v>65</v>
      </c>
      <c r="K11" s="95" t="s">
        <v>56</v>
      </c>
      <c r="L11" s="138"/>
      <c r="M11" s="95" t="s">
        <v>25</v>
      </c>
      <c r="N11" s="96">
        <f t="shared" si="0"/>
        <v>0</v>
      </c>
      <c r="P11" s="149"/>
      <c r="Q11" s="92" t="s">
        <v>64</v>
      </c>
      <c r="R11" s="95" t="s">
        <v>56</v>
      </c>
      <c r="S11" s="138"/>
      <c r="T11" s="95" t="s">
        <v>65</v>
      </c>
      <c r="U11" s="95" t="s">
        <v>56</v>
      </c>
      <c r="V11" s="138"/>
      <c r="W11" s="95" t="s">
        <v>25</v>
      </c>
      <c r="X11" s="96">
        <f t="shared" si="1"/>
        <v>0</v>
      </c>
      <c r="Z11" s="154"/>
    </row>
    <row r="12" spans="1:26" x14ac:dyDescent="0.25">
      <c r="A12" s="94"/>
      <c r="B12" s="235" t="s">
        <v>66</v>
      </c>
      <c r="C12" s="236"/>
      <c r="D12" s="236"/>
      <c r="E12" s="237"/>
      <c r="F12" s="81"/>
      <c r="G12" s="82"/>
      <c r="H12" s="82"/>
      <c r="I12" s="82"/>
      <c r="J12" s="82"/>
      <c r="K12" s="82"/>
      <c r="L12" s="82"/>
      <c r="M12" s="82"/>
      <c r="N12" s="118">
        <f>SUM(N8:N11)</f>
        <v>0</v>
      </c>
      <c r="P12" s="81"/>
      <c r="Q12" s="82"/>
      <c r="R12" s="82"/>
      <c r="S12" s="82"/>
      <c r="T12" s="82"/>
      <c r="U12" s="82"/>
      <c r="V12" s="82"/>
      <c r="W12" s="82"/>
      <c r="X12" s="118">
        <f>SUM(X8:X11)</f>
        <v>0</v>
      </c>
      <c r="Z12" s="154"/>
    </row>
    <row r="13" spans="1:26" ht="15.95" customHeight="1" x14ac:dyDescent="0.25">
      <c r="A13" s="94"/>
      <c r="B13" s="238" t="s">
        <v>67</v>
      </c>
      <c r="C13" s="239"/>
      <c r="D13" s="239"/>
      <c r="E13" s="239"/>
      <c r="F13" s="83"/>
      <c r="G13" s="84"/>
      <c r="H13" s="84"/>
      <c r="I13" s="84"/>
      <c r="J13" s="84"/>
      <c r="K13" s="84"/>
      <c r="L13" s="84"/>
      <c r="M13" s="84"/>
      <c r="N13" s="85">
        <f>N12*(1+Rates!$F$8)</f>
        <v>0</v>
      </c>
      <c r="P13" s="83"/>
      <c r="Q13" s="84"/>
      <c r="R13" s="84"/>
      <c r="S13" s="84"/>
      <c r="T13" s="84"/>
      <c r="U13" s="84"/>
      <c r="V13" s="84"/>
      <c r="W13" s="84"/>
      <c r="X13" s="85">
        <f>X12*(1+Rates!$F$8)</f>
        <v>0</v>
      </c>
      <c r="Z13" s="154"/>
    </row>
    <row r="14" spans="1:26" ht="15.95" customHeight="1" thickBot="1" x14ac:dyDescent="0.3">
      <c r="A14" s="94"/>
      <c r="B14" s="240" t="s">
        <v>68</v>
      </c>
      <c r="C14" s="241"/>
      <c r="D14" s="241"/>
      <c r="E14" s="241"/>
      <c r="F14" s="92"/>
      <c r="G14" s="95"/>
      <c r="H14" s="95"/>
      <c r="I14" s="95"/>
      <c r="J14" s="95"/>
      <c r="K14" s="95"/>
      <c r="L14" s="95"/>
      <c r="M14" s="95"/>
      <c r="N14" s="96">
        <f>N13*(1+Rates!$F$9)</f>
        <v>0</v>
      </c>
      <c r="P14" s="92"/>
      <c r="Q14" s="95"/>
      <c r="R14" s="95"/>
      <c r="S14" s="95"/>
      <c r="T14" s="95"/>
      <c r="U14" s="95"/>
      <c r="V14" s="95"/>
      <c r="W14" s="95"/>
      <c r="X14" s="96">
        <f>X13*(1+Rates!$F$9)</f>
        <v>0</v>
      </c>
      <c r="Z14" s="154"/>
    </row>
    <row r="15" spans="1:26" ht="16.5" thickBot="1" x14ac:dyDescent="0.3">
      <c r="B15" s="75"/>
      <c r="C15" s="76"/>
      <c r="D15" s="76"/>
      <c r="E15" s="76"/>
      <c r="F15" s="253" t="s">
        <v>69</v>
      </c>
      <c r="G15" s="253"/>
      <c r="H15" s="253"/>
      <c r="I15" s="253"/>
      <c r="J15" s="253"/>
      <c r="K15" s="253"/>
      <c r="L15" s="253"/>
      <c r="M15" s="266"/>
      <c r="N15" s="88">
        <f>N14</f>
        <v>0</v>
      </c>
      <c r="P15" s="253" t="s">
        <v>69</v>
      </c>
      <c r="Q15" s="253"/>
      <c r="R15" s="253"/>
      <c r="S15" s="253"/>
      <c r="T15" s="253"/>
      <c r="U15" s="253"/>
      <c r="V15" s="253"/>
      <c r="W15" s="266"/>
      <c r="X15" s="88">
        <f>X14</f>
        <v>0</v>
      </c>
      <c r="Z15" s="154"/>
    </row>
    <row r="16" spans="1:26" ht="15.95" customHeight="1" x14ac:dyDescent="0.25">
      <c r="X16" s="59"/>
      <c r="Z16" s="154"/>
    </row>
    <row r="17" spans="1:26" ht="15.95" customHeight="1" thickBot="1" x14ac:dyDescent="0.3">
      <c r="A17" t="s">
        <v>84</v>
      </c>
      <c r="X17" s="59"/>
      <c r="Z17" s="154"/>
    </row>
    <row r="18" spans="1:26" ht="48.6" customHeight="1" x14ac:dyDescent="0.25">
      <c r="A18" s="60">
        <v>5</v>
      </c>
      <c r="B18" s="251" t="s">
        <v>71</v>
      </c>
      <c r="C18" s="252"/>
      <c r="D18" s="252"/>
      <c r="E18" s="252"/>
      <c r="F18" s="137"/>
      <c r="G18" s="74" t="s">
        <v>64</v>
      </c>
      <c r="H18" s="74" t="s">
        <v>56</v>
      </c>
      <c r="I18" s="138"/>
      <c r="J18" s="74" t="s">
        <v>65</v>
      </c>
      <c r="K18" s="74" t="s">
        <v>56</v>
      </c>
      <c r="L18" s="138"/>
      <c r="M18" s="74" t="s">
        <v>25</v>
      </c>
      <c r="N18" s="79">
        <f>F18*I18*L18</f>
        <v>0</v>
      </c>
      <c r="O18" s="60"/>
      <c r="P18" s="137"/>
      <c r="Q18" s="74" t="s">
        <v>64</v>
      </c>
      <c r="R18" s="74" t="s">
        <v>56</v>
      </c>
      <c r="S18" s="138"/>
      <c r="T18" s="74" t="s">
        <v>65</v>
      </c>
      <c r="U18" s="74" t="s">
        <v>56</v>
      </c>
      <c r="V18" s="138"/>
      <c r="W18" s="74" t="s">
        <v>25</v>
      </c>
      <c r="X18" s="79">
        <f>P18*S18*V18</f>
        <v>0</v>
      </c>
      <c r="Z18" s="154"/>
    </row>
    <row r="19" spans="1:26" ht="15.6" customHeight="1" x14ac:dyDescent="0.25">
      <c r="A19" s="80">
        <v>6</v>
      </c>
      <c r="B19" s="247" t="s">
        <v>85</v>
      </c>
      <c r="C19" s="248"/>
      <c r="D19" s="248"/>
      <c r="E19" s="248"/>
      <c r="F19" s="137"/>
      <c r="G19" s="84"/>
      <c r="H19" s="84"/>
      <c r="I19" s="84"/>
      <c r="J19" s="84"/>
      <c r="K19" s="84" t="s">
        <v>56</v>
      </c>
      <c r="L19" s="138"/>
      <c r="M19" s="84"/>
      <c r="N19" s="85">
        <f>F19*L19</f>
        <v>0</v>
      </c>
      <c r="P19" s="137"/>
      <c r="Q19" s="84"/>
      <c r="R19" s="84"/>
      <c r="S19" s="84"/>
      <c r="T19" s="84"/>
      <c r="U19" s="84" t="s">
        <v>56</v>
      </c>
      <c r="V19" s="138"/>
      <c r="W19" s="84"/>
      <c r="X19" s="85">
        <f>P19*V19</f>
        <v>0</v>
      </c>
      <c r="Z19" s="154"/>
    </row>
    <row r="20" spans="1:26" ht="41.1" customHeight="1" x14ac:dyDescent="0.25">
      <c r="A20" s="60">
        <v>7</v>
      </c>
      <c r="B20" s="245" t="s">
        <v>74</v>
      </c>
      <c r="C20" s="246"/>
      <c r="D20" s="246"/>
      <c r="E20" s="246"/>
      <c r="F20" s="137"/>
      <c r="G20" s="84" t="s">
        <v>64</v>
      </c>
      <c r="H20" s="84" t="s">
        <v>56</v>
      </c>
      <c r="I20" s="138"/>
      <c r="J20" s="84" t="s">
        <v>65</v>
      </c>
      <c r="K20" s="84" t="s">
        <v>56</v>
      </c>
      <c r="L20" s="138"/>
      <c r="M20" s="84" t="s">
        <v>25</v>
      </c>
      <c r="N20" s="85">
        <f>F20*I20*L20</f>
        <v>0</v>
      </c>
      <c r="P20" s="137"/>
      <c r="Q20" s="84" t="s">
        <v>64</v>
      </c>
      <c r="R20" s="84" t="s">
        <v>56</v>
      </c>
      <c r="S20" s="138"/>
      <c r="T20" s="84" t="s">
        <v>65</v>
      </c>
      <c r="U20" s="84" t="s">
        <v>56</v>
      </c>
      <c r="V20" s="138"/>
      <c r="W20" s="84" t="s">
        <v>25</v>
      </c>
      <c r="X20" s="85">
        <f>P20*S20*V20</f>
        <v>0</v>
      </c>
      <c r="Z20" s="154"/>
    </row>
    <row r="21" spans="1:26" ht="31.5" customHeight="1" x14ac:dyDescent="0.25">
      <c r="A21" s="60">
        <v>8</v>
      </c>
      <c r="B21" s="245" t="s">
        <v>76</v>
      </c>
      <c r="C21" s="246"/>
      <c r="D21" s="246"/>
      <c r="E21" s="246"/>
      <c r="F21" s="137"/>
      <c r="G21" s="84" t="s">
        <v>77</v>
      </c>
      <c r="H21" s="84"/>
      <c r="I21" s="84"/>
      <c r="J21" s="84"/>
      <c r="K21" s="84"/>
      <c r="L21" s="84"/>
      <c r="M21" s="84"/>
      <c r="N21" s="91">
        <f>F21</f>
        <v>0</v>
      </c>
      <c r="P21" s="137"/>
      <c r="Q21" s="84" t="s">
        <v>77</v>
      </c>
      <c r="R21" s="84"/>
      <c r="S21" s="84"/>
      <c r="T21" s="84"/>
      <c r="U21" s="84"/>
      <c r="V21" s="84"/>
      <c r="W21" s="84"/>
      <c r="X21" s="91">
        <f>P21</f>
        <v>0</v>
      </c>
      <c r="Z21" s="154"/>
    </row>
    <row r="22" spans="1:26" ht="31.5" x14ac:dyDescent="0.25">
      <c r="A22" s="60">
        <v>9</v>
      </c>
      <c r="B22" s="264" t="s">
        <v>86</v>
      </c>
      <c r="C22" s="265"/>
      <c r="D22" s="265"/>
      <c r="E22" s="265"/>
      <c r="F22" s="137"/>
      <c r="G22" s="95" t="s">
        <v>77</v>
      </c>
      <c r="H22" s="95"/>
      <c r="I22" s="95"/>
      <c r="J22" s="95"/>
      <c r="K22" s="95"/>
      <c r="L22" s="95"/>
      <c r="M22" s="95"/>
      <c r="N22" s="125">
        <f>F22</f>
        <v>0</v>
      </c>
      <c r="P22" s="137"/>
      <c r="Q22" s="95" t="s">
        <v>77</v>
      </c>
      <c r="R22" s="95"/>
      <c r="S22" s="95"/>
      <c r="T22" s="95"/>
      <c r="U22" s="95"/>
      <c r="V22" s="95"/>
      <c r="W22" s="95"/>
      <c r="X22" s="125">
        <f>P22</f>
        <v>0</v>
      </c>
      <c r="Z22" s="154"/>
    </row>
    <row r="23" spans="1:26" x14ac:dyDescent="0.25">
      <c r="A23" s="94"/>
      <c r="B23" s="235" t="s">
        <v>66</v>
      </c>
      <c r="C23" s="236"/>
      <c r="D23" s="236"/>
      <c r="E23" s="237"/>
      <c r="F23" s="81"/>
      <c r="G23" s="82"/>
      <c r="H23" s="82"/>
      <c r="I23" s="82"/>
      <c r="J23" s="82"/>
      <c r="K23" s="82"/>
      <c r="L23" s="82"/>
      <c r="M23" s="82"/>
      <c r="N23" s="118">
        <f>SUM(N18:N22)</f>
        <v>0</v>
      </c>
      <c r="P23" s="81"/>
      <c r="Q23" s="82"/>
      <c r="R23" s="82"/>
      <c r="S23" s="82"/>
      <c r="T23" s="82"/>
      <c r="U23" s="82"/>
      <c r="V23" s="82"/>
      <c r="W23" s="82"/>
      <c r="X23" s="118">
        <f>SUM(X18:X22)</f>
        <v>0</v>
      </c>
      <c r="Z23" s="154"/>
    </row>
    <row r="24" spans="1:26" ht="15.95" customHeight="1" x14ac:dyDescent="0.25">
      <c r="A24" s="94"/>
      <c r="B24" s="238" t="s">
        <v>67</v>
      </c>
      <c r="C24" s="239"/>
      <c r="D24" s="239"/>
      <c r="E24" s="239"/>
      <c r="F24" s="83"/>
      <c r="G24" s="84"/>
      <c r="H24" s="84"/>
      <c r="I24" s="84"/>
      <c r="J24" s="84"/>
      <c r="K24" s="84"/>
      <c r="L24" s="84"/>
      <c r="M24" s="84"/>
      <c r="N24" s="85">
        <f>N23*(1+Rates!$F$8)</f>
        <v>0</v>
      </c>
      <c r="P24" s="83"/>
      <c r="Q24" s="84"/>
      <c r="R24" s="84"/>
      <c r="S24" s="84"/>
      <c r="T24" s="84"/>
      <c r="U24" s="84"/>
      <c r="V24" s="84"/>
      <c r="W24" s="84"/>
      <c r="X24" s="85">
        <f>X23*(1+Rates!$F$8)</f>
        <v>0</v>
      </c>
      <c r="Z24" s="154"/>
    </row>
    <row r="25" spans="1:26" ht="15.95" customHeight="1" thickBot="1" x14ac:dyDescent="0.3">
      <c r="A25" s="94"/>
      <c r="B25" s="240" t="s">
        <v>68</v>
      </c>
      <c r="C25" s="241"/>
      <c r="D25" s="241"/>
      <c r="E25" s="241"/>
      <c r="F25" s="92"/>
      <c r="G25" s="95"/>
      <c r="H25" s="95"/>
      <c r="I25" s="95"/>
      <c r="J25" s="95"/>
      <c r="K25" s="95"/>
      <c r="L25" s="95"/>
      <c r="M25" s="95"/>
      <c r="N25" s="96">
        <f>N24*(1+Rates!$F$9)</f>
        <v>0</v>
      </c>
      <c r="P25" s="92"/>
      <c r="Q25" s="95"/>
      <c r="R25" s="95"/>
      <c r="S25" s="95"/>
      <c r="T25" s="95"/>
      <c r="U25" s="95"/>
      <c r="V25" s="95"/>
      <c r="W25" s="95"/>
      <c r="X25" s="96">
        <f>X24*(1+Rates!$F$9)</f>
        <v>0</v>
      </c>
      <c r="Z25" s="154"/>
    </row>
    <row r="26" spans="1:26" ht="16.5" thickBot="1" x14ac:dyDescent="0.3">
      <c r="B26" s="75"/>
      <c r="C26" s="76"/>
      <c r="D26" s="76"/>
      <c r="E26" s="76"/>
      <c r="F26" s="253" t="s">
        <v>69</v>
      </c>
      <c r="G26" s="253"/>
      <c r="H26" s="253"/>
      <c r="I26" s="253"/>
      <c r="J26" s="253"/>
      <c r="K26" s="253"/>
      <c r="L26" s="253"/>
      <c r="M26" s="266"/>
      <c r="N26" s="88">
        <f>N25</f>
        <v>0</v>
      </c>
      <c r="P26" s="253" t="s">
        <v>69</v>
      </c>
      <c r="Q26" s="253"/>
      <c r="R26" s="253"/>
      <c r="S26" s="253"/>
      <c r="T26" s="253"/>
      <c r="U26" s="253"/>
      <c r="V26" s="253"/>
      <c r="W26" s="266"/>
      <c r="X26" s="88">
        <f>X25</f>
        <v>0</v>
      </c>
      <c r="Z26" s="154"/>
    </row>
    <row r="27" spans="1:26" x14ac:dyDescent="0.25">
      <c r="X27" s="59"/>
      <c r="Z27" s="154"/>
    </row>
    <row r="28" spans="1:26" x14ac:dyDescent="0.25">
      <c r="F28" s="267" t="s">
        <v>79</v>
      </c>
      <c r="G28" s="267"/>
      <c r="H28" s="267"/>
      <c r="I28" s="267"/>
      <c r="J28" s="267"/>
      <c r="K28" s="267"/>
      <c r="L28" s="267"/>
      <c r="M28" s="267"/>
      <c r="N28" s="152">
        <f>SUM(N26,N15)</f>
        <v>0</v>
      </c>
      <c r="P28" s="267" t="s">
        <v>79</v>
      </c>
      <c r="Q28" s="267"/>
      <c r="R28" s="267"/>
      <c r="S28" s="267"/>
      <c r="T28" s="267"/>
      <c r="U28" s="267"/>
      <c r="V28" s="267"/>
      <c r="W28" s="267"/>
      <c r="X28" s="152">
        <f>SUM(X26,X15)</f>
        <v>0</v>
      </c>
      <c r="Z28" s="154"/>
    </row>
    <row r="29" spans="1:26" x14ac:dyDescent="0.25">
      <c r="F29" s="156"/>
      <c r="G29" s="156"/>
      <c r="H29" s="156"/>
      <c r="I29" s="156"/>
      <c r="J29" s="156"/>
      <c r="K29" s="156"/>
      <c r="L29" s="156"/>
      <c r="M29" s="156"/>
      <c r="N29" s="152"/>
      <c r="P29" s="156"/>
      <c r="Q29" s="156"/>
      <c r="R29" s="156"/>
      <c r="S29" s="156"/>
      <c r="T29" s="156"/>
      <c r="U29" s="156"/>
      <c r="V29" s="156"/>
      <c r="W29" s="156"/>
      <c r="X29" s="152"/>
      <c r="Z29" s="154"/>
    </row>
    <row r="30" spans="1:26" ht="16.5" thickBot="1" x14ac:dyDescent="0.3">
      <c r="B30" s="26" t="s">
        <v>36</v>
      </c>
      <c r="M30">
        <v>3</v>
      </c>
      <c r="N30" s="151">
        <f>N28*M30</f>
        <v>0</v>
      </c>
      <c r="W30">
        <v>1</v>
      </c>
      <c r="X30" s="151">
        <f>X28*W30</f>
        <v>0</v>
      </c>
      <c r="Z30" s="155">
        <f>N30+X30</f>
        <v>0</v>
      </c>
    </row>
    <row r="31" spans="1:26" ht="16.5" thickTop="1" x14ac:dyDescent="0.25">
      <c r="B31" s="26"/>
    </row>
    <row r="32" spans="1:26" x14ac:dyDescent="0.25">
      <c r="A32" s="12" t="s">
        <v>38</v>
      </c>
    </row>
    <row r="33" spans="1:14" x14ac:dyDescent="0.25">
      <c r="A33" s="231"/>
      <c r="B33" s="232"/>
      <c r="C33" s="232"/>
      <c r="D33" s="232"/>
      <c r="E33" s="232"/>
      <c r="F33" s="232"/>
      <c r="G33" s="232"/>
      <c r="H33" s="232"/>
      <c r="I33" s="232"/>
      <c r="J33" s="232"/>
      <c r="K33" s="232"/>
      <c r="L33" s="232"/>
      <c r="M33" s="232"/>
      <c r="N33" s="232"/>
    </row>
    <row r="34" spans="1:14" x14ac:dyDescent="0.25">
      <c r="A34" s="231"/>
      <c r="B34" s="232"/>
      <c r="C34" s="232"/>
      <c r="D34" s="232"/>
      <c r="E34" s="232"/>
      <c r="F34" s="232"/>
      <c r="G34" s="232"/>
      <c r="H34" s="232"/>
      <c r="I34" s="232"/>
      <c r="J34" s="232"/>
      <c r="K34" s="232"/>
      <c r="L34" s="232"/>
      <c r="M34" s="232"/>
      <c r="N34" s="232"/>
    </row>
    <row r="35" spans="1:14" x14ac:dyDescent="0.25">
      <c r="A35" s="231"/>
      <c r="B35" s="232"/>
      <c r="C35" s="232"/>
      <c r="D35" s="232"/>
      <c r="E35" s="232"/>
      <c r="F35" s="232"/>
      <c r="G35" s="232"/>
      <c r="H35" s="232"/>
      <c r="I35" s="232"/>
      <c r="J35" s="232"/>
      <c r="K35" s="232"/>
      <c r="L35" s="232"/>
      <c r="M35" s="232"/>
      <c r="N35" s="232"/>
    </row>
    <row r="36" spans="1:14" x14ac:dyDescent="0.25">
      <c r="A36" s="231"/>
      <c r="B36" s="232"/>
      <c r="C36" s="232"/>
      <c r="D36" s="232"/>
      <c r="E36" s="232"/>
      <c r="F36" s="232"/>
      <c r="G36" s="232"/>
      <c r="H36" s="232"/>
      <c r="I36" s="232"/>
      <c r="J36" s="232"/>
      <c r="K36" s="232"/>
      <c r="L36" s="232"/>
      <c r="M36" s="232"/>
      <c r="N36" s="232"/>
    </row>
    <row r="37" spans="1:14" x14ac:dyDescent="0.25">
      <c r="A37" s="231"/>
      <c r="B37" s="232"/>
      <c r="C37" s="232"/>
      <c r="D37" s="232"/>
      <c r="E37" s="232"/>
      <c r="F37" s="232"/>
      <c r="G37" s="232"/>
      <c r="H37" s="232"/>
      <c r="I37" s="232"/>
      <c r="J37" s="232"/>
      <c r="K37" s="232"/>
      <c r="L37" s="232"/>
      <c r="M37" s="232"/>
      <c r="N37" s="232"/>
    </row>
    <row r="38" spans="1:14" x14ac:dyDescent="0.25">
      <c r="A38" s="231"/>
      <c r="B38" s="232"/>
      <c r="C38" s="232"/>
      <c r="D38" s="232"/>
      <c r="E38" s="232"/>
      <c r="F38" s="232"/>
      <c r="G38" s="232"/>
      <c r="H38" s="232"/>
      <c r="I38" s="232"/>
      <c r="J38" s="232"/>
      <c r="K38" s="232"/>
      <c r="L38" s="232"/>
      <c r="M38" s="232"/>
      <c r="N38" s="232"/>
    </row>
    <row r="39" spans="1:14" x14ac:dyDescent="0.25">
      <c r="A39" s="231"/>
      <c r="B39" s="232"/>
      <c r="C39" s="232"/>
      <c r="D39" s="232"/>
      <c r="E39" s="232"/>
      <c r="F39" s="232"/>
      <c r="G39" s="232"/>
      <c r="H39" s="232"/>
      <c r="I39" s="232"/>
      <c r="J39" s="232"/>
      <c r="K39" s="232"/>
      <c r="L39" s="232"/>
      <c r="M39" s="232"/>
      <c r="N39" s="232"/>
    </row>
    <row r="40" spans="1:14" x14ac:dyDescent="0.25">
      <c r="A40" s="231"/>
      <c r="B40" s="232"/>
      <c r="C40" s="232"/>
      <c r="D40" s="232"/>
      <c r="E40" s="232"/>
      <c r="F40" s="232"/>
      <c r="G40" s="232"/>
      <c r="H40" s="232"/>
      <c r="I40" s="232"/>
      <c r="J40" s="232"/>
      <c r="K40" s="232"/>
      <c r="L40" s="232"/>
      <c r="M40" s="232"/>
      <c r="N40" s="232"/>
    </row>
    <row r="41" spans="1:14" x14ac:dyDescent="0.25">
      <c r="A41" s="231"/>
      <c r="B41" s="232"/>
      <c r="C41" s="232"/>
      <c r="D41" s="232"/>
      <c r="E41" s="232"/>
      <c r="F41" s="232"/>
      <c r="G41" s="232"/>
      <c r="H41" s="232"/>
      <c r="I41" s="232"/>
      <c r="J41" s="232"/>
      <c r="K41" s="232"/>
      <c r="L41" s="232"/>
      <c r="M41" s="232"/>
      <c r="N41" s="232"/>
    </row>
  </sheetData>
  <mergeCells count="27">
    <mergeCell ref="F5:N5"/>
    <mergeCell ref="P5:X5"/>
    <mergeCell ref="P6:Q6"/>
    <mergeCell ref="S6:T6"/>
    <mergeCell ref="F15:M15"/>
    <mergeCell ref="F6:G6"/>
    <mergeCell ref="I6:J6"/>
    <mergeCell ref="A33:N41"/>
    <mergeCell ref="B25:E25"/>
    <mergeCell ref="P15:W15"/>
    <mergeCell ref="P26:W26"/>
    <mergeCell ref="P28:W28"/>
    <mergeCell ref="F26:M26"/>
    <mergeCell ref="F28:M28"/>
    <mergeCell ref="B9:E9"/>
    <mergeCell ref="B10:E10"/>
    <mergeCell ref="B8:E8"/>
    <mergeCell ref="B23:E23"/>
    <mergeCell ref="B24:E24"/>
    <mergeCell ref="B22:E22"/>
    <mergeCell ref="B19:E19"/>
    <mergeCell ref="B20:E20"/>
    <mergeCell ref="B21:E21"/>
    <mergeCell ref="B18:E18"/>
    <mergeCell ref="B12:E12"/>
    <mergeCell ref="B13:E13"/>
    <mergeCell ref="B14:E14"/>
  </mergeCells>
  <pageMargins left="0.7" right="0.7" top="0.75" bottom="0.75" header="0.3" footer="0.3"/>
  <pageSetup orientation="portrait" r:id="rId1"/>
  <ignoredErrors>
    <ignoredError sqref="N19" formula="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BDF7B-A4AD-4C5D-92E0-A331B4C232B6}">
  <dimension ref="A1:Z97"/>
  <sheetViews>
    <sheetView showGridLines="0" topLeftCell="A71" workbookViewId="0">
      <selection activeCell="P4" sqref="P4:X4"/>
    </sheetView>
  </sheetViews>
  <sheetFormatPr defaultColWidth="8.125" defaultRowHeight="15.75" x14ac:dyDescent="0.25"/>
  <cols>
    <col min="1" max="5" width="8.125" style="163"/>
    <col min="6" max="6" width="9.25" style="163" customWidth="1"/>
    <col min="7" max="7" width="8.625" style="163" customWidth="1"/>
    <col min="8" max="8" width="2.25" style="163" customWidth="1"/>
    <col min="9" max="9" width="4" style="163" customWidth="1"/>
    <col min="10" max="10" width="8" style="163" customWidth="1"/>
    <col min="11" max="11" width="2.25" style="163" customWidth="1"/>
    <col min="12" max="12" width="5.125" style="163" customWidth="1"/>
    <col min="13" max="13" width="7.375" style="163" customWidth="1"/>
    <col min="14" max="14" width="9.125" style="210" bestFit="1" customWidth="1"/>
    <col min="15" max="15" width="8.125" style="163"/>
    <col min="16" max="16" width="9.25" style="163" customWidth="1"/>
    <col min="17" max="17" width="8.625" style="163" customWidth="1"/>
    <col min="18" max="18" width="2.25" style="163" customWidth="1"/>
    <col min="19" max="19" width="4" style="163" customWidth="1"/>
    <col min="20" max="20" width="8" style="163" customWidth="1"/>
    <col min="21" max="21" width="2.25" style="163" customWidth="1"/>
    <col min="22" max="22" width="5.125" style="163" customWidth="1"/>
    <col min="23" max="23" width="7.375" style="163" customWidth="1"/>
    <col min="24" max="24" width="9.125" style="210" bestFit="1" customWidth="1"/>
    <col min="25" max="25" width="8.125" style="163"/>
    <col min="26" max="26" width="11.25" style="163" customWidth="1"/>
    <col min="27" max="259" width="8.125" style="163"/>
    <col min="260" max="260" width="9.25" style="163" customWidth="1"/>
    <col min="261" max="261" width="8.625" style="163" customWidth="1"/>
    <col min="262" max="262" width="2.25" style="163" customWidth="1"/>
    <col min="263" max="263" width="4" style="163" customWidth="1"/>
    <col min="264" max="264" width="6.875" style="163" customWidth="1"/>
    <col min="265" max="265" width="2.25" style="163" customWidth="1"/>
    <col min="266" max="266" width="5.125" style="163" customWidth="1"/>
    <col min="267" max="267" width="7.375" style="163" customWidth="1"/>
    <col min="268" max="268" width="9.125" style="163" bestFit="1" customWidth="1"/>
    <col min="269" max="515" width="8.125" style="163"/>
    <col min="516" max="516" width="9.25" style="163" customWidth="1"/>
    <col min="517" max="517" width="8.625" style="163" customWidth="1"/>
    <col min="518" max="518" width="2.25" style="163" customWidth="1"/>
    <col min="519" max="519" width="4" style="163" customWidth="1"/>
    <col min="520" max="520" width="6.875" style="163" customWidth="1"/>
    <col min="521" max="521" width="2.25" style="163" customWidth="1"/>
    <col min="522" max="522" width="5.125" style="163" customWidth="1"/>
    <col min="523" max="523" width="7.375" style="163" customWidth="1"/>
    <col min="524" max="524" width="9.125" style="163" bestFit="1" customWidth="1"/>
    <col min="525" max="771" width="8.125" style="163"/>
    <col min="772" max="772" width="9.25" style="163" customWidth="1"/>
    <col min="773" max="773" width="8.625" style="163" customWidth="1"/>
    <col min="774" max="774" width="2.25" style="163" customWidth="1"/>
    <col min="775" max="775" width="4" style="163" customWidth="1"/>
    <col min="776" max="776" width="6.875" style="163" customWidth="1"/>
    <col min="777" max="777" width="2.25" style="163" customWidth="1"/>
    <col min="778" max="778" width="5.125" style="163" customWidth="1"/>
    <col min="779" max="779" width="7.375" style="163" customWidth="1"/>
    <col min="780" max="780" width="9.125" style="163" bestFit="1" customWidth="1"/>
    <col min="781" max="1027" width="8.125" style="163"/>
    <col min="1028" max="1028" width="9.25" style="163" customWidth="1"/>
    <col min="1029" max="1029" width="8.625" style="163" customWidth="1"/>
    <col min="1030" max="1030" width="2.25" style="163" customWidth="1"/>
    <col min="1031" max="1031" width="4" style="163" customWidth="1"/>
    <col min="1032" max="1032" width="6.875" style="163" customWidth="1"/>
    <col min="1033" max="1033" width="2.25" style="163" customWidth="1"/>
    <col min="1034" max="1034" width="5.125" style="163" customWidth="1"/>
    <col min="1035" max="1035" width="7.375" style="163" customWidth="1"/>
    <col min="1036" max="1036" width="9.125" style="163" bestFit="1" customWidth="1"/>
    <col min="1037" max="1283" width="8.125" style="163"/>
    <col min="1284" max="1284" width="9.25" style="163" customWidth="1"/>
    <col min="1285" max="1285" width="8.625" style="163" customWidth="1"/>
    <col min="1286" max="1286" width="2.25" style="163" customWidth="1"/>
    <col min="1287" max="1287" width="4" style="163" customWidth="1"/>
    <col min="1288" max="1288" width="6.875" style="163" customWidth="1"/>
    <col min="1289" max="1289" width="2.25" style="163" customWidth="1"/>
    <col min="1290" max="1290" width="5.125" style="163" customWidth="1"/>
    <col min="1291" max="1291" width="7.375" style="163" customWidth="1"/>
    <col min="1292" max="1292" width="9.125" style="163" bestFit="1" customWidth="1"/>
    <col min="1293" max="1539" width="8.125" style="163"/>
    <col min="1540" max="1540" width="9.25" style="163" customWidth="1"/>
    <col min="1541" max="1541" width="8.625" style="163" customWidth="1"/>
    <col min="1542" max="1542" width="2.25" style="163" customWidth="1"/>
    <col min="1543" max="1543" width="4" style="163" customWidth="1"/>
    <col min="1544" max="1544" width="6.875" style="163" customWidth="1"/>
    <col min="1545" max="1545" width="2.25" style="163" customWidth="1"/>
    <col min="1546" max="1546" width="5.125" style="163" customWidth="1"/>
    <col min="1547" max="1547" width="7.375" style="163" customWidth="1"/>
    <col min="1548" max="1548" width="9.125" style="163" bestFit="1" customWidth="1"/>
    <col min="1549" max="1795" width="8.125" style="163"/>
    <col min="1796" max="1796" width="9.25" style="163" customWidth="1"/>
    <col min="1797" max="1797" width="8.625" style="163" customWidth="1"/>
    <col min="1798" max="1798" width="2.25" style="163" customWidth="1"/>
    <col min="1799" max="1799" width="4" style="163" customWidth="1"/>
    <col min="1800" max="1800" width="6.875" style="163" customWidth="1"/>
    <col min="1801" max="1801" width="2.25" style="163" customWidth="1"/>
    <col min="1802" max="1802" width="5.125" style="163" customWidth="1"/>
    <col min="1803" max="1803" width="7.375" style="163" customWidth="1"/>
    <col min="1804" max="1804" width="9.125" style="163" bestFit="1" customWidth="1"/>
    <col min="1805" max="2051" width="8.125" style="163"/>
    <col min="2052" max="2052" width="9.25" style="163" customWidth="1"/>
    <col min="2053" max="2053" width="8.625" style="163" customWidth="1"/>
    <col min="2054" max="2054" width="2.25" style="163" customWidth="1"/>
    <col min="2055" max="2055" width="4" style="163" customWidth="1"/>
    <col min="2056" max="2056" width="6.875" style="163" customWidth="1"/>
    <col min="2057" max="2057" width="2.25" style="163" customWidth="1"/>
    <col min="2058" max="2058" width="5.125" style="163" customWidth="1"/>
    <col min="2059" max="2059" width="7.375" style="163" customWidth="1"/>
    <col min="2060" max="2060" width="9.125" style="163" bestFit="1" customWidth="1"/>
    <col min="2061" max="2307" width="8.125" style="163"/>
    <col min="2308" max="2308" width="9.25" style="163" customWidth="1"/>
    <col min="2309" max="2309" width="8.625" style="163" customWidth="1"/>
    <col min="2310" max="2310" width="2.25" style="163" customWidth="1"/>
    <col min="2311" max="2311" width="4" style="163" customWidth="1"/>
    <col min="2312" max="2312" width="6.875" style="163" customWidth="1"/>
    <col min="2313" max="2313" width="2.25" style="163" customWidth="1"/>
    <col min="2314" max="2314" width="5.125" style="163" customWidth="1"/>
    <col min="2315" max="2315" width="7.375" style="163" customWidth="1"/>
    <col min="2316" max="2316" width="9.125" style="163" bestFit="1" customWidth="1"/>
    <col min="2317" max="2563" width="8.125" style="163"/>
    <col min="2564" max="2564" width="9.25" style="163" customWidth="1"/>
    <col min="2565" max="2565" width="8.625" style="163" customWidth="1"/>
    <col min="2566" max="2566" width="2.25" style="163" customWidth="1"/>
    <col min="2567" max="2567" width="4" style="163" customWidth="1"/>
    <col min="2568" max="2568" width="6.875" style="163" customWidth="1"/>
    <col min="2569" max="2569" width="2.25" style="163" customWidth="1"/>
    <col min="2570" max="2570" width="5.125" style="163" customWidth="1"/>
    <col min="2571" max="2571" width="7.375" style="163" customWidth="1"/>
    <col min="2572" max="2572" width="9.125" style="163" bestFit="1" customWidth="1"/>
    <col min="2573" max="2819" width="8.125" style="163"/>
    <col min="2820" max="2820" width="9.25" style="163" customWidth="1"/>
    <col min="2821" max="2821" width="8.625" style="163" customWidth="1"/>
    <col min="2822" max="2822" width="2.25" style="163" customWidth="1"/>
    <col min="2823" max="2823" width="4" style="163" customWidth="1"/>
    <col min="2824" max="2824" width="6.875" style="163" customWidth="1"/>
    <col min="2825" max="2825" width="2.25" style="163" customWidth="1"/>
    <col min="2826" max="2826" width="5.125" style="163" customWidth="1"/>
    <col min="2827" max="2827" width="7.375" style="163" customWidth="1"/>
    <col min="2828" max="2828" width="9.125" style="163" bestFit="1" customWidth="1"/>
    <col min="2829" max="3075" width="8.125" style="163"/>
    <col min="3076" max="3076" width="9.25" style="163" customWidth="1"/>
    <col min="3077" max="3077" width="8.625" style="163" customWidth="1"/>
    <col min="3078" max="3078" width="2.25" style="163" customWidth="1"/>
    <col min="3079" max="3079" width="4" style="163" customWidth="1"/>
    <col min="3080" max="3080" width="6.875" style="163" customWidth="1"/>
    <col min="3081" max="3081" width="2.25" style="163" customWidth="1"/>
    <col min="3082" max="3082" width="5.125" style="163" customWidth="1"/>
    <col min="3083" max="3083" width="7.375" style="163" customWidth="1"/>
    <col min="3084" max="3084" width="9.125" style="163" bestFit="1" customWidth="1"/>
    <col min="3085" max="3331" width="8.125" style="163"/>
    <col min="3332" max="3332" width="9.25" style="163" customWidth="1"/>
    <col min="3333" max="3333" width="8.625" style="163" customWidth="1"/>
    <col min="3334" max="3334" width="2.25" style="163" customWidth="1"/>
    <col min="3335" max="3335" width="4" style="163" customWidth="1"/>
    <col min="3336" max="3336" width="6.875" style="163" customWidth="1"/>
    <col min="3337" max="3337" width="2.25" style="163" customWidth="1"/>
    <col min="3338" max="3338" width="5.125" style="163" customWidth="1"/>
    <col min="3339" max="3339" width="7.375" style="163" customWidth="1"/>
    <col min="3340" max="3340" width="9.125" style="163" bestFit="1" customWidth="1"/>
    <col min="3341" max="3587" width="8.125" style="163"/>
    <col min="3588" max="3588" width="9.25" style="163" customWidth="1"/>
    <col min="3589" max="3589" width="8.625" style="163" customWidth="1"/>
    <col min="3590" max="3590" width="2.25" style="163" customWidth="1"/>
    <col min="3591" max="3591" width="4" style="163" customWidth="1"/>
    <col min="3592" max="3592" width="6.875" style="163" customWidth="1"/>
    <col min="3593" max="3593" width="2.25" style="163" customWidth="1"/>
    <col min="3594" max="3594" width="5.125" style="163" customWidth="1"/>
    <col min="3595" max="3595" width="7.375" style="163" customWidth="1"/>
    <col min="3596" max="3596" width="9.125" style="163" bestFit="1" customWidth="1"/>
    <col min="3597" max="3843" width="8.125" style="163"/>
    <col min="3844" max="3844" width="9.25" style="163" customWidth="1"/>
    <col min="3845" max="3845" width="8.625" style="163" customWidth="1"/>
    <col min="3846" max="3846" width="2.25" style="163" customWidth="1"/>
    <col min="3847" max="3847" width="4" style="163" customWidth="1"/>
    <col min="3848" max="3848" width="6.875" style="163" customWidth="1"/>
    <col min="3849" max="3849" width="2.25" style="163" customWidth="1"/>
    <col min="3850" max="3850" width="5.125" style="163" customWidth="1"/>
    <col min="3851" max="3851" width="7.375" style="163" customWidth="1"/>
    <col min="3852" max="3852" width="9.125" style="163" bestFit="1" customWidth="1"/>
    <col min="3853" max="4099" width="8.125" style="163"/>
    <col min="4100" max="4100" width="9.25" style="163" customWidth="1"/>
    <col min="4101" max="4101" width="8.625" style="163" customWidth="1"/>
    <col min="4102" max="4102" width="2.25" style="163" customWidth="1"/>
    <col min="4103" max="4103" width="4" style="163" customWidth="1"/>
    <col min="4104" max="4104" width="6.875" style="163" customWidth="1"/>
    <col min="4105" max="4105" width="2.25" style="163" customWidth="1"/>
    <col min="4106" max="4106" width="5.125" style="163" customWidth="1"/>
    <col min="4107" max="4107" width="7.375" style="163" customWidth="1"/>
    <col min="4108" max="4108" width="9.125" style="163" bestFit="1" customWidth="1"/>
    <col min="4109" max="4355" width="8.125" style="163"/>
    <col min="4356" max="4356" width="9.25" style="163" customWidth="1"/>
    <col min="4357" max="4357" width="8.625" style="163" customWidth="1"/>
    <col min="4358" max="4358" width="2.25" style="163" customWidth="1"/>
    <col min="4359" max="4359" width="4" style="163" customWidth="1"/>
    <col min="4360" max="4360" width="6.875" style="163" customWidth="1"/>
    <col min="4361" max="4361" width="2.25" style="163" customWidth="1"/>
    <col min="4362" max="4362" width="5.125" style="163" customWidth="1"/>
    <col min="4363" max="4363" width="7.375" style="163" customWidth="1"/>
    <col min="4364" max="4364" width="9.125" style="163" bestFit="1" customWidth="1"/>
    <col min="4365" max="4611" width="8.125" style="163"/>
    <col min="4612" max="4612" width="9.25" style="163" customWidth="1"/>
    <col min="4613" max="4613" width="8.625" style="163" customWidth="1"/>
    <col min="4614" max="4614" width="2.25" style="163" customWidth="1"/>
    <col min="4615" max="4615" width="4" style="163" customWidth="1"/>
    <col min="4616" max="4616" width="6.875" style="163" customWidth="1"/>
    <col min="4617" max="4617" width="2.25" style="163" customWidth="1"/>
    <col min="4618" max="4618" width="5.125" style="163" customWidth="1"/>
    <col min="4619" max="4619" width="7.375" style="163" customWidth="1"/>
    <col min="4620" max="4620" width="9.125" style="163" bestFit="1" customWidth="1"/>
    <col min="4621" max="4867" width="8.125" style="163"/>
    <col min="4868" max="4868" width="9.25" style="163" customWidth="1"/>
    <col min="4869" max="4869" width="8.625" style="163" customWidth="1"/>
    <col min="4870" max="4870" width="2.25" style="163" customWidth="1"/>
    <col min="4871" max="4871" width="4" style="163" customWidth="1"/>
    <col min="4872" max="4872" width="6.875" style="163" customWidth="1"/>
    <col min="4873" max="4873" width="2.25" style="163" customWidth="1"/>
    <col min="4874" max="4874" width="5.125" style="163" customWidth="1"/>
    <col min="4875" max="4875" width="7.375" style="163" customWidth="1"/>
    <col min="4876" max="4876" width="9.125" style="163" bestFit="1" customWidth="1"/>
    <col min="4877" max="5123" width="8.125" style="163"/>
    <col min="5124" max="5124" width="9.25" style="163" customWidth="1"/>
    <col min="5125" max="5125" width="8.625" style="163" customWidth="1"/>
    <col min="5126" max="5126" width="2.25" style="163" customWidth="1"/>
    <col min="5127" max="5127" width="4" style="163" customWidth="1"/>
    <col min="5128" max="5128" width="6.875" style="163" customWidth="1"/>
    <col min="5129" max="5129" width="2.25" style="163" customWidth="1"/>
    <col min="5130" max="5130" width="5.125" style="163" customWidth="1"/>
    <col min="5131" max="5131" width="7.375" style="163" customWidth="1"/>
    <col min="5132" max="5132" width="9.125" style="163" bestFit="1" customWidth="1"/>
    <col min="5133" max="5379" width="8.125" style="163"/>
    <col min="5380" max="5380" width="9.25" style="163" customWidth="1"/>
    <col min="5381" max="5381" width="8.625" style="163" customWidth="1"/>
    <col min="5382" max="5382" width="2.25" style="163" customWidth="1"/>
    <col min="5383" max="5383" width="4" style="163" customWidth="1"/>
    <col min="5384" max="5384" width="6.875" style="163" customWidth="1"/>
    <col min="5385" max="5385" width="2.25" style="163" customWidth="1"/>
    <col min="5386" max="5386" width="5.125" style="163" customWidth="1"/>
    <col min="5387" max="5387" width="7.375" style="163" customWidth="1"/>
    <col min="5388" max="5388" width="9.125" style="163" bestFit="1" customWidth="1"/>
    <col min="5389" max="5635" width="8.125" style="163"/>
    <col min="5636" max="5636" width="9.25" style="163" customWidth="1"/>
    <col min="5637" max="5637" width="8.625" style="163" customWidth="1"/>
    <col min="5638" max="5638" width="2.25" style="163" customWidth="1"/>
    <col min="5639" max="5639" width="4" style="163" customWidth="1"/>
    <col min="5640" max="5640" width="6.875" style="163" customWidth="1"/>
    <col min="5641" max="5641" width="2.25" style="163" customWidth="1"/>
    <col min="5642" max="5642" width="5.125" style="163" customWidth="1"/>
    <col min="5643" max="5643" width="7.375" style="163" customWidth="1"/>
    <col min="5644" max="5644" width="9.125" style="163" bestFit="1" customWidth="1"/>
    <col min="5645" max="5891" width="8.125" style="163"/>
    <col min="5892" max="5892" width="9.25" style="163" customWidth="1"/>
    <col min="5893" max="5893" width="8.625" style="163" customWidth="1"/>
    <col min="5894" max="5894" width="2.25" style="163" customWidth="1"/>
    <col min="5895" max="5895" width="4" style="163" customWidth="1"/>
    <col min="5896" max="5896" width="6.875" style="163" customWidth="1"/>
    <col min="5897" max="5897" width="2.25" style="163" customWidth="1"/>
    <col min="5898" max="5898" width="5.125" style="163" customWidth="1"/>
    <col min="5899" max="5899" width="7.375" style="163" customWidth="1"/>
    <col min="5900" max="5900" width="9.125" style="163" bestFit="1" customWidth="1"/>
    <col min="5901" max="6147" width="8.125" style="163"/>
    <col min="6148" max="6148" width="9.25" style="163" customWidth="1"/>
    <col min="6149" max="6149" width="8.625" style="163" customWidth="1"/>
    <col min="6150" max="6150" width="2.25" style="163" customWidth="1"/>
    <col min="6151" max="6151" width="4" style="163" customWidth="1"/>
    <col min="6152" max="6152" width="6.875" style="163" customWidth="1"/>
    <col min="6153" max="6153" width="2.25" style="163" customWidth="1"/>
    <col min="6154" max="6154" width="5.125" style="163" customWidth="1"/>
    <col min="6155" max="6155" width="7.375" style="163" customWidth="1"/>
    <col min="6156" max="6156" width="9.125" style="163" bestFit="1" customWidth="1"/>
    <col min="6157" max="6403" width="8.125" style="163"/>
    <col min="6404" max="6404" width="9.25" style="163" customWidth="1"/>
    <col min="6405" max="6405" width="8.625" style="163" customWidth="1"/>
    <col min="6406" max="6406" width="2.25" style="163" customWidth="1"/>
    <col min="6407" max="6407" width="4" style="163" customWidth="1"/>
    <col min="6408" max="6408" width="6.875" style="163" customWidth="1"/>
    <col min="6409" max="6409" width="2.25" style="163" customWidth="1"/>
    <col min="6410" max="6410" width="5.125" style="163" customWidth="1"/>
    <col min="6411" max="6411" width="7.375" style="163" customWidth="1"/>
    <col min="6412" max="6412" width="9.125" style="163" bestFit="1" customWidth="1"/>
    <col min="6413" max="6659" width="8.125" style="163"/>
    <col min="6660" max="6660" width="9.25" style="163" customWidth="1"/>
    <col min="6661" max="6661" width="8.625" style="163" customWidth="1"/>
    <col min="6662" max="6662" width="2.25" style="163" customWidth="1"/>
    <col min="6663" max="6663" width="4" style="163" customWidth="1"/>
    <col min="6664" max="6664" width="6.875" style="163" customWidth="1"/>
    <col min="6665" max="6665" width="2.25" style="163" customWidth="1"/>
    <col min="6666" max="6666" width="5.125" style="163" customWidth="1"/>
    <col min="6667" max="6667" width="7.375" style="163" customWidth="1"/>
    <col min="6668" max="6668" width="9.125" style="163" bestFit="1" customWidth="1"/>
    <col min="6669" max="6915" width="8.125" style="163"/>
    <col min="6916" max="6916" width="9.25" style="163" customWidth="1"/>
    <col min="6917" max="6917" width="8.625" style="163" customWidth="1"/>
    <col min="6918" max="6918" width="2.25" style="163" customWidth="1"/>
    <col min="6919" max="6919" width="4" style="163" customWidth="1"/>
    <col min="6920" max="6920" width="6.875" style="163" customWidth="1"/>
    <col min="6921" max="6921" width="2.25" style="163" customWidth="1"/>
    <col min="6922" max="6922" width="5.125" style="163" customWidth="1"/>
    <col min="6923" max="6923" width="7.375" style="163" customWidth="1"/>
    <col min="6924" max="6924" width="9.125" style="163" bestFit="1" customWidth="1"/>
    <col min="6925" max="7171" width="8.125" style="163"/>
    <col min="7172" max="7172" width="9.25" style="163" customWidth="1"/>
    <col min="7173" max="7173" width="8.625" style="163" customWidth="1"/>
    <col min="7174" max="7174" width="2.25" style="163" customWidth="1"/>
    <col min="7175" max="7175" width="4" style="163" customWidth="1"/>
    <col min="7176" max="7176" width="6.875" style="163" customWidth="1"/>
    <col min="7177" max="7177" width="2.25" style="163" customWidth="1"/>
    <col min="7178" max="7178" width="5.125" style="163" customWidth="1"/>
    <col min="7179" max="7179" width="7.375" style="163" customWidth="1"/>
    <col min="7180" max="7180" width="9.125" style="163" bestFit="1" customWidth="1"/>
    <col min="7181" max="7427" width="8.125" style="163"/>
    <col min="7428" max="7428" width="9.25" style="163" customWidth="1"/>
    <col min="7429" max="7429" width="8.625" style="163" customWidth="1"/>
    <col min="7430" max="7430" width="2.25" style="163" customWidth="1"/>
    <col min="7431" max="7431" width="4" style="163" customWidth="1"/>
    <col min="7432" max="7432" width="6.875" style="163" customWidth="1"/>
    <col min="7433" max="7433" width="2.25" style="163" customWidth="1"/>
    <col min="7434" max="7434" width="5.125" style="163" customWidth="1"/>
    <col min="7435" max="7435" width="7.375" style="163" customWidth="1"/>
    <col min="7436" max="7436" width="9.125" style="163" bestFit="1" customWidth="1"/>
    <col min="7437" max="7683" width="8.125" style="163"/>
    <col min="7684" max="7684" width="9.25" style="163" customWidth="1"/>
    <col min="7685" max="7685" width="8.625" style="163" customWidth="1"/>
    <col min="7686" max="7686" width="2.25" style="163" customWidth="1"/>
    <col min="7687" max="7687" width="4" style="163" customWidth="1"/>
    <col min="7688" max="7688" width="6.875" style="163" customWidth="1"/>
    <col min="7689" max="7689" width="2.25" style="163" customWidth="1"/>
    <col min="7690" max="7690" width="5.125" style="163" customWidth="1"/>
    <col min="7691" max="7691" width="7.375" style="163" customWidth="1"/>
    <col min="7692" max="7692" width="9.125" style="163" bestFit="1" customWidth="1"/>
    <col min="7693" max="7939" width="8.125" style="163"/>
    <col min="7940" max="7940" width="9.25" style="163" customWidth="1"/>
    <col min="7941" max="7941" width="8.625" style="163" customWidth="1"/>
    <col min="7942" max="7942" width="2.25" style="163" customWidth="1"/>
    <col min="7943" max="7943" width="4" style="163" customWidth="1"/>
    <col min="7944" max="7944" width="6.875" style="163" customWidth="1"/>
    <col min="7945" max="7945" width="2.25" style="163" customWidth="1"/>
    <col min="7946" max="7946" width="5.125" style="163" customWidth="1"/>
    <col min="7947" max="7947" width="7.375" style="163" customWidth="1"/>
    <col min="7948" max="7948" width="9.125" style="163" bestFit="1" customWidth="1"/>
    <col min="7949" max="8195" width="8.125" style="163"/>
    <col min="8196" max="8196" width="9.25" style="163" customWidth="1"/>
    <col min="8197" max="8197" width="8.625" style="163" customWidth="1"/>
    <col min="8198" max="8198" width="2.25" style="163" customWidth="1"/>
    <col min="8199" max="8199" width="4" style="163" customWidth="1"/>
    <col min="8200" max="8200" width="6.875" style="163" customWidth="1"/>
    <col min="8201" max="8201" width="2.25" style="163" customWidth="1"/>
    <col min="8202" max="8202" width="5.125" style="163" customWidth="1"/>
    <col min="8203" max="8203" width="7.375" style="163" customWidth="1"/>
    <col min="8204" max="8204" width="9.125" style="163" bestFit="1" customWidth="1"/>
    <col min="8205" max="8451" width="8.125" style="163"/>
    <col min="8452" max="8452" width="9.25" style="163" customWidth="1"/>
    <col min="8453" max="8453" width="8.625" style="163" customWidth="1"/>
    <col min="8454" max="8454" width="2.25" style="163" customWidth="1"/>
    <col min="8455" max="8455" width="4" style="163" customWidth="1"/>
    <col min="8456" max="8456" width="6.875" style="163" customWidth="1"/>
    <col min="8457" max="8457" width="2.25" style="163" customWidth="1"/>
    <col min="8458" max="8458" width="5.125" style="163" customWidth="1"/>
    <col min="8459" max="8459" width="7.375" style="163" customWidth="1"/>
    <col min="8460" max="8460" width="9.125" style="163" bestFit="1" customWidth="1"/>
    <col min="8461" max="8707" width="8.125" style="163"/>
    <col min="8708" max="8708" width="9.25" style="163" customWidth="1"/>
    <col min="8709" max="8709" width="8.625" style="163" customWidth="1"/>
    <col min="8710" max="8710" width="2.25" style="163" customWidth="1"/>
    <col min="8711" max="8711" width="4" style="163" customWidth="1"/>
    <col min="8712" max="8712" width="6.875" style="163" customWidth="1"/>
    <col min="8713" max="8713" width="2.25" style="163" customWidth="1"/>
    <col min="8714" max="8714" width="5.125" style="163" customWidth="1"/>
    <col min="8715" max="8715" width="7.375" style="163" customWidth="1"/>
    <col min="8716" max="8716" width="9.125" style="163" bestFit="1" customWidth="1"/>
    <col min="8717" max="8963" width="8.125" style="163"/>
    <col min="8964" max="8964" width="9.25" style="163" customWidth="1"/>
    <col min="8965" max="8965" width="8.625" style="163" customWidth="1"/>
    <col min="8966" max="8966" width="2.25" style="163" customWidth="1"/>
    <col min="8967" max="8967" width="4" style="163" customWidth="1"/>
    <col min="8968" max="8968" width="6.875" style="163" customWidth="1"/>
    <col min="8969" max="8969" width="2.25" style="163" customWidth="1"/>
    <col min="8970" max="8970" width="5.125" style="163" customWidth="1"/>
    <col min="8971" max="8971" width="7.375" style="163" customWidth="1"/>
    <col min="8972" max="8972" width="9.125" style="163" bestFit="1" customWidth="1"/>
    <col min="8973" max="9219" width="8.125" style="163"/>
    <col min="9220" max="9220" width="9.25" style="163" customWidth="1"/>
    <col min="9221" max="9221" width="8.625" style="163" customWidth="1"/>
    <col min="9222" max="9222" width="2.25" style="163" customWidth="1"/>
    <col min="9223" max="9223" width="4" style="163" customWidth="1"/>
    <col min="9224" max="9224" width="6.875" style="163" customWidth="1"/>
    <col min="9225" max="9225" width="2.25" style="163" customWidth="1"/>
    <col min="9226" max="9226" width="5.125" style="163" customWidth="1"/>
    <col min="9227" max="9227" width="7.375" style="163" customWidth="1"/>
    <col min="9228" max="9228" width="9.125" style="163" bestFit="1" customWidth="1"/>
    <col min="9229" max="9475" width="8.125" style="163"/>
    <col min="9476" max="9476" width="9.25" style="163" customWidth="1"/>
    <col min="9477" max="9477" width="8.625" style="163" customWidth="1"/>
    <col min="9478" max="9478" width="2.25" style="163" customWidth="1"/>
    <col min="9479" max="9479" width="4" style="163" customWidth="1"/>
    <col min="9480" max="9480" width="6.875" style="163" customWidth="1"/>
    <col min="9481" max="9481" width="2.25" style="163" customWidth="1"/>
    <col min="9482" max="9482" width="5.125" style="163" customWidth="1"/>
    <col min="9483" max="9483" width="7.375" style="163" customWidth="1"/>
    <col min="9484" max="9484" width="9.125" style="163" bestFit="1" customWidth="1"/>
    <col min="9485" max="9731" width="8.125" style="163"/>
    <col min="9732" max="9732" width="9.25" style="163" customWidth="1"/>
    <col min="9733" max="9733" width="8.625" style="163" customWidth="1"/>
    <col min="9734" max="9734" width="2.25" style="163" customWidth="1"/>
    <col min="9735" max="9735" width="4" style="163" customWidth="1"/>
    <col min="9736" max="9736" width="6.875" style="163" customWidth="1"/>
    <col min="9737" max="9737" width="2.25" style="163" customWidth="1"/>
    <col min="9738" max="9738" width="5.125" style="163" customWidth="1"/>
    <col min="9739" max="9739" width="7.375" style="163" customWidth="1"/>
    <col min="9740" max="9740" width="9.125" style="163" bestFit="1" customWidth="1"/>
    <col min="9741" max="9987" width="8.125" style="163"/>
    <col min="9988" max="9988" width="9.25" style="163" customWidth="1"/>
    <col min="9989" max="9989" width="8.625" style="163" customWidth="1"/>
    <col min="9990" max="9990" width="2.25" style="163" customWidth="1"/>
    <col min="9991" max="9991" width="4" style="163" customWidth="1"/>
    <col min="9992" max="9992" width="6.875" style="163" customWidth="1"/>
    <col min="9993" max="9993" width="2.25" style="163" customWidth="1"/>
    <col min="9994" max="9994" width="5.125" style="163" customWidth="1"/>
    <col min="9995" max="9995" width="7.375" style="163" customWidth="1"/>
    <col min="9996" max="9996" width="9.125" style="163" bestFit="1" customWidth="1"/>
    <col min="9997" max="10243" width="8.125" style="163"/>
    <col min="10244" max="10244" width="9.25" style="163" customWidth="1"/>
    <col min="10245" max="10245" width="8.625" style="163" customWidth="1"/>
    <col min="10246" max="10246" width="2.25" style="163" customWidth="1"/>
    <col min="10247" max="10247" width="4" style="163" customWidth="1"/>
    <col min="10248" max="10248" width="6.875" style="163" customWidth="1"/>
    <col min="10249" max="10249" width="2.25" style="163" customWidth="1"/>
    <col min="10250" max="10250" width="5.125" style="163" customWidth="1"/>
    <col min="10251" max="10251" width="7.375" style="163" customWidth="1"/>
    <col min="10252" max="10252" width="9.125" style="163" bestFit="1" customWidth="1"/>
    <col min="10253" max="10499" width="8.125" style="163"/>
    <col min="10500" max="10500" width="9.25" style="163" customWidth="1"/>
    <col min="10501" max="10501" width="8.625" style="163" customWidth="1"/>
    <col min="10502" max="10502" width="2.25" style="163" customWidth="1"/>
    <col min="10503" max="10503" width="4" style="163" customWidth="1"/>
    <col min="10504" max="10504" width="6.875" style="163" customWidth="1"/>
    <col min="10505" max="10505" width="2.25" style="163" customWidth="1"/>
    <col min="10506" max="10506" width="5.125" style="163" customWidth="1"/>
    <col min="10507" max="10507" width="7.375" style="163" customWidth="1"/>
    <col min="10508" max="10508" width="9.125" style="163" bestFit="1" customWidth="1"/>
    <col min="10509" max="10755" width="8.125" style="163"/>
    <col min="10756" max="10756" width="9.25" style="163" customWidth="1"/>
    <col min="10757" max="10757" width="8.625" style="163" customWidth="1"/>
    <col min="10758" max="10758" width="2.25" style="163" customWidth="1"/>
    <col min="10759" max="10759" width="4" style="163" customWidth="1"/>
    <col min="10760" max="10760" width="6.875" style="163" customWidth="1"/>
    <col min="10761" max="10761" width="2.25" style="163" customWidth="1"/>
    <col min="10762" max="10762" width="5.125" style="163" customWidth="1"/>
    <col min="10763" max="10763" width="7.375" style="163" customWidth="1"/>
    <col min="10764" max="10764" width="9.125" style="163" bestFit="1" customWidth="1"/>
    <col min="10765" max="11011" width="8.125" style="163"/>
    <col min="11012" max="11012" width="9.25" style="163" customWidth="1"/>
    <col min="11013" max="11013" width="8.625" style="163" customWidth="1"/>
    <col min="11014" max="11014" width="2.25" style="163" customWidth="1"/>
    <col min="11015" max="11015" width="4" style="163" customWidth="1"/>
    <col min="11016" max="11016" width="6.875" style="163" customWidth="1"/>
    <col min="11017" max="11017" width="2.25" style="163" customWidth="1"/>
    <col min="11018" max="11018" width="5.125" style="163" customWidth="1"/>
    <col min="11019" max="11019" width="7.375" style="163" customWidth="1"/>
    <col min="11020" max="11020" width="9.125" style="163" bestFit="1" customWidth="1"/>
    <col min="11021" max="11267" width="8.125" style="163"/>
    <col min="11268" max="11268" width="9.25" style="163" customWidth="1"/>
    <col min="11269" max="11269" width="8.625" style="163" customWidth="1"/>
    <col min="11270" max="11270" width="2.25" style="163" customWidth="1"/>
    <col min="11271" max="11271" width="4" style="163" customWidth="1"/>
    <col min="11272" max="11272" width="6.875" style="163" customWidth="1"/>
    <col min="11273" max="11273" width="2.25" style="163" customWidth="1"/>
    <col min="11274" max="11274" width="5.125" style="163" customWidth="1"/>
    <col min="11275" max="11275" width="7.375" style="163" customWidth="1"/>
    <col min="11276" max="11276" width="9.125" style="163" bestFit="1" customWidth="1"/>
    <col min="11277" max="11523" width="8.125" style="163"/>
    <col min="11524" max="11524" width="9.25" style="163" customWidth="1"/>
    <col min="11525" max="11525" width="8.625" style="163" customWidth="1"/>
    <col min="11526" max="11526" width="2.25" style="163" customWidth="1"/>
    <col min="11527" max="11527" width="4" style="163" customWidth="1"/>
    <col min="11528" max="11528" width="6.875" style="163" customWidth="1"/>
    <col min="11529" max="11529" width="2.25" style="163" customWidth="1"/>
    <col min="11530" max="11530" width="5.125" style="163" customWidth="1"/>
    <col min="11531" max="11531" width="7.375" style="163" customWidth="1"/>
    <col min="11532" max="11532" width="9.125" style="163" bestFit="1" customWidth="1"/>
    <col min="11533" max="11779" width="8.125" style="163"/>
    <col min="11780" max="11780" width="9.25" style="163" customWidth="1"/>
    <col min="11781" max="11781" width="8.625" style="163" customWidth="1"/>
    <col min="11782" max="11782" width="2.25" style="163" customWidth="1"/>
    <col min="11783" max="11783" width="4" style="163" customWidth="1"/>
    <col min="11784" max="11784" width="6.875" style="163" customWidth="1"/>
    <col min="11785" max="11785" width="2.25" style="163" customWidth="1"/>
    <col min="11786" max="11786" width="5.125" style="163" customWidth="1"/>
    <col min="11787" max="11787" width="7.375" style="163" customWidth="1"/>
    <col min="11788" max="11788" width="9.125" style="163" bestFit="1" customWidth="1"/>
    <col min="11789" max="12035" width="8.125" style="163"/>
    <col min="12036" max="12036" width="9.25" style="163" customWidth="1"/>
    <col min="12037" max="12037" width="8.625" style="163" customWidth="1"/>
    <col min="12038" max="12038" width="2.25" style="163" customWidth="1"/>
    <col min="12039" max="12039" width="4" style="163" customWidth="1"/>
    <col min="12040" max="12040" width="6.875" style="163" customWidth="1"/>
    <col min="12041" max="12041" width="2.25" style="163" customWidth="1"/>
    <col min="12042" max="12042" width="5.125" style="163" customWidth="1"/>
    <col min="12043" max="12043" width="7.375" style="163" customWidth="1"/>
    <col min="12044" max="12044" width="9.125" style="163" bestFit="1" customWidth="1"/>
    <col min="12045" max="12291" width="8.125" style="163"/>
    <col min="12292" max="12292" width="9.25" style="163" customWidth="1"/>
    <col min="12293" max="12293" width="8.625" style="163" customWidth="1"/>
    <col min="12294" max="12294" width="2.25" style="163" customWidth="1"/>
    <col min="12295" max="12295" width="4" style="163" customWidth="1"/>
    <col min="12296" max="12296" width="6.875" style="163" customWidth="1"/>
    <col min="12297" max="12297" width="2.25" style="163" customWidth="1"/>
    <col min="12298" max="12298" width="5.125" style="163" customWidth="1"/>
    <col min="12299" max="12299" width="7.375" style="163" customWidth="1"/>
    <col min="12300" max="12300" width="9.125" style="163" bestFit="1" customWidth="1"/>
    <col min="12301" max="12547" width="8.125" style="163"/>
    <col min="12548" max="12548" width="9.25" style="163" customWidth="1"/>
    <col min="12549" max="12549" width="8.625" style="163" customWidth="1"/>
    <col min="12550" max="12550" width="2.25" style="163" customWidth="1"/>
    <col min="12551" max="12551" width="4" style="163" customWidth="1"/>
    <col min="12552" max="12552" width="6.875" style="163" customWidth="1"/>
    <col min="12553" max="12553" width="2.25" style="163" customWidth="1"/>
    <col min="12554" max="12554" width="5.125" style="163" customWidth="1"/>
    <col min="12555" max="12555" width="7.375" style="163" customWidth="1"/>
    <col min="12556" max="12556" width="9.125" style="163" bestFit="1" customWidth="1"/>
    <col min="12557" max="12803" width="8.125" style="163"/>
    <col min="12804" max="12804" width="9.25" style="163" customWidth="1"/>
    <col min="12805" max="12805" width="8.625" style="163" customWidth="1"/>
    <col min="12806" max="12806" width="2.25" style="163" customWidth="1"/>
    <col min="12807" max="12807" width="4" style="163" customWidth="1"/>
    <col min="12808" max="12808" width="6.875" style="163" customWidth="1"/>
    <col min="12809" max="12809" width="2.25" style="163" customWidth="1"/>
    <col min="12810" max="12810" width="5.125" style="163" customWidth="1"/>
    <col min="12811" max="12811" width="7.375" style="163" customWidth="1"/>
    <col min="12812" max="12812" width="9.125" style="163" bestFit="1" customWidth="1"/>
    <col min="12813" max="13059" width="8.125" style="163"/>
    <col min="13060" max="13060" width="9.25" style="163" customWidth="1"/>
    <col min="13061" max="13061" width="8.625" style="163" customWidth="1"/>
    <col min="13062" max="13062" width="2.25" style="163" customWidth="1"/>
    <col min="13063" max="13063" width="4" style="163" customWidth="1"/>
    <col min="13064" max="13064" width="6.875" style="163" customWidth="1"/>
    <col min="13065" max="13065" width="2.25" style="163" customWidth="1"/>
    <col min="13066" max="13066" width="5.125" style="163" customWidth="1"/>
    <col min="13067" max="13067" width="7.375" style="163" customWidth="1"/>
    <col min="13068" max="13068" width="9.125" style="163" bestFit="1" customWidth="1"/>
    <col min="13069" max="13315" width="8.125" style="163"/>
    <col min="13316" max="13316" width="9.25" style="163" customWidth="1"/>
    <col min="13317" max="13317" width="8.625" style="163" customWidth="1"/>
    <col min="13318" max="13318" width="2.25" style="163" customWidth="1"/>
    <col min="13319" max="13319" width="4" style="163" customWidth="1"/>
    <col min="13320" max="13320" width="6.875" style="163" customWidth="1"/>
    <col min="13321" max="13321" width="2.25" style="163" customWidth="1"/>
    <col min="13322" max="13322" width="5.125" style="163" customWidth="1"/>
    <col min="13323" max="13323" width="7.375" style="163" customWidth="1"/>
    <col min="13324" max="13324" width="9.125" style="163" bestFit="1" customWidth="1"/>
    <col min="13325" max="13571" width="8.125" style="163"/>
    <col min="13572" max="13572" width="9.25" style="163" customWidth="1"/>
    <col min="13573" max="13573" width="8.625" style="163" customWidth="1"/>
    <col min="13574" max="13574" width="2.25" style="163" customWidth="1"/>
    <col min="13575" max="13575" width="4" style="163" customWidth="1"/>
    <col min="13576" max="13576" width="6.875" style="163" customWidth="1"/>
    <col min="13577" max="13577" width="2.25" style="163" customWidth="1"/>
    <col min="13578" max="13578" width="5.125" style="163" customWidth="1"/>
    <col min="13579" max="13579" width="7.375" style="163" customWidth="1"/>
    <col min="13580" max="13580" width="9.125" style="163" bestFit="1" customWidth="1"/>
    <col min="13581" max="13827" width="8.125" style="163"/>
    <col min="13828" max="13828" width="9.25" style="163" customWidth="1"/>
    <col min="13829" max="13829" width="8.625" style="163" customWidth="1"/>
    <col min="13830" max="13830" width="2.25" style="163" customWidth="1"/>
    <col min="13831" max="13831" width="4" style="163" customWidth="1"/>
    <col min="13832" max="13832" width="6.875" style="163" customWidth="1"/>
    <col min="13833" max="13833" width="2.25" style="163" customWidth="1"/>
    <col min="13834" max="13834" width="5.125" style="163" customWidth="1"/>
    <col min="13835" max="13835" width="7.375" style="163" customWidth="1"/>
    <col min="13836" max="13836" width="9.125" style="163" bestFit="1" customWidth="1"/>
    <col min="13837" max="14083" width="8.125" style="163"/>
    <col min="14084" max="14084" width="9.25" style="163" customWidth="1"/>
    <col min="14085" max="14085" width="8.625" style="163" customWidth="1"/>
    <col min="14086" max="14086" width="2.25" style="163" customWidth="1"/>
    <col min="14087" max="14087" width="4" style="163" customWidth="1"/>
    <col min="14088" max="14088" width="6.875" style="163" customWidth="1"/>
    <col min="14089" max="14089" width="2.25" style="163" customWidth="1"/>
    <col min="14090" max="14090" width="5.125" style="163" customWidth="1"/>
    <col min="14091" max="14091" width="7.375" style="163" customWidth="1"/>
    <col min="14092" max="14092" width="9.125" style="163" bestFit="1" customWidth="1"/>
    <col min="14093" max="14339" width="8.125" style="163"/>
    <col min="14340" max="14340" width="9.25" style="163" customWidth="1"/>
    <col min="14341" max="14341" width="8.625" style="163" customWidth="1"/>
    <col min="14342" max="14342" width="2.25" style="163" customWidth="1"/>
    <col min="14343" max="14343" width="4" style="163" customWidth="1"/>
    <col min="14344" max="14344" width="6.875" style="163" customWidth="1"/>
    <col min="14345" max="14345" width="2.25" style="163" customWidth="1"/>
    <col min="14346" max="14346" width="5.125" style="163" customWidth="1"/>
    <col min="14347" max="14347" width="7.375" style="163" customWidth="1"/>
    <col min="14348" max="14348" width="9.125" style="163" bestFit="1" customWidth="1"/>
    <col min="14349" max="14595" width="8.125" style="163"/>
    <col min="14596" max="14596" width="9.25" style="163" customWidth="1"/>
    <col min="14597" max="14597" width="8.625" style="163" customWidth="1"/>
    <col min="14598" max="14598" width="2.25" style="163" customWidth="1"/>
    <col min="14599" max="14599" width="4" style="163" customWidth="1"/>
    <col min="14600" max="14600" width="6.875" style="163" customWidth="1"/>
    <col min="14601" max="14601" width="2.25" style="163" customWidth="1"/>
    <col min="14602" max="14602" width="5.125" style="163" customWidth="1"/>
    <col min="14603" max="14603" width="7.375" style="163" customWidth="1"/>
    <col min="14604" max="14604" width="9.125" style="163" bestFit="1" customWidth="1"/>
    <col min="14605" max="14851" width="8.125" style="163"/>
    <col min="14852" max="14852" width="9.25" style="163" customWidth="1"/>
    <col min="14853" max="14853" width="8.625" style="163" customWidth="1"/>
    <col min="14854" max="14854" width="2.25" style="163" customWidth="1"/>
    <col min="14855" max="14855" width="4" style="163" customWidth="1"/>
    <col min="14856" max="14856" width="6.875" style="163" customWidth="1"/>
    <col min="14857" max="14857" width="2.25" style="163" customWidth="1"/>
    <col min="14858" max="14858" width="5.125" style="163" customWidth="1"/>
    <col min="14859" max="14859" width="7.375" style="163" customWidth="1"/>
    <col min="14860" max="14860" width="9.125" style="163" bestFit="1" customWidth="1"/>
    <col min="14861" max="15107" width="8.125" style="163"/>
    <col min="15108" max="15108" width="9.25" style="163" customWidth="1"/>
    <col min="15109" max="15109" width="8.625" style="163" customWidth="1"/>
    <col min="15110" max="15110" width="2.25" style="163" customWidth="1"/>
    <col min="15111" max="15111" width="4" style="163" customWidth="1"/>
    <col min="15112" max="15112" width="6.875" style="163" customWidth="1"/>
    <col min="15113" max="15113" width="2.25" style="163" customWidth="1"/>
    <col min="15114" max="15114" width="5.125" style="163" customWidth="1"/>
    <col min="15115" max="15115" width="7.375" style="163" customWidth="1"/>
    <col min="15116" max="15116" width="9.125" style="163" bestFit="1" customWidth="1"/>
    <col min="15117" max="15363" width="8.125" style="163"/>
    <col min="15364" max="15364" width="9.25" style="163" customWidth="1"/>
    <col min="15365" max="15365" width="8.625" style="163" customWidth="1"/>
    <col min="15366" max="15366" width="2.25" style="163" customWidth="1"/>
    <col min="15367" max="15367" width="4" style="163" customWidth="1"/>
    <col min="15368" max="15368" width="6.875" style="163" customWidth="1"/>
    <col min="15369" max="15369" width="2.25" style="163" customWidth="1"/>
    <col min="15370" max="15370" width="5.125" style="163" customWidth="1"/>
    <col min="15371" max="15371" width="7.375" style="163" customWidth="1"/>
    <col min="15372" max="15372" width="9.125" style="163" bestFit="1" customWidth="1"/>
    <col min="15373" max="15619" width="8.125" style="163"/>
    <col min="15620" max="15620" width="9.25" style="163" customWidth="1"/>
    <col min="15621" max="15621" width="8.625" style="163" customWidth="1"/>
    <col min="15622" max="15622" width="2.25" style="163" customWidth="1"/>
    <col min="15623" max="15623" width="4" style="163" customWidth="1"/>
    <col min="15624" max="15624" width="6.875" style="163" customWidth="1"/>
    <col min="15625" max="15625" width="2.25" style="163" customWidth="1"/>
    <col min="15626" max="15626" width="5.125" style="163" customWidth="1"/>
    <col min="15627" max="15627" width="7.375" style="163" customWidth="1"/>
    <col min="15628" max="15628" width="9.125" style="163" bestFit="1" customWidth="1"/>
    <col min="15629" max="15875" width="8.125" style="163"/>
    <col min="15876" max="15876" width="9.25" style="163" customWidth="1"/>
    <col min="15877" max="15877" width="8.625" style="163" customWidth="1"/>
    <col min="15878" max="15878" width="2.25" style="163" customWidth="1"/>
    <col min="15879" max="15879" width="4" style="163" customWidth="1"/>
    <col min="15880" max="15880" width="6.875" style="163" customWidth="1"/>
    <col min="15881" max="15881" width="2.25" style="163" customWidth="1"/>
    <col min="15882" max="15882" width="5.125" style="163" customWidth="1"/>
    <col min="15883" max="15883" width="7.375" style="163" customWidth="1"/>
    <col min="15884" max="15884" width="9.125" style="163" bestFit="1" customWidth="1"/>
    <col min="15885" max="16131" width="8.125" style="163"/>
    <col min="16132" max="16132" width="9.25" style="163" customWidth="1"/>
    <col min="16133" max="16133" width="8.625" style="163" customWidth="1"/>
    <col min="16134" max="16134" width="2.25" style="163" customWidth="1"/>
    <col min="16135" max="16135" width="4" style="163" customWidth="1"/>
    <col min="16136" max="16136" width="6.875" style="163" customWidth="1"/>
    <col min="16137" max="16137" width="2.25" style="163" customWidth="1"/>
    <col min="16138" max="16138" width="5.125" style="163" customWidth="1"/>
    <col min="16139" max="16139" width="7.375" style="163" customWidth="1"/>
    <col min="16140" max="16140" width="9.125" style="163" bestFit="1" customWidth="1"/>
    <col min="16141" max="16384" width="8.125" style="163"/>
  </cols>
  <sheetData>
    <row r="1" spans="1:26" x14ac:dyDescent="0.25">
      <c r="A1" s="170" t="s">
        <v>87</v>
      </c>
      <c r="F1" s="308"/>
      <c r="G1" s="309"/>
      <c r="H1" s="309"/>
      <c r="I1" s="309"/>
      <c r="J1" s="309"/>
      <c r="K1" s="309"/>
      <c r="L1" s="309"/>
      <c r="M1" s="309"/>
      <c r="N1" s="309"/>
      <c r="P1" s="308"/>
      <c r="Q1" s="309"/>
      <c r="R1" s="309"/>
      <c r="S1" s="309"/>
      <c r="T1" s="309"/>
      <c r="U1" s="309"/>
      <c r="V1" s="309"/>
      <c r="W1" s="309"/>
      <c r="X1" s="309"/>
      <c r="Z1" s="1"/>
    </row>
    <row r="2" spans="1:26" ht="40.5" customHeight="1" x14ac:dyDescent="0.25">
      <c r="A2" s="310" t="s">
        <v>169</v>
      </c>
      <c r="B2" s="310"/>
      <c r="C2" s="310"/>
      <c r="D2" s="310"/>
      <c r="E2" s="310"/>
      <c r="F2" s="310"/>
      <c r="G2" s="310"/>
      <c r="H2" s="310"/>
      <c r="I2" s="310"/>
      <c r="J2" s="310"/>
      <c r="K2" s="310"/>
      <c r="L2" s="310"/>
      <c r="M2" s="310"/>
      <c r="N2" s="310"/>
      <c r="X2" s="163"/>
      <c r="Z2" s="1"/>
    </row>
    <row r="3" spans="1:26" x14ac:dyDescent="0.25">
      <c r="A3" s="171"/>
      <c r="B3" s="171"/>
      <c r="C3" s="171"/>
      <c r="D3" s="171"/>
      <c r="E3" s="171"/>
      <c r="F3" s="171"/>
      <c r="G3" s="171"/>
      <c r="H3" s="172"/>
      <c r="I3" s="171"/>
      <c r="J3" s="171"/>
      <c r="K3" s="171"/>
      <c r="L3" s="171"/>
      <c r="M3" s="172"/>
      <c r="N3" s="173"/>
      <c r="P3" s="171"/>
      <c r="Q3" s="171"/>
      <c r="R3" s="172"/>
      <c r="S3" s="171"/>
      <c r="T3" s="171"/>
      <c r="U3" s="171"/>
      <c r="V3" s="171"/>
      <c r="W3" s="172"/>
      <c r="X3" s="173"/>
      <c r="Z3" s="1"/>
    </row>
    <row r="4" spans="1:26" ht="27.6" customHeight="1" thickBot="1" x14ac:dyDescent="0.3">
      <c r="A4" s="174"/>
      <c r="B4" s="174"/>
      <c r="C4" s="174"/>
      <c r="D4" s="174"/>
      <c r="E4" s="174"/>
      <c r="F4" s="311" t="s">
        <v>191</v>
      </c>
      <c r="G4" s="311"/>
      <c r="H4" s="311"/>
      <c r="I4" s="311"/>
      <c r="J4" s="311"/>
      <c r="K4" s="311"/>
      <c r="L4" s="311"/>
      <c r="M4" s="311"/>
      <c r="N4" s="311"/>
      <c r="P4" s="311" t="s">
        <v>187</v>
      </c>
      <c r="Q4" s="311"/>
      <c r="R4" s="311"/>
      <c r="S4" s="311"/>
      <c r="T4" s="311"/>
      <c r="U4" s="311"/>
      <c r="V4" s="311"/>
      <c r="W4" s="311"/>
      <c r="X4" s="311"/>
      <c r="Z4" s="175" t="s">
        <v>43</v>
      </c>
    </row>
    <row r="5" spans="1:26" ht="16.5" thickBot="1" x14ac:dyDescent="0.3">
      <c r="A5" s="171"/>
      <c r="B5" s="302"/>
      <c r="C5" s="303"/>
      <c r="D5" s="303"/>
      <c r="E5" s="304"/>
      <c r="F5" s="276" t="s">
        <v>51</v>
      </c>
      <c r="G5" s="276"/>
      <c r="H5" s="176"/>
      <c r="I5" s="276" t="s">
        <v>51</v>
      </c>
      <c r="J5" s="276"/>
      <c r="K5" s="176"/>
      <c r="L5" s="276" t="s">
        <v>51</v>
      </c>
      <c r="M5" s="276"/>
      <c r="N5" s="177"/>
      <c r="P5" s="276" t="s">
        <v>51</v>
      </c>
      <c r="Q5" s="276"/>
      <c r="R5" s="176"/>
      <c r="S5" s="276" t="s">
        <v>51</v>
      </c>
      <c r="T5" s="276"/>
      <c r="U5" s="176"/>
      <c r="V5" s="276" t="s">
        <v>51</v>
      </c>
      <c r="W5" s="276"/>
      <c r="X5" s="177"/>
      <c r="Z5" s="178"/>
    </row>
    <row r="6" spans="1:26" x14ac:dyDescent="0.25">
      <c r="A6" s="171">
        <v>1</v>
      </c>
      <c r="B6" s="305" t="s">
        <v>168</v>
      </c>
      <c r="C6" s="306"/>
      <c r="D6" s="306"/>
      <c r="E6" s="307"/>
      <c r="F6" s="179" t="s">
        <v>52</v>
      </c>
      <c r="G6" s="179"/>
      <c r="H6" s="179"/>
      <c r="I6" s="179" t="s">
        <v>53</v>
      </c>
      <c r="J6" s="179"/>
      <c r="K6" s="179"/>
      <c r="L6" s="179" t="s">
        <v>53</v>
      </c>
      <c r="M6" s="179"/>
      <c r="N6" s="180" t="s">
        <v>52</v>
      </c>
      <c r="P6" s="179" t="s">
        <v>52</v>
      </c>
      <c r="Q6" s="179"/>
      <c r="R6" s="179"/>
      <c r="S6" s="179" t="s">
        <v>53</v>
      </c>
      <c r="T6" s="179"/>
      <c r="U6" s="179"/>
      <c r="V6" s="179" t="s">
        <v>53</v>
      </c>
      <c r="W6" s="179"/>
      <c r="X6" s="180" t="s">
        <v>52</v>
      </c>
      <c r="Z6" s="178"/>
    </row>
    <row r="7" spans="1:26" s="186" customFormat="1" ht="31.5" x14ac:dyDescent="0.25">
      <c r="A7" s="181"/>
      <c r="B7" s="273" t="s">
        <v>88</v>
      </c>
      <c r="C7" s="274"/>
      <c r="D7" s="274"/>
      <c r="E7" s="274"/>
      <c r="F7" s="182"/>
      <c r="G7" s="183" t="s">
        <v>55</v>
      </c>
      <c r="H7" s="183" t="s">
        <v>56</v>
      </c>
      <c r="I7" s="184"/>
      <c r="J7" s="183" t="s">
        <v>57</v>
      </c>
      <c r="K7" s="183"/>
      <c r="L7" s="183"/>
      <c r="M7" s="183"/>
      <c r="N7" s="185">
        <f>F7*I7</f>
        <v>0</v>
      </c>
      <c r="P7" s="182"/>
      <c r="Q7" s="183" t="s">
        <v>55</v>
      </c>
      <c r="R7" s="183" t="s">
        <v>56</v>
      </c>
      <c r="S7" s="184"/>
      <c r="T7" s="183" t="s">
        <v>57</v>
      </c>
      <c r="U7" s="183"/>
      <c r="V7" s="183"/>
      <c r="W7" s="183"/>
      <c r="X7" s="185">
        <f>P7*S7</f>
        <v>0</v>
      </c>
      <c r="Z7" s="178"/>
    </row>
    <row r="8" spans="1:26" s="186" customFormat="1" ht="31.5" x14ac:dyDescent="0.25">
      <c r="A8" s="181"/>
      <c r="B8" s="273" t="s">
        <v>89</v>
      </c>
      <c r="C8" s="274"/>
      <c r="D8" s="274"/>
      <c r="E8" s="274"/>
      <c r="F8" s="182"/>
      <c r="G8" s="183" t="s">
        <v>55</v>
      </c>
      <c r="H8" s="183" t="s">
        <v>56</v>
      </c>
      <c r="I8" s="184"/>
      <c r="J8" s="183" t="s">
        <v>57</v>
      </c>
      <c r="K8" s="183" t="s">
        <v>56</v>
      </c>
      <c r="L8" s="184"/>
      <c r="M8" s="183" t="s">
        <v>62</v>
      </c>
      <c r="N8" s="185">
        <f>F8*I8*L8</f>
        <v>0</v>
      </c>
      <c r="P8" s="182"/>
      <c r="Q8" s="183" t="s">
        <v>55</v>
      </c>
      <c r="R8" s="183" t="s">
        <v>56</v>
      </c>
      <c r="S8" s="184"/>
      <c r="T8" s="183" t="s">
        <v>57</v>
      </c>
      <c r="U8" s="183" t="s">
        <v>56</v>
      </c>
      <c r="V8" s="184"/>
      <c r="W8" s="183" t="s">
        <v>62</v>
      </c>
      <c r="X8" s="185">
        <f>P8*S8*V8</f>
        <v>0</v>
      </c>
      <c r="Z8" s="178"/>
    </row>
    <row r="9" spans="1:26" s="186" customFormat="1" ht="31.5" x14ac:dyDescent="0.25">
      <c r="A9" s="181"/>
      <c r="B9" s="269" t="s">
        <v>90</v>
      </c>
      <c r="C9" s="270"/>
      <c r="D9" s="270"/>
      <c r="E9" s="270"/>
      <c r="F9" s="187"/>
      <c r="G9" s="188" t="s">
        <v>55</v>
      </c>
      <c r="H9" s="188" t="s">
        <v>56</v>
      </c>
      <c r="I9" s="189"/>
      <c r="J9" s="188" t="s">
        <v>57</v>
      </c>
      <c r="K9" s="188" t="s">
        <v>56</v>
      </c>
      <c r="L9" s="189"/>
      <c r="M9" s="188" t="s">
        <v>91</v>
      </c>
      <c r="N9" s="190">
        <f>F9*I9*L9</f>
        <v>0</v>
      </c>
      <c r="P9" s="187"/>
      <c r="Q9" s="188" t="s">
        <v>55</v>
      </c>
      <c r="R9" s="188" t="s">
        <v>56</v>
      </c>
      <c r="S9" s="189"/>
      <c r="T9" s="188" t="s">
        <v>57</v>
      </c>
      <c r="U9" s="188" t="s">
        <v>56</v>
      </c>
      <c r="V9" s="189"/>
      <c r="W9" s="188" t="s">
        <v>91</v>
      </c>
      <c r="X9" s="190">
        <f>P9*S9*V9</f>
        <v>0</v>
      </c>
      <c r="Z9" s="178"/>
    </row>
    <row r="10" spans="1:26" s="186" customFormat="1" x14ac:dyDescent="0.25">
      <c r="B10" s="287" t="s">
        <v>70</v>
      </c>
      <c r="C10" s="288"/>
      <c r="D10" s="288"/>
      <c r="E10" s="289"/>
      <c r="F10" s="191"/>
      <c r="G10" s="191"/>
      <c r="H10" s="191"/>
      <c r="I10" s="191"/>
      <c r="J10" s="191"/>
      <c r="K10" s="191"/>
      <c r="L10" s="191"/>
      <c r="M10" s="191"/>
      <c r="N10" s="192"/>
      <c r="P10" s="191"/>
      <c r="Q10" s="191"/>
      <c r="R10" s="191"/>
      <c r="S10" s="191"/>
      <c r="T10" s="191"/>
      <c r="U10" s="191"/>
      <c r="V10" s="191"/>
      <c r="W10" s="191"/>
      <c r="X10" s="192"/>
      <c r="Z10" s="178"/>
    </row>
    <row r="11" spans="1:26" ht="48.95" customHeight="1" x14ac:dyDescent="0.25">
      <c r="A11" s="171"/>
      <c r="B11" s="282" t="s">
        <v>71</v>
      </c>
      <c r="C11" s="283"/>
      <c r="D11" s="283"/>
      <c r="E11" s="283"/>
      <c r="F11" s="182"/>
      <c r="G11" s="183" t="s">
        <v>64</v>
      </c>
      <c r="H11" s="183" t="s">
        <v>56</v>
      </c>
      <c r="I11" s="184"/>
      <c r="J11" s="183" t="s">
        <v>59</v>
      </c>
      <c r="K11" s="183" t="s">
        <v>56</v>
      </c>
      <c r="L11" s="184"/>
      <c r="M11" s="183" t="s">
        <v>91</v>
      </c>
      <c r="N11" s="185">
        <f>F11*I11*L11</f>
        <v>0</v>
      </c>
      <c r="P11" s="182"/>
      <c r="Q11" s="183" t="s">
        <v>64</v>
      </c>
      <c r="R11" s="183" t="s">
        <v>56</v>
      </c>
      <c r="S11" s="184"/>
      <c r="T11" s="183" t="s">
        <v>59</v>
      </c>
      <c r="U11" s="183" t="s">
        <v>56</v>
      </c>
      <c r="V11" s="184"/>
      <c r="W11" s="183" t="s">
        <v>91</v>
      </c>
      <c r="X11" s="185">
        <f>P11*S11*V11</f>
        <v>0</v>
      </c>
      <c r="Z11" s="178"/>
    </row>
    <row r="12" spans="1:26" x14ac:dyDescent="0.25">
      <c r="A12" s="181"/>
      <c r="B12" s="269" t="s">
        <v>85</v>
      </c>
      <c r="C12" s="270"/>
      <c r="D12" s="270"/>
      <c r="E12" s="270"/>
      <c r="F12" s="187"/>
      <c r="G12" s="188"/>
      <c r="H12" s="188" t="s">
        <v>56</v>
      </c>
      <c r="I12" s="189"/>
      <c r="J12" s="188" t="s">
        <v>59</v>
      </c>
      <c r="K12" s="188"/>
      <c r="L12" s="188"/>
      <c r="M12" s="188"/>
      <c r="N12" s="190">
        <f>F12*I12</f>
        <v>0</v>
      </c>
      <c r="P12" s="187"/>
      <c r="Q12" s="188"/>
      <c r="R12" s="188" t="s">
        <v>56</v>
      </c>
      <c r="S12" s="189"/>
      <c r="T12" s="188" t="s">
        <v>59</v>
      </c>
      <c r="U12" s="188"/>
      <c r="V12" s="188"/>
      <c r="W12" s="188"/>
      <c r="X12" s="190">
        <f>P12*S12</f>
        <v>0</v>
      </c>
      <c r="Z12" s="178"/>
    </row>
    <row r="13" spans="1:26" x14ac:dyDescent="0.25">
      <c r="A13" s="181"/>
      <c r="B13" s="280" t="s">
        <v>66</v>
      </c>
      <c r="C13" s="281"/>
      <c r="D13" s="281"/>
      <c r="E13" s="281"/>
      <c r="F13" s="193"/>
      <c r="G13" s="194"/>
      <c r="H13" s="194"/>
      <c r="I13" s="194"/>
      <c r="J13" s="194"/>
      <c r="K13" s="194"/>
      <c r="L13" s="194"/>
      <c r="M13" s="194"/>
      <c r="N13" s="195">
        <f>SUM(N7:N12)</f>
        <v>0</v>
      </c>
      <c r="P13" s="193"/>
      <c r="Q13" s="194"/>
      <c r="R13" s="194"/>
      <c r="S13" s="194"/>
      <c r="T13" s="194"/>
      <c r="U13" s="194"/>
      <c r="V13" s="194"/>
      <c r="W13" s="194"/>
      <c r="X13" s="195">
        <f>SUM(X7:X12)</f>
        <v>0</v>
      </c>
      <c r="Z13" s="178"/>
    </row>
    <row r="14" spans="1:26" ht="15.95" customHeight="1" x14ac:dyDescent="0.25">
      <c r="A14" s="181"/>
      <c r="B14" s="282" t="s">
        <v>67</v>
      </c>
      <c r="C14" s="283"/>
      <c r="D14" s="283"/>
      <c r="E14" s="283"/>
      <c r="F14" s="196"/>
      <c r="G14" s="183"/>
      <c r="H14" s="183"/>
      <c r="I14" s="183"/>
      <c r="J14" s="183"/>
      <c r="K14" s="183"/>
      <c r="L14" s="183"/>
      <c r="M14" s="183"/>
      <c r="N14" s="185">
        <f>N13*(1+Rates!$F$8)</f>
        <v>0</v>
      </c>
      <c r="P14" s="196"/>
      <c r="Q14" s="183"/>
      <c r="R14" s="183"/>
      <c r="S14" s="183"/>
      <c r="T14" s="183"/>
      <c r="U14" s="183"/>
      <c r="V14" s="183"/>
      <c r="W14" s="183"/>
      <c r="X14" s="185">
        <f>X13*(1+Rates!$F$8)</f>
        <v>0</v>
      </c>
      <c r="Z14" s="178"/>
    </row>
    <row r="15" spans="1:26" ht="15.95" customHeight="1" thickBot="1" x14ac:dyDescent="0.3">
      <c r="A15" s="181"/>
      <c r="B15" s="278" t="s">
        <v>68</v>
      </c>
      <c r="C15" s="279"/>
      <c r="D15" s="279"/>
      <c r="E15" s="279"/>
      <c r="F15" s="197"/>
      <c r="G15" s="188"/>
      <c r="H15" s="188"/>
      <c r="I15" s="188"/>
      <c r="J15" s="188"/>
      <c r="K15" s="188"/>
      <c r="L15" s="188"/>
      <c r="M15" s="188"/>
      <c r="N15" s="190">
        <f>N14*(1+Rates!$F$9)</f>
        <v>0</v>
      </c>
      <c r="P15" s="197"/>
      <c r="Q15" s="188"/>
      <c r="R15" s="188"/>
      <c r="S15" s="188"/>
      <c r="T15" s="188"/>
      <c r="U15" s="188"/>
      <c r="V15" s="188"/>
      <c r="W15" s="188"/>
      <c r="X15" s="190">
        <f>X14*(1+Rates!$F$9)</f>
        <v>0</v>
      </c>
      <c r="Z15" s="178"/>
    </row>
    <row r="16" spans="1:26" s="186" customFormat="1" x14ac:dyDescent="0.25">
      <c r="A16" s="163"/>
      <c r="B16" s="290"/>
      <c r="C16" s="291"/>
      <c r="D16" s="291"/>
      <c r="E16" s="292"/>
      <c r="F16" s="277" t="s">
        <v>92</v>
      </c>
      <c r="G16" s="277"/>
      <c r="H16" s="277"/>
      <c r="I16" s="277"/>
      <c r="J16" s="277"/>
      <c r="K16" s="277"/>
      <c r="L16" s="277"/>
      <c r="M16" s="277"/>
      <c r="N16" s="198">
        <f>N15</f>
        <v>0</v>
      </c>
      <c r="P16" s="277" t="s">
        <v>92</v>
      </c>
      <c r="Q16" s="277"/>
      <c r="R16" s="277"/>
      <c r="S16" s="277"/>
      <c r="T16" s="277"/>
      <c r="U16" s="277"/>
      <c r="V16" s="277"/>
      <c r="W16" s="277"/>
      <c r="X16" s="198">
        <f>X15</f>
        <v>0</v>
      </c>
      <c r="Z16" s="178"/>
    </row>
    <row r="17" spans="1:26" s="186" customFormat="1" ht="16.5" thickBot="1" x14ac:dyDescent="0.3">
      <c r="A17" s="163"/>
      <c r="B17" s="284" t="s">
        <v>36</v>
      </c>
      <c r="C17" s="285"/>
      <c r="D17" s="285"/>
      <c r="E17" s="285"/>
      <c r="F17" s="299"/>
      <c r="G17" s="300"/>
      <c r="H17" s="300"/>
      <c r="I17" s="300"/>
      <c r="J17" s="300"/>
      <c r="K17" s="300"/>
      <c r="L17" s="301"/>
      <c r="M17" s="199">
        <v>2</v>
      </c>
      <c r="N17" s="200">
        <f>N16*M17</f>
        <v>0</v>
      </c>
      <c r="P17" s="299"/>
      <c r="Q17" s="300"/>
      <c r="R17" s="300"/>
      <c r="S17" s="300"/>
      <c r="T17" s="300"/>
      <c r="U17" s="300"/>
      <c r="V17" s="301"/>
      <c r="W17" s="199">
        <v>0</v>
      </c>
      <c r="X17" s="200">
        <f>X16*W17</f>
        <v>0</v>
      </c>
      <c r="Z17" s="201">
        <f>N17+X17</f>
        <v>0</v>
      </c>
    </row>
    <row r="18" spans="1:26" s="186" customFormat="1" ht="16.5" thickBot="1" x14ac:dyDescent="0.3">
      <c r="A18" s="163"/>
      <c r="B18" s="202"/>
      <c r="C18" s="202"/>
      <c r="D18" s="202"/>
      <c r="E18" s="202"/>
      <c r="F18" s="203"/>
      <c r="G18" s="203"/>
      <c r="H18" s="203"/>
      <c r="I18" s="203"/>
      <c r="J18" s="203"/>
      <c r="K18" s="203"/>
      <c r="L18" s="203"/>
      <c r="M18" s="204"/>
      <c r="N18" s="205"/>
      <c r="P18" s="203"/>
      <c r="Q18" s="203"/>
      <c r="R18" s="203"/>
      <c r="S18" s="203"/>
      <c r="T18" s="203"/>
      <c r="U18" s="203"/>
      <c r="V18" s="203"/>
      <c r="W18" s="204"/>
      <c r="X18" s="205"/>
      <c r="Z18" s="178"/>
    </row>
    <row r="19" spans="1:26" ht="16.5" thickBot="1" x14ac:dyDescent="0.3">
      <c r="A19" s="186"/>
      <c r="B19" s="275"/>
      <c r="C19" s="276"/>
      <c r="D19" s="276"/>
      <c r="E19" s="276"/>
      <c r="F19" s="276" t="s">
        <v>51</v>
      </c>
      <c r="G19" s="276"/>
      <c r="H19" s="176"/>
      <c r="I19" s="276" t="s">
        <v>51</v>
      </c>
      <c r="J19" s="276"/>
      <c r="K19" s="176"/>
      <c r="L19" s="276" t="s">
        <v>51</v>
      </c>
      <c r="M19" s="276"/>
      <c r="N19" s="177"/>
      <c r="P19" s="276" t="s">
        <v>51</v>
      </c>
      <c r="Q19" s="276"/>
      <c r="R19" s="176"/>
      <c r="S19" s="276" t="s">
        <v>51</v>
      </c>
      <c r="T19" s="276"/>
      <c r="U19" s="176"/>
      <c r="V19" s="276" t="s">
        <v>51</v>
      </c>
      <c r="W19" s="276"/>
      <c r="X19" s="177"/>
      <c r="Z19" s="178"/>
    </row>
    <row r="20" spans="1:26" s="186" customFormat="1" ht="36.6" customHeight="1" x14ac:dyDescent="0.25">
      <c r="A20" s="171">
        <v>2</v>
      </c>
      <c r="B20" s="271" t="s">
        <v>170</v>
      </c>
      <c r="C20" s="272"/>
      <c r="D20" s="272"/>
      <c r="E20" s="272"/>
      <c r="F20" s="206"/>
      <c r="G20" s="179"/>
      <c r="H20" s="179"/>
      <c r="I20" s="179"/>
      <c r="J20" s="179"/>
      <c r="K20" s="179"/>
      <c r="L20" s="179"/>
      <c r="M20" s="179"/>
      <c r="N20" s="180"/>
      <c r="P20" s="206"/>
      <c r="Q20" s="179"/>
      <c r="R20" s="179"/>
      <c r="S20" s="179"/>
      <c r="T20" s="179"/>
      <c r="U20" s="179"/>
      <c r="V20" s="179"/>
      <c r="W20" s="179"/>
      <c r="X20" s="180"/>
      <c r="Z20" s="178"/>
    </row>
    <row r="21" spans="1:26" s="186" customFormat="1" ht="31.5" x14ac:dyDescent="0.25">
      <c r="A21" s="181"/>
      <c r="B21" s="273" t="s">
        <v>88</v>
      </c>
      <c r="C21" s="274"/>
      <c r="D21" s="274"/>
      <c r="E21" s="274"/>
      <c r="F21" s="182"/>
      <c r="G21" s="183" t="s">
        <v>55</v>
      </c>
      <c r="H21" s="183" t="s">
        <v>56</v>
      </c>
      <c r="I21" s="184"/>
      <c r="J21" s="183" t="s">
        <v>57</v>
      </c>
      <c r="K21" s="183"/>
      <c r="L21" s="183"/>
      <c r="M21" s="183"/>
      <c r="N21" s="185">
        <f>F21*I21</f>
        <v>0</v>
      </c>
      <c r="P21" s="182"/>
      <c r="Q21" s="183" t="s">
        <v>55</v>
      </c>
      <c r="R21" s="183" t="s">
        <v>56</v>
      </c>
      <c r="S21" s="184"/>
      <c r="T21" s="183" t="s">
        <v>57</v>
      </c>
      <c r="U21" s="183"/>
      <c r="V21" s="183"/>
      <c r="W21" s="183"/>
      <c r="X21" s="185">
        <f>P21*S21</f>
        <v>0</v>
      </c>
      <c r="Z21" s="178"/>
    </row>
    <row r="22" spans="1:26" s="186" customFormat="1" ht="31.5" x14ac:dyDescent="0.25">
      <c r="A22" s="181"/>
      <c r="B22" s="273" t="s">
        <v>89</v>
      </c>
      <c r="C22" s="274"/>
      <c r="D22" s="274"/>
      <c r="E22" s="274"/>
      <c r="F22" s="182"/>
      <c r="G22" s="183" t="s">
        <v>55</v>
      </c>
      <c r="H22" s="183" t="s">
        <v>56</v>
      </c>
      <c r="I22" s="184"/>
      <c r="J22" s="183" t="s">
        <v>57</v>
      </c>
      <c r="K22" s="183" t="s">
        <v>56</v>
      </c>
      <c r="L22" s="184"/>
      <c r="M22" s="183" t="s">
        <v>62</v>
      </c>
      <c r="N22" s="185">
        <f>F22*I22*L22</f>
        <v>0</v>
      </c>
      <c r="P22" s="182"/>
      <c r="Q22" s="183" t="s">
        <v>55</v>
      </c>
      <c r="R22" s="183" t="s">
        <v>56</v>
      </c>
      <c r="S22" s="184"/>
      <c r="T22" s="183" t="s">
        <v>57</v>
      </c>
      <c r="U22" s="183" t="s">
        <v>56</v>
      </c>
      <c r="V22" s="184"/>
      <c r="W22" s="183" t="s">
        <v>62</v>
      </c>
      <c r="X22" s="185">
        <f>P22*S22*V22</f>
        <v>0</v>
      </c>
      <c r="Z22" s="178"/>
    </row>
    <row r="23" spans="1:26" ht="31.5" x14ac:dyDescent="0.25">
      <c r="A23" s="181"/>
      <c r="B23" s="269" t="s">
        <v>90</v>
      </c>
      <c r="C23" s="270"/>
      <c r="D23" s="270"/>
      <c r="E23" s="270"/>
      <c r="F23" s="187"/>
      <c r="G23" s="188" t="s">
        <v>55</v>
      </c>
      <c r="H23" s="188" t="s">
        <v>56</v>
      </c>
      <c r="I23" s="189"/>
      <c r="J23" s="188" t="s">
        <v>57</v>
      </c>
      <c r="K23" s="188" t="s">
        <v>56</v>
      </c>
      <c r="L23" s="189"/>
      <c r="M23" s="188" t="s">
        <v>65</v>
      </c>
      <c r="N23" s="190">
        <f>F23*I23*L23</f>
        <v>0</v>
      </c>
      <c r="P23" s="187"/>
      <c r="Q23" s="188" t="s">
        <v>55</v>
      </c>
      <c r="R23" s="188" t="s">
        <v>56</v>
      </c>
      <c r="S23" s="189"/>
      <c r="T23" s="188" t="s">
        <v>57</v>
      </c>
      <c r="U23" s="188" t="s">
        <v>56</v>
      </c>
      <c r="V23" s="189"/>
      <c r="W23" s="188" t="s">
        <v>65</v>
      </c>
      <c r="X23" s="190">
        <f>P23*S23*V23</f>
        <v>0</v>
      </c>
      <c r="Z23" s="178"/>
    </row>
    <row r="24" spans="1:26" x14ac:dyDescent="0.25">
      <c r="B24" s="287" t="s">
        <v>70</v>
      </c>
      <c r="C24" s="288"/>
      <c r="D24" s="288"/>
      <c r="E24" s="289"/>
      <c r="F24" s="191"/>
      <c r="G24" s="191"/>
      <c r="H24" s="191"/>
      <c r="I24" s="191"/>
      <c r="J24" s="191"/>
      <c r="K24" s="191"/>
      <c r="L24" s="191"/>
      <c r="M24" s="191"/>
      <c r="N24" s="192"/>
      <c r="P24" s="191"/>
      <c r="Q24" s="191"/>
      <c r="R24" s="191"/>
      <c r="S24" s="191"/>
      <c r="T24" s="191"/>
      <c r="U24" s="191"/>
      <c r="V24" s="191"/>
      <c r="W24" s="191"/>
      <c r="X24" s="192"/>
      <c r="Z24" s="178"/>
    </row>
    <row r="25" spans="1:26" s="186" customFormat="1" ht="50.1" customHeight="1" x14ac:dyDescent="0.25">
      <c r="A25" s="171"/>
      <c r="B25" s="282" t="s">
        <v>71</v>
      </c>
      <c r="C25" s="283"/>
      <c r="D25" s="283"/>
      <c r="E25" s="283"/>
      <c r="F25" s="182"/>
      <c r="G25" s="183" t="s">
        <v>64</v>
      </c>
      <c r="H25" s="183" t="s">
        <v>56</v>
      </c>
      <c r="I25" s="184"/>
      <c r="J25" s="183" t="s">
        <v>57</v>
      </c>
      <c r="K25" s="183" t="s">
        <v>56</v>
      </c>
      <c r="L25" s="184"/>
      <c r="M25" s="183" t="s">
        <v>65</v>
      </c>
      <c r="N25" s="185">
        <f>F25*I25*L25</f>
        <v>0</v>
      </c>
      <c r="P25" s="182"/>
      <c r="Q25" s="183" t="s">
        <v>64</v>
      </c>
      <c r="R25" s="183" t="s">
        <v>56</v>
      </c>
      <c r="S25" s="184"/>
      <c r="T25" s="183" t="s">
        <v>57</v>
      </c>
      <c r="U25" s="183" t="s">
        <v>56</v>
      </c>
      <c r="V25" s="184"/>
      <c r="W25" s="183" t="s">
        <v>65</v>
      </c>
      <c r="X25" s="185">
        <f>P25*S25*V25</f>
        <v>0</v>
      </c>
      <c r="Z25" s="178"/>
    </row>
    <row r="26" spans="1:26" s="186" customFormat="1" ht="15.95" customHeight="1" thickBot="1" x14ac:dyDescent="0.3">
      <c r="A26" s="181"/>
      <c r="B26" s="269" t="s">
        <v>85</v>
      </c>
      <c r="C26" s="270"/>
      <c r="D26" s="270"/>
      <c r="E26" s="270"/>
      <c r="F26" s="187"/>
      <c r="G26" s="188"/>
      <c r="H26" s="188" t="s">
        <v>56</v>
      </c>
      <c r="I26" s="189"/>
      <c r="J26" s="188" t="s">
        <v>57</v>
      </c>
      <c r="K26" s="188"/>
      <c r="L26" s="188"/>
      <c r="M26" s="188"/>
      <c r="N26" s="190">
        <f>F26*I26</f>
        <v>0</v>
      </c>
      <c r="P26" s="187"/>
      <c r="Q26" s="188"/>
      <c r="R26" s="188" t="s">
        <v>56</v>
      </c>
      <c r="S26" s="189"/>
      <c r="T26" s="188" t="s">
        <v>57</v>
      </c>
      <c r="U26" s="188"/>
      <c r="V26" s="188"/>
      <c r="W26" s="188"/>
      <c r="X26" s="190">
        <f>P26*S26</f>
        <v>0</v>
      </c>
      <c r="Z26" s="178"/>
    </row>
    <row r="27" spans="1:26" x14ac:dyDescent="0.25">
      <c r="A27" s="181"/>
      <c r="B27" s="280" t="s">
        <v>66</v>
      </c>
      <c r="C27" s="281"/>
      <c r="D27" s="281"/>
      <c r="E27" s="281"/>
      <c r="F27" s="193"/>
      <c r="G27" s="194"/>
      <c r="H27" s="194"/>
      <c r="I27" s="194"/>
      <c r="J27" s="194"/>
      <c r="K27" s="194"/>
      <c r="L27" s="194"/>
      <c r="M27" s="194"/>
      <c r="N27" s="195">
        <f>SUM(N21:N26)</f>
        <v>0</v>
      </c>
      <c r="P27" s="193"/>
      <c r="Q27" s="194"/>
      <c r="R27" s="194"/>
      <c r="S27" s="194"/>
      <c r="T27" s="194"/>
      <c r="U27" s="194"/>
      <c r="V27" s="194"/>
      <c r="W27" s="194"/>
      <c r="X27" s="195">
        <f>SUM(X21:X26)</f>
        <v>0</v>
      </c>
      <c r="Z27" s="178"/>
    </row>
    <row r="28" spans="1:26" ht="15.95" customHeight="1" x14ac:dyDescent="0.25">
      <c r="A28" s="181"/>
      <c r="B28" s="282" t="s">
        <v>67</v>
      </c>
      <c r="C28" s="283"/>
      <c r="D28" s="283"/>
      <c r="E28" s="283"/>
      <c r="F28" s="196"/>
      <c r="G28" s="183"/>
      <c r="H28" s="183"/>
      <c r="I28" s="183"/>
      <c r="J28" s="183"/>
      <c r="K28" s="183"/>
      <c r="L28" s="183"/>
      <c r="M28" s="183"/>
      <c r="N28" s="185">
        <f>N27*(1+Rates!$F$8)</f>
        <v>0</v>
      </c>
      <c r="P28" s="196"/>
      <c r="Q28" s="183"/>
      <c r="R28" s="183"/>
      <c r="S28" s="183"/>
      <c r="T28" s="183"/>
      <c r="U28" s="183"/>
      <c r="V28" s="183"/>
      <c r="W28" s="183"/>
      <c r="X28" s="185">
        <f>X27*(1+Rates!$F$8)</f>
        <v>0</v>
      </c>
      <c r="Z28" s="178"/>
    </row>
    <row r="29" spans="1:26" ht="15.95" customHeight="1" thickBot="1" x14ac:dyDescent="0.3">
      <c r="A29" s="181"/>
      <c r="B29" s="278" t="s">
        <v>68</v>
      </c>
      <c r="C29" s="279"/>
      <c r="D29" s="279"/>
      <c r="E29" s="279"/>
      <c r="F29" s="197"/>
      <c r="G29" s="188"/>
      <c r="H29" s="188"/>
      <c r="I29" s="188"/>
      <c r="J29" s="188"/>
      <c r="K29" s="188"/>
      <c r="L29" s="188"/>
      <c r="M29" s="188"/>
      <c r="N29" s="190">
        <f>N28*(1+Rates!$F$9)</f>
        <v>0</v>
      </c>
      <c r="P29" s="197"/>
      <c r="Q29" s="188"/>
      <c r="R29" s="188"/>
      <c r="S29" s="188"/>
      <c r="T29" s="188"/>
      <c r="U29" s="188"/>
      <c r="V29" s="188"/>
      <c r="W29" s="188"/>
      <c r="X29" s="190">
        <f>X28*(1+Rates!$F$9)</f>
        <v>0</v>
      </c>
      <c r="Z29" s="207"/>
    </row>
    <row r="30" spans="1:26" s="186" customFormat="1" x14ac:dyDescent="0.25">
      <c r="A30" s="163"/>
      <c r="B30" s="290"/>
      <c r="C30" s="291"/>
      <c r="D30" s="291"/>
      <c r="E30" s="292"/>
      <c r="F30" s="277" t="s">
        <v>93</v>
      </c>
      <c r="G30" s="277"/>
      <c r="H30" s="277"/>
      <c r="I30" s="277"/>
      <c r="J30" s="277"/>
      <c r="K30" s="277"/>
      <c r="L30" s="277"/>
      <c r="M30" s="277"/>
      <c r="N30" s="198">
        <f>N29</f>
        <v>0</v>
      </c>
      <c r="P30" s="277" t="s">
        <v>93</v>
      </c>
      <c r="Q30" s="277"/>
      <c r="R30" s="277"/>
      <c r="S30" s="277"/>
      <c r="T30" s="277"/>
      <c r="U30" s="277"/>
      <c r="V30" s="277"/>
      <c r="W30" s="277"/>
      <c r="X30" s="198">
        <f>X29</f>
        <v>0</v>
      </c>
      <c r="Z30" s="178"/>
    </row>
    <row r="31" spans="1:26" s="186" customFormat="1" ht="16.5" thickBot="1" x14ac:dyDescent="0.3">
      <c r="A31" s="163"/>
      <c r="B31" s="284" t="s">
        <v>36</v>
      </c>
      <c r="C31" s="285"/>
      <c r="D31" s="285"/>
      <c r="E31" s="285"/>
      <c r="F31" s="286"/>
      <c r="G31" s="286"/>
      <c r="H31" s="286"/>
      <c r="I31" s="286"/>
      <c r="J31" s="286"/>
      <c r="K31" s="286"/>
      <c r="L31" s="286"/>
      <c r="M31" s="199">
        <v>2</v>
      </c>
      <c r="N31" s="200">
        <f>N30*M31</f>
        <v>0</v>
      </c>
      <c r="P31" s="286"/>
      <c r="Q31" s="286"/>
      <c r="R31" s="286"/>
      <c r="S31" s="286"/>
      <c r="T31" s="286"/>
      <c r="U31" s="286"/>
      <c r="V31" s="286"/>
      <c r="W31" s="199">
        <v>1</v>
      </c>
      <c r="X31" s="200">
        <f>X30*W31</f>
        <v>0</v>
      </c>
      <c r="Z31" s="201">
        <f>N31+X31</f>
        <v>0</v>
      </c>
    </row>
    <row r="32" spans="1:26" s="186" customFormat="1" ht="16.5" thickBot="1" x14ac:dyDescent="0.3">
      <c r="A32" s="163"/>
      <c r="B32" s="163"/>
      <c r="C32" s="163"/>
      <c r="D32" s="163"/>
      <c r="E32" s="163"/>
      <c r="F32" s="163"/>
      <c r="G32" s="170"/>
      <c r="H32" s="170"/>
      <c r="I32" s="170"/>
      <c r="J32" s="208"/>
      <c r="K32" s="170"/>
      <c r="L32" s="170"/>
      <c r="M32" s="170"/>
      <c r="N32" s="205"/>
      <c r="P32" s="163"/>
      <c r="Q32" s="170"/>
      <c r="R32" s="170"/>
      <c r="S32" s="170"/>
      <c r="T32" s="208"/>
      <c r="U32" s="170"/>
      <c r="V32" s="170"/>
      <c r="W32" s="170"/>
      <c r="X32" s="205"/>
      <c r="Z32" s="178"/>
    </row>
    <row r="33" spans="1:26" ht="16.5" thickBot="1" x14ac:dyDescent="0.3">
      <c r="A33" s="186"/>
      <c r="B33" s="275"/>
      <c r="C33" s="276"/>
      <c r="D33" s="276"/>
      <c r="E33" s="276"/>
      <c r="F33" s="276" t="s">
        <v>51</v>
      </c>
      <c r="G33" s="276"/>
      <c r="H33" s="176"/>
      <c r="I33" s="276" t="s">
        <v>51</v>
      </c>
      <c r="J33" s="276"/>
      <c r="K33" s="176"/>
      <c r="L33" s="276" t="s">
        <v>51</v>
      </c>
      <c r="M33" s="276"/>
      <c r="N33" s="177"/>
      <c r="P33" s="276" t="s">
        <v>51</v>
      </c>
      <c r="Q33" s="276"/>
      <c r="R33" s="176"/>
      <c r="S33" s="276" t="s">
        <v>51</v>
      </c>
      <c r="T33" s="276"/>
      <c r="U33" s="176"/>
      <c r="V33" s="276" t="s">
        <v>51</v>
      </c>
      <c r="W33" s="276"/>
      <c r="X33" s="177"/>
      <c r="Z33" s="178"/>
    </row>
    <row r="34" spans="1:26" x14ac:dyDescent="0.25">
      <c r="A34" s="171">
        <v>3</v>
      </c>
      <c r="B34" s="271" t="s">
        <v>94</v>
      </c>
      <c r="C34" s="272"/>
      <c r="D34" s="272"/>
      <c r="E34" s="272"/>
      <c r="F34" s="206"/>
      <c r="G34" s="206"/>
      <c r="H34" s="179"/>
      <c r="I34" s="179"/>
      <c r="J34" s="179"/>
      <c r="K34" s="179"/>
      <c r="L34" s="179"/>
      <c r="M34" s="179"/>
      <c r="N34" s="180"/>
      <c r="P34" s="206"/>
      <c r="Q34" s="206"/>
      <c r="R34" s="179"/>
      <c r="S34" s="179"/>
      <c r="T34" s="179"/>
      <c r="U34" s="179"/>
      <c r="V34" s="179"/>
      <c r="W34" s="179"/>
      <c r="X34" s="180"/>
      <c r="Z34" s="178"/>
    </row>
    <row r="35" spans="1:26" ht="31.5" x14ac:dyDescent="0.25">
      <c r="A35" s="181"/>
      <c r="B35" s="273" t="s">
        <v>88</v>
      </c>
      <c r="C35" s="274"/>
      <c r="D35" s="274"/>
      <c r="E35" s="274"/>
      <c r="F35" s="182"/>
      <c r="G35" s="183" t="s">
        <v>55</v>
      </c>
      <c r="H35" s="183" t="s">
        <v>56</v>
      </c>
      <c r="I35" s="184"/>
      <c r="J35" s="183" t="s">
        <v>57</v>
      </c>
      <c r="K35" s="183"/>
      <c r="L35" s="183"/>
      <c r="M35" s="183"/>
      <c r="N35" s="185">
        <f>F35*I35</f>
        <v>0</v>
      </c>
      <c r="P35" s="182"/>
      <c r="Q35" s="183" t="s">
        <v>55</v>
      </c>
      <c r="R35" s="183" t="s">
        <v>56</v>
      </c>
      <c r="S35" s="184"/>
      <c r="T35" s="183" t="s">
        <v>57</v>
      </c>
      <c r="U35" s="183"/>
      <c r="V35" s="183"/>
      <c r="W35" s="183"/>
      <c r="X35" s="185">
        <f>P35*S35</f>
        <v>0</v>
      </c>
      <c r="Z35" s="178"/>
    </row>
    <row r="36" spans="1:26" ht="31.5" x14ac:dyDescent="0.25">
      <c r="A36" s="181"/>
      <c r="B36" s="273" t="s">
        <v>89</v>
      </c>
      <c r="C36" s="274"/>
      <c r="D36" s="274"/>
      <c r="E36" s="274"/>
      <c r="F36" s="182"/>
      <c r="G36" s="209" t="s">
        <v>55</v>
      </c>
      <c r="H36" s="183" t="s">
        <v>56</v>
      </c>
      <c r="I36" s="184"/>
      <c r="J36" s="183" t="s">
        <v>57</v>
      </c>
      <c r="K36" s="183" t="s">
        <v>56</v>
      </c>
      <c r="L36" s="184"/>
      <c r="M36" s="183" t="s">
        <v>62</v>
      </c>
      <c r="N36" s="185">
        <f>F36*I36*L36</f>
        <v>0</v>
      </c>
      <c r="P36" s="182"/>
      <c r="Q36" s="209" t="s">
        <v>55</v>
      </c>
      <c r="R36" s="183" t="s">
        <v>56</v>
      </c>
      <c r="S36" s="184"/>
      <c r="T36" s="183" t="s">
        <v>57</v>
      </c>
      <c r="U36" s="183" t="s">
        <v>56</v>
      </c>
      <c r="V36" s="184"/>
      <c r="W36" s="183" t="s">
        <v>62</v>
      </c>
      <c r="X36" s="185">
        <f>P36*S36*V36</f>
        <v>0</v>
      </c>
      <c r="Z36" s="178"/>
    </row>
    <row r="37" spans="1:26" s="186" customFormat="1" ht="31.5" x14ac:dyDescent="0.25">
      <c r="A37" s="181"/>
      <c r="B37" s="269" t="s">
        <v>90</v>
      </c>
      <c r="C37" s="270"/>
      <c r="D37" s="270"/>
      <c r="E37" s="270"/>
      <c r="F37" s="187"/>
      <c r="G37" s="188" t="s">
        <v>55</v>
      </c>
      <c r="H37" s="188" t="s">
        <v>56</v>
      </c>
      <c r="I37" s="189"/>
      <c r="J37" s="188" t="s">
        <v>57</v>
      </c>
      <c r="K37" s="188" t="s">
        <v>56</v>
      </c>
      <c r="L37" s="189"/>
      <c r="M37" s="188" t="s">
        <v>65</v>
      </c>
      <c r="N37" s="190">
        <f>F37*I37*L37</f>
        <v>0</v>
      </c>
      <c r="P37" s="187"/>
      <c r="Q37" s="188" t="s">
        <v>55</v>
      </c>
      <c r="R37" s="188" t="s">
        <v>56</v>
      </c>
      <c r="S37" s="189"/>
      <c r="T37" s="188" t="s">
        <v>57</v>
      </c>
      <c r="U37" s="188" t="s">
        <v>56</v>
      </c>
      <c r="V37" s="189"/>
      <c r="W37" s="188" t="s">
        <v>65</v>
      </c>
      <c r="X37" s="190">
        <f>P37*S37*V37</f>
        <v>0</v>
      </c>
      <c r="Z37" s="178"/>
    </row>
    <row r="38" spans="1:26" x14ac:dyDescent="0.25">
      <c r="B38" s="287" t="s">
        <v>70</v>
      </c>
      <c r="C38" s="288"/>
      <c r="D38" s="288"/>
      <c r="E38" s="289"/>
      <c r="F38" s="191"/>
      <c r="G38" s="191"/>
      <c r="H38" s="191"/>
      <c r="I38" s="191"/>
      <c r="J38" s="191"/>
      <c r="K38" s="191"/>
      <c r="L38" s="191"/>
      <c r="M38" s="191"/>
      <c r="N38" s="192"/>
      <c r="P38" s="191"/>
      <c r="Q38" s="191"/>
      <c r="R38" s="191"/>
      <c r="S38" s="191"/>
      <c r="T38" s="191"/>
      <c r="U38" s="191"/>
      <c r="V38" s="191"/>
      <c r="W38" s="191"/>
      <c r="X38" s="192"/>
      <c r="Z38" s="178"/>
    </row>
    <row r="39" spans="1:26" s="186" customFormat="1" ht="62.1" customHeight="1" x14ac:dyDescent="0.25">
      <c r="A39" s="171"/>
      <c r="B39" s="282" t="s">
        <v>71</v>
      </c>
      <c r="C39" s="283"/>
      <c r="D39" s="283"/>
      <c r="E39" s="283"/>
      <c r="F39" s="182"/>
      <c r="G39" s="183" t="s">
        <v>64</v>
      </c>
      <c r="H39" s="183" t="s">
        <v>56</v>
      </c>
      <c r="I39" s="184"/>
      <c r="J39" s="183" t="s">
        <v>59</v>
      </c>
      <c r="K39" s="183" t="s">
        <v>56</v>
      </c>
      <c r="L39" s="184"/>
      <c r="M39" s="183" t="s">
        <v>65</v>
      </c>
      <c r="N39" s="185">
        <f>F39*I39*L39</f>
        <v>0</v>
      </c>
      <c r="P39" s="182"/>
      <c r="Q39" s="183" t="s">
        <v>64</v>
      </c>
      <c r="R39" s="183" t="s">
        <v>56</v>
      </c>
      <c r="S39" s="184"/>
      <c r="T39" s="183" t="s">
        <v>59</v>
      </c>
      <c r="U39" s="183" t="s">
        <v>56</v>
      </c>
      <c r="V39" s="184"/>
      <c r="W39" s="183" t="s">
        <v>65</v>
      </c>
      <c r="X39" s="185">
        <f>P39*S39*V39</f>
        <v>0</v>
      </c>
      <c r="Z39" s="178"/>
    </row>
    <row r="40" spans="1:26" s="186" customFormat="1" ht="15.95" customHeight="1" thickBot="1" x14ac:dyDescent="0.3">
      <c r="A40" s="181"/>
      <c r="B40" s="269" t="s">
        <v>85</v>
      </c>
      <c r="C40" s="270"/>
      <c r="D40" s="270"/>
      <c r="E40" s="270"/>
      <c r="F40" s="187"/>
      <c r="G40" s="188"/>
      <c r="H40" s="188" t="s">
        <v>56</v>
      </c>
      <c r="I40" s="189"/>
      <c r="J40" s="188" t="s">
        <v>57</v>
      </c>
      <c r="K40" s="188"/>
      <c r="L40" s="188"/>
      <c r="M40" s="188"/>
      <c r="N40" s="190">
        <f>F40*I40</f>
        <v>0</v>
      </c>
      <c r="P40" s="187"/>
      <c r="Q40" s="188"/>
      <c r="R40" s="188" t="s">
        <v>56</v>
      </c>
      <c r="S40" s="189"/>
      <c r="T40" s="188" t="s">
        <v>57</v>
      </c>
      <c r="U40" s="188"/>
      <c r="V40" s="188"/>
      <c r="W40" s="188"/>
      <c r="X40" s="190">
        <f>P40*S40</f>
        <v>0</v>
      </c>
      <c r="Z40" s="178"/>
    </row>
    <row r="41" spans="1:26" x14ac:dyDescent="0.25">
      <c r="A41" s="181"/>
      <c r="B41" s="280" t="s">
        <v>66</v>
      </c>
      <c r="C41" s="281"/>
      <c r="D41" s="281"/>
      <c r="E41" s="281"/>
      <c r="F41" s="193"/>
      <c r="G41" s="194"/>
      <c r="H41" s="194"/>
      <c r="I41" s="194"/>
      <c r="J41" s="194"/>
      <c r="K41" s="194"/>
      <c r="L41" s="194"/>
      <c r="M41" s="194"/>
      <c r="N41" s="195">
        <f>SUM(N35:N40)</f>
        <v>0</v>
      </c>
      <c r="P41" s="193"/>
      <c r="Q41" s="194"/>
      <c r="R41" s="194"/>
      <c r="S41" s="194"/>
      <c r="T41" s="194"/>
      <c r="U41" s="194"/>
      <c r="V41" s="194"/>
      <c r="W41" s="194"/>
      <c r="X41" s="195">
        <f>SUM(X35:X40)</f>
        <v>0</v>
      </c>
      <c r="Z41" s="178"/>
    </row>
    <row r="42" spans="1:26" ht="15.95" customHeight="1" x14ac:dyDescent="0.25">
      <c r="A42" s="181"/>
      <c r="B42" s="282" t="s">
        <v>67</v>
      </c>
      <c r="C42" s="283"/>
      <c r="D42" s="283"/>
      <c r="E42" s="283"/>
      <c r="F42" s="196"/>
      <c r="G42" s="183"/>
      <c r="H42" s="183"/>
      <c r="I42" s="183"/>
      <c r="J42" s="183"/>
      <c r="K42" s="183"/>
      <c r="L42" s="183"/>
      <c r="M42" s="183"/>
      <c r="N42" s="185">
        <f>N41*(1+Rates!$F$8)</f>
        <v>0</v>
      </c>
      <c r="P42" s="196"/>
      <c r="Q42" s="183"/>
      <c r="R42" s="183"/>
      <c r="S42" s="183"/>
      <c r="T42" s="183"/>
      <c r="U42" s="183"/>
      <c r="V42" s="183"/>
      <c r="W42" s="183"/>
      <c r="X42" s="185">
        <f>X41*(1+Rates!$F$8)</f>
        <v>0</v>
      </c>
      <c r="Z42" s="178"/>
    </row>
    <row r="43" spans="1:26" ht="15.95" customHeight="1" thickBot="1" x14ac:dyDescent="0.3">
      <c r="A43" s="181"/>
      <c r="B43" s="278" t="s">
        <v>68</v>
      </c>
      <c r="C43" s="279"/>
      <c r="D43" s="279"/>
      <c r="E43" s="279"/>
      <c r="F43" s="197"/>
      <c r="G43" s="188"/>
      <c r="H43" s="188"/>
      <c r="I43" s="188"/>
      <c r="J43" s="188"/>
      <c r="K43" s="188"/>
      <c r="L43" s="188"/>
      <c r="M43" s="188"/>
      <c r="N43" s="190">
        <f>N42*(1+Rates!$F$9)</f>
        <v>0</v>
      </c>
      <c r="P43" s="197"/>
      <c r="Q43" s="188"/>
      <c r="R43" s="188"/>
      <c r="S43" s="188"/>
      <c r="T43" s="188"/>
      <c r="U43" s="188"/>
      <c r="V43" s="188"/>
      <c r="W43" s="188"/>
      <c r="X43" s="190">
        <f>X42*(1+Rates!$F$9)</f>
        <v>0</v>
      </c>
      <c r="Z43" s="178"/>
    </row>
    <row r="44" spans="1:26" s="186" customFormat="1" x14ac:dyDescent="0.25">
      <c r="A44" s="163"/>
      <c r="B44" s="290"/>
      <c r="C44" s="291"/>
      <c r="D44" s="291"/>
      <c r="E44" s="292"/>
      <c r="F44" s="277" t="s">
        <v>95</v>
      </c>
      <c r="G44" s="277"/>
      <c r="H44" s="277"/>
      <c r="I44" s="277"/>
      <c r="J44" s="277"/>
      <c r="K44" s="277"/>
      <c r="L44" s="277"/>
      <c r="M44" s="277"/>
      <c r="N44" s="198">
        <f>N43</f>
        <v>0</v>
      </c>
      <c r="P44" s="277" t="s">
        <v>95</v>
      </c>
      <c r="Q44" s="277"/>
      <c r="R44" s="277"/>
      <c r="S44" s="277"/>
      <c r="T44" s="277"/>
      <c r="U44" s="277"/>
      <c r="V44" s="277"/>
      <c r="W44" s="277"/>
      <c r="X44" s="198">
        <f>X43</f>
        <v>0</v>
      </c>
      <c r="Z44" s="178"/>
    </row>
    <row r="45" spans="1:26" s="186" customFormat="1" ht="16.5" thickBot="1" x14ac:dyDescent="0.3">
      <c r="A45" s="163"/>
      <c r="B45" s="284" t="s">
        <v>36</v>
      </c>
      <c r="C45" s="285"/>
      <c r="D45" s="285"/>
      <c r="E45" s="285"/>
      <c r="F45" s="286"/>
      <c r="G45" s="286"/>
      <c r="H45" s="286"/>
      <c r="I45" s="286"/>
      <c r="J45" s="286"/>
      <c r="K45" s="286"/>
      <c r="L45" s="286"/>
      <c r="M45" s="199">
        <v>3</v>
      </c>
      <c r="N45" s="200">
        <f>N44*M45</f>
        <v>0</v>
      </c>
      <c r="P45" s="286"/>
      <c r="Q45" s="286"/>
      <c r="R45" s="286"/>
      <c r="S45" s="286"/>
      <c r="T45" s="286"/>
      <c r="U45" s="286"/>
      <c r="V45" s="286"/>
      <c r="W45" s="199">
        <v>1</v>
      </c>
      <c r="X45" s="200">
        <f>X44*W45</f>
        <v>0</v>
      </c>
      <c r="Z45" s="201">
        <f>N45+X45</f>
        <v>0</v>
      </c>
    </row>
    <row r="46" spans="1:26" ht="16.5" thickBot="1" x14ac:dyDescent="0.3">
      <c r="Z46" s="178"/>
    </row>
    <row r="47" spans="1:26" ht="16.5" thickBot="1" x14ac:dyDescent="0.3">
      <c r="A47" s="186"/>
      <c r="B47" s="275"/>
      <c r="C47" s="276"/>
      <c r="D47" s="276"/>
      <c r="E47" s="276"/>
      <c r="F47" s="276" t="s">
        <v>51</v>
      </c>
      <c r="G47" s="276"/>
      <c r="H47" s="176"/>
      <c r="I47" s="276" t="s">
        <v>51</v>
      </c>
      <c r="J47" s="276"/>
      <c r="K47" s="176"/>
      <c r="L47" s="276" t="s">
        <v>51</v>
      </c>
      <c r="M47" s="276"/>
      <c r="N47" s="177"/>
      <c r="P47" s="276" t="s">
        <v>51</v>
      </c>
      <c r="Q47" s="276"/>
      <c r="R47" s="176"/>
      <c r="S47" s="276" t="s">
        <v>51</v>
      </c>
      <c r="T47" s="276"/>
      <c r="U47" s="176"/>
      <c r="V47" s="276" t="s">
        <v>51</v>
      </c>
      <c r="W47" s="276"/>
      <c r="X47" s="177"/>
      <c r="Z47" s="178"/>
    </row>
    <row r="48" spans="1:26" ht="46.5" customHeight="1" x14ac:dyDescent="0.25">
      <c r="A48" s="171">
        <v>4</v>
      </c>
      <c r="B48" s="271" t="s">
        <v>96</v>
      </c>
      <c r="C48" s="272"/>
      <c r="D48" s="272"/>
      <c r="E48" s="272"/>
      <c r="F48" s="206"/>
      <c r="G48" s="206"/>
      <c r="H48" s="179"/>
      <c r="I48" s="179"/>
      <c r="J48" s="179"/>
      <c r="K48" s="179"/>
      <c r="L48" s="179"/>
      <c r="M48" s="179"/>
      <c r="N48" s="180"/>
      <c r="P48" s="206"/>
      <c r="Q48" s="206"/>
      <c r="R48" s="179"/>
      <c r="S48" s="179"/>
      <c r="T48" s="179"/>
      <c r="U48" s="179"/>
      <c r="V48" s="179"/>
      <c r="W48" s="179"/>
      <c r="X48" s="180"/>
      <c r="Z48" s="178"/>
    </row>
    <row r="49" spans="1:26" ht="31.5" x14ac:dyDescent="0.25">
      <c r="A49" s="181"/>
      <c r="B49" s="273" t="s">
        <v>88</v>
      </c>
      <c r="C49" s="274"/>
      <c r="D49" s="274"/>
      <c r="E49" s="274"/>
      <c r="F49" s="182"/>
      <c r="G49" s="183" t="s">
        <v>55</v>
      </c>
      <c r="H49" s="183" t="s">
        <v>56</v>
      </c>
      <c r="I49" s="184"/>
      <c r="J49" s="183" t="s">
        <v>57</v>
      </c>
      <c r="K49" s="183"/>
      <c r="L49" s="183"/>
      <c r="M49" s="183"/>
      <c r="N49" s="185">
        <f>F49*I49</f>
        <v>0</v>
      </c>
      <c r="P49" s="182"/>
      <c r="Q49" s="183" t="s">
        <v>55</v>
      </c>
      <c r="R49" s="183" t="s">
        <v>56</v>
      </c>
      <c r="S49" s="184"/>
      <c r="T49" s="183" t="s">
        <v>57</v>
      </c>
      <c r="U49" s="183"/>
      <c r="V49" s="183"/>
      <c r="W49" s="183"/>
      <c r="X49" s="185">
        <f>P49*S49</f>
        <v>0</v>
      </c>
      <c r="Z49" s="178"/>
    </row>
    <row r="50" spans="1:26" ht="31.5" x14ac:dyDescent="0.25">
      <c r="A50" s="181"/>
      <c r="B50" s="273" t="s">
        <v>89</v>
      </c>
      <c r="C50" s="274"/>
      <c r="D50" s="274"/>
      <c r="E50" s="274"/>
      <c r="F50" s="182"/>
      <c r="G50" s="183" t="s">
        <v>55</v>
      </c>
      <c r="H50" s="183" t="s">
        <v>56</v>
      </c>
      <c r="I50" s="184"/>
      <c r="J50" s="183" t="s">
        <v>57</v>
      </c>
      <c r="K50" s="183" t="s">
        <v>56</v>
      </c>
      <c r="L50" s="184"/>
      <c r="M50" s="183" t="s">
        <v>62</v>
      </c>
      <c r="N50" s="185">
        <f>F50*I50*L50</f>
        <v>0</v>
      </c>
      <c r="P50" s="182"/>
      <c r="Q50" s="183" t="s">
        <v>55</v>
      </c>
      <c r="R50" s="183" t="s">
        <v>56</v>
      </c>
      <c r="S50" s="184"/>
      <c r="T50" s="183" t="s">
        <v>57</v>
      </c>
      <c r="U50" s="183" t="s">
        <v>56</v>
      </c>
      <c r="V50" s="184"/>
      <c r="W50" s="183" t="s">
        <v>62</v>
      </c>
      <c r="X50" s="185">
        <f>P50*S50*V50</f>
        <v>0</v>
      </c>
      <c r="Z50" s="178"/>
    </row>
    <row r="51" spans="1:26" ht="31.5" x14ac:dyDescent="0.25">
      <c r="A51" s="181"/>
      <c r="B51" s="269" t="s">
        <v>90</v>
      </c>
      <c r="C51" s="270"/>
      <c r="D51" s="270"/>
      <c r="E51" s="270"/>
      <c r="F51" s="187"/>
      <c r="G51" s="188" t="s">
        <v>55</v>
      </c>
      <c r="H51" s="188" t="s">
        <v>56</v>
      </c>
      <c r="I51" s="189"/>
      <c r="J51" s="188" t="s">
        <v>57</v>
      </c>
      <c r="K51" s="188" t="s">
        <v>56</v>
      </c>
      <c r="L51" s="189"/>
      <c r="M51" s="188" t="s">
        <v>65</v>
      </c>
      <c r="N51" s="190">
        <f>F51*I51*L51</f>
        <v>0</v>
      </c>
      <c r="P51" s="187"/>
      <c r="Q51" s="188" t="s">
        <v>55</v>
      </c>
      <c r="R51" s="188" t="s">
        <v>56</v>
      </c>
      <c r="S51" s="189"/>
      <c r="T51" s="188" t="s">
        <v>57</v>
      </c>
      <c r="U51" s="188" t="s">
        <v>56</v>
      </c>
      <c r="V51" s="189"/>
      <c r="W51" s="188" t="s">
        <v>65</v>
      </c>
      <c r="X51" s="190">
        <f>P51*S51*V51</f>
        <v>0</v>
      </c>
      <c r="Z51" s="178"/>
    </row>
    <row r="52" spans="1:26" x14ac:dyDescent="0.25">
      <c r="B52" s="287" t="s">
        <v>70</v>
      </c>
      <c r="C52" s="288"/>
      <c r="D52" s="288"/>
      <c r="E52" s="289"/>
      <c r="F52" s="191"/>
      <c r="G52" s="191"/>
      <c r="H52" s="191"/>
      <c r="I52" s="191"/>
      <c r="J52" s="191"/>
      <c r="K52" s="191"/>
      <c r="L52" s="191"/>
      <c r="M52" s="191"/>
      <c r="N52" s="192"/>
      <c r="P52" s="191"/>
      <c r="Q52" s="191"/>
      <c r="R52" s="191"/>
      <c r="S52" s="191"/>
      <c r="T52" s="191"/>
      <c r="U52" s="191"/>
      <c r="V52" s="191"/>
      <c r="W52" s="191"/>
      <c r="X52" s="192"/>
      <c r="Z52" s="178"/>
    </row>
    <row r="53" spans="1:26" ht="53.1" customHeight="1" x14ac:dyDescent="0.25">
      <c r="A53" s="171"/>
      <c r="B53" s="282" t="s">
        <v>71</v>
      </c>
      <c r="C53" s="283"/>
      <c r="D53" s="283"/>
      <c r="E53" s="283"/>
      <c r="F53" s="182"/>
      <c r="G53" s="183" t="s">
        <v>64</v>
      </c>
      <c r="H53" s="183" t="s">
        <v>56</v>
      </c>
      <c r="I53" s="184"/>
      <c r="J53" s="183" t="s">
        <v>57</v>
      </c>
      <c r="K53" s="183" t="s">
        <v>56</v>
      </c>
      <c r="L53" s="184"/>
      <c r="M53" s="183" t="s">
        <v>65</v>
      </c>
      <c r="N53" s="185">
        <f>F53*I53*L53</f>
        <v>0</v>
      </c>
      <c r="P53" s="182"/>
      <c r="Q53" s="183" t="s">
        <v>64</v>
      </c>
      <c r="R53" s="183" t="s">
        <v>56</v>
      </c>
      <c r="S53" s="184"/>
      <c r="T53" s="183" t="s">
        <v>57</v>
      </c>
      <c r="U53" s="183" t="s">
        <v>56</v>
      </c>
      <c r="V53" s="184"/>
      <c r="W53" s="183" t="s">
        <v>65</v>
      </c>
      <c r="X53" s="185">
        <f>P53*S53*V53</f>
        <v>0</v>
      </c>
      <c r="Z53" s="178"/>
    </row>
    <row r="54" spans="1:26" ht="15.6" customHeight="1" x14ac:dyDescent="0.25">
      <c r="A54" s="181"/>
      <c r="B54" s="273" t="s">
        <v>85</v>
      </c>
      <c r="C54" s="274"/>
      <c r="D54" s="274"/>
      <c r="E54" s="274"/>
      <c r="F54" s="182"/>
      <c r="G54" s="183"/>
      <c r="H54" s="183" t="s">
        <v>56</v>
      </c>
      <c r="I54" s="184"/>
      <c r="J54" s="183" t="s">
        <v>57</v>
      </c>
      <c r="K54" s="183"/>
      <c r="L54" s="183"/>
      <c r="M54" s="183"/>
      <c r="N54" s="185">
        <f>PRODUCT(F54,I54)</f>
        <v>0</v>
      </c>
      <c r="P54" s="182"/>
      <c r="Q54" s="183"/>
      <c r="R54" s="183" t="s">
        <v>56</v>
      </c>
      <c r="S54" s="184"/>
      <c r="T54" s="183" t="s">
        <v>57</v>
      </c>
      <c r="U54" s="183"/>
      <c r="V54" s="183"/>
      <c r="W54" s="183"/>
      <c r="X54" s="185">
        <f>PRODUCT(P54,S54)</f>
        <v>0</v>
      </c>
      <c r="Z54" s="178"/>
    </row>
    <row r="55" spans="1:26" ht="31.5" x14ac:dyDescent="0.25">
      <c r="A55" s="181"/>
      <c r="B55" s="269" t="s">
        <v>97</v>
      </c>
      <c r="C55" s="270"/>
      <c r="D55" s="270"/>
      <c r="E55" s="270"/>
      <c r="F55" s="187"/>
      <c r="G55" s="188" t="s">
        <v>55</v>
      </c>
      <c r="H55" s="188" t="s">
        <v>56</v>
      </c>
      <c r="I55" s="189"/>
      <c r="J55" s="188" t="s">
        <v>57</v>
      </c>
      <c r="K55" s="188"/>
      <c r="L55" s="188"/>
      <c r="M55" s="188"/>
      <c r="N55" s="190">
        <f>PRODUCT(F55,I55)</f>
        <v>0</v>
      </c>
      <c r="P55" s="187"/>
      <c r="Q55" s="188" t="s">
        <v>55</v>
      </c>
      <c r="R55" s="188" t="s">
        <v>56</v>
      </c>
      <c r="S55" s="189"/>
      <c r="T55" s="188" t="s">
        <v>57</v>
      </c>
      <c r="U55" s="188"/>
      <c r="V55" s="188"/>
      <c r="W55" s="188"/>
      <c r="X55" s="190">
        <f>PRODUCT(P55,S55)</f>
        <v>0</v>
      </c>
      <c r="Z55" s="178"/>
    </row>
    <row r="56" spans="1:26" x14ac:dyDescent="0.25">
      <c r="A56" s="181"/>
      <c r="B56" s="280" t="s">
        <v>66</v>
      </c>
      <c r="C56" s="281"/>
      <c r="D56" s="281"/>
      <c r="E56" s="281"/>
      <c r="F56" s="193"/>
      <c r="G56" s="194"/>
      <c r="H56" s="194"/>
      <c r="I56" s="194"/>
      <c r="J56" s="194"/>
      <c r="K56" s="194"/>
      <c r="L56" s="194"/>
      <c r="M56" s="194"/>
      <c r="N56" s="195">
        <f>SUM(N49:N55)</f>
        <v>0</v>
      </c>
      <c r="P56" s="193"/>
      <c r="Q56" s="194"/>
      <c r="R56" s="194"/>
      <c r="S56" s="194"/>
      <c r="T56" s="194"/>
      <c r="U56" s="194"/>
      <c r="V56" s="194"/>
      <c r="W56" s="194"/>
      <c r="X56" s="195">
        <f>SUM(X49:X55)</f>
        <v>0</v>
      </c>
      <c r="Z56" s="178"/>
    </row>
    <row r="57" spans="1:26" ht="15.95" customHeight="1" x14ac:dyDescent="0.25">
      <c r="A57" s="181"/>
      <c r="B57" s="282" t="s">
        <v>67</v>
      </c>
      <c r="C57" s="283"/>
      <c r="D57" s="283"/>
      <c r="E57" s="283"/>
      <c r="F57" s="196"/>
      <c r="G57" s="183"/>
      <c r="H57" s="183"/>
      <c r="I57" s="183"/>
      <c r="J57" s="183"/>
      <c r="K57" s="183"/>
      <c r="L57" s="183"/>
      <c r="M57" s="183"/>
      <c r="N57" s="185">
        <f>N56*(1+Rates!$F$8)</f>
        <v>0</v>
      </c>
      <c r="P57" s="196"/>
      <c r="Q57" s="183"/>
      <c r="R57" s="183"/>
      <c r="S57" s="183"/>
      <c r="T57" s="183"/>
      <c r="U57" s="183"/>
      <c r="V57" s="183"/>
      <c r="W57" s="183"/>
      <c r="X57" s="185">
        <f>X56*(1+Rates!$F$8)</f>
        <v>0</v>
      </c>
      <c r="Z57" s="178"/>
    </row>
    <row r="58" spans="1:26" ht="15.95" customHeight="1" thickBot="1" x14ac:dyDescent="0.3">
      <c r="A58" s="181"/>
      <c r="B58" s="278" t="s">
        <v>68</v>
      </c>
      <c r="C58" s="279"/>
      <c r="D58" s="279"/>
      <c r="E58" s="279"/>
      <c r="F58" s="197"/>
      <c r="G58" s="188"/>
      <c r="H58" s="188"/>
      <c r="I58" s="188"/>
      <c r="J58" s="188"/>
      <c r="K58" s="188"/>
      <c r="L58" s="188"/>
      <c r="M58" s="188"/>
      <c r="N58" s="190">
        <f>N57*(1+Rates!$F$9)</f>
        <v>0</v>
      </c>
      <c r="P58" s="197"/>
      <c r="Q58" s="188"/>
      <c r="R58" s="188"/>
      <c r="S58" s="188"/>
      <c r="T58" s="188"/>
      <c r="U58" s="188"/>
      <c r="V58" s="188"/>
      <c r="W58" s="188"/>
      <c r="X58" s="190">
        <f>X57*(1+Rates!$F$9)</f>
        <v>0</v>
      </c>
      <c r="Z58" s="178"/>
    </row>
    <row r="59" spans="1:26" x14ac:dyDescent="0.25">
      <c r="A59" s="181"/>
      <c r="B59" s="312"/>
      <c r="C59" s="313"/>
      <c r="D59" s="313"/>
      <c r="E59" s="314"/>
      <c r="F59" s="277" t="s">
        <v>98</v>
      </c>
      <c r="G59" s="277"/>
      <c r="H59" s="277"/>
      <c r="I59" s="277"/>
      <c r="J59" s="277"/>
      <c r="K59" s="277"/>
      <c r="L59" s="277"/>
      <c r="M59" s="277"/>
      <c r="N59" s="198">
        <f>N58</f>
        <v>0</v>
      </c>
      <c r="P59" s="277" t="s">
        <v>98</v>
      </c>
      <c r="Q59" s="277"/>
      <c r="R59" s="277"/>
      <c r="S59" s="277"/>
      <c r="T59" s="277"/>
      <c r="U59" s="277"/>
      <c r="V59" s="277"/>
      <c r="W59" s="277"/>
      <c r="X59" s="198">
        <f>X58</f>
        <v>0</v>
      </c>
      <c r="Z59" s="178"/>
    </row>
    <row r="60" spans="1:26" s="186" customFormat="1" ht="16.5" thickBot="1" x14ac:dyDescent="0.3">
      <c r="A60" s="163"/>
      <c r="B60" s="284" t="s">
        <v>36</v>
      </c>
      <c r="C60" s="285"/>
      <c r="D60" s="285"/>
      <c r="E60" s="285"/>
      <c r="F60" s="286"/>
      <c r="G60" s="286"/>
      <c r="H60" s="286"/>
      <c r="I60" s="286"/>
      <c r="J60" s="286"/>
      <c r="K60" s="286"/>
      <c r="L60" s="286"/>
      <c r="M60" s="199">
        <v>3</v>
      </c>
      <c r="N60" s="200">
        <f>N59*M60</f>
        <v>0</v>
      </c>
      <c r="P60" s="286"/>
      <c r="Q60" s="286"/>
      <c r="R60" s="286"/>
      <c r="S60" s="286"/>
      <c r="T60" s="286"/>
      <c r="U60" s="286"/>
      <c r="V60" s="286"/>
      <c r="W60" s="199">
        <v>1</v>
      </c>
      <c r="X60" s="200">
        <f>X59*W60</f>
        <v>0</v>
      </c>
      <c r="Z60" s="201">
        <f>N60+X60</f>
        <v>0</v>
      </c>
    </row>
    <row r="61" spans="1:26" ht="16.5" thickBot="1" x14ac:dyDescent="0.3">
      <c r="G61" s="170"/>
      <c r="H61" s="170"/>
      <c r="I61" s="170"/>
      <c r="J61" s="170"/>
      <c r="K61" s="170"/>
      <c r="L61" s="170"/>
      <c r="M61" s="211"/>
      <c r="N61" s="205"/>
      <c r="Q61" s="170"/>
      <c r="R61" s="170"/>
      <c r="S61" s="170"/>
      <c r="T61" s="170"/>
      <c r="U61" s="170"/>
      <c r="V61" s="170"/>
      <c r="W61" s="211"/>
      <c r="X61" s="205"/>
      <c r="Z61" s="178"/>
    </row>
    <row r="62" spans="1:26" ht="16.5" thickBot="1" x14ac:dyDescent="0.3">
      <c r="A62" s="186"/>
      <c r="B62" s="275"/>
      <c r="C62" s="276"/>
      <c r="D62" s="276"/>
      <c r="E62" s="276"/>
      <c r="F62" s="276" t="s">
        <v>51</v>
      </c>
      <c r="G62" s="276"/>
      <c r="H62" s="176"/>
      <c r="I62" s="276" t="s">
        <v>51</v>
      </c>
      <c r="J62" s="276"/>
      <c r="K62" s="176"/>
      <c r="L62" s="276" t="s">
        <v>51</v>
      </c>
      <c r="M62" s="276"/>
      <c r="N62" s="177"/>
      <c r="P62" s="276" t="s">
        <v>51</v>
      </c>
      <c r="Q62" s="276"/>
      <c r="R62" s="176"/>
      <c r="S62" s="276" t="s">
        <v>51</v>
      </c>
      <c r="T62" s="276"/>
      <c r="U62" s="176"/>
      <c r="V62" s="276" t="s">
        <v>51</v>
      </c>
      <c r="W62" s="276"/>
      <c r="X62" s="177"/>
      <c r="Z62" s="178"/>
    </row>
    <row r="63" spans="1:26" ht="55.5" customHeight="1" x14ac:dyDescent="0.25">
      <c r="A63" s="212">
        <v>5</v>
      </c>
      <c r="B63" s="271" t="s">
        <v>99</v>
      </c>
      <c r="C63" s="272"/>
      <c r="D63" s="272"/>
      <c r="E63" s="272"/>
      <c r="F63" s="213"/>
      <c r="G63" s="213"/>
      <c r="H63" s="214"/>
      <c r="I63" s="214"/>
      <c r="J63" s="214"/>
      <c r="K63" s="214"/>
      <c r="L63" s="214"/>
      <c r="M63" s="214"/>
      <c r="N63" s="215"/>
      <c r="P63" s="213"/>
      <c r="Q63" s="213"/>
      <c r="R63" s="214"/>
      <c r="S63" s="214"/>
      <c r="T63" s="214"/>
      <c r="U63" s="214"/>
      <c r="V63" s="214"/>
      <c r="W63" s="214"/>
      <c r="X63" s="215"/>
      <c r="Z63" s="178"/>
    </row>
    <row r="64" spans="1:26" ht="38.450000000000003" customHeight="1" thickBot="1" x14ac:dyDescent="0.3">
      <c r="A64" s="212"/>
      <c r="B64" s="269" t="s">
        <v>100</v>
      </c>
      <c r="C64" s="270"/>
      <c r="D64" s="270"/>
      <c r="E64" s="270"/>
      <c r="F64" s="187"/>
      <c r="G64" s="188" t="s">
        <v>55</v>
      </c>
      <c r="H64" s="188" t="s">
        <v>56</v>
      </c>
      <c r="I64" s="189"/>
      <c r="J64" s="188" t="s">
        <v>57</v>
      </c>
      <c r="K64" s="188"/>
      <c r="L64" s="216"/>
      <c r="M64" s="217"/>
      <c r="N64" s="190">
        <f>F64*I64</f>
        <v>0</v>
      </c>
      <c r="P64" s="187"/>
      <c r="Q64" s="188" t="s">
        <v>55</v>
      </c>
      <c r="R64" s="188" t="s">
        <v>56</v>
      </c>
      <c r="S64" s="189"/>
      <c r="T64" s="188" t="s">
        <v>57</v>
      </c>
      <c r="U64" s="188"/>
      <c r="V64" s="216"/>
      <c r="W64" s="217"/>
      <c r="X64" s="190">
        <f>P64*S64</f>
        <v>0</v>
      </c>
      <c r="Z64" s="178"/>
    </row>
    <row r="65" spans="1:26" x14ac:dyDescent="0.25">
      <c r="A65" s="181"/>
      <c r="B65" s="280" t="s">
        <v>66</v>
      </c>
      <c r="C65" s="281"/>
      <c r="D65" s="281"/>
      <c r="E65" s="281"/>
      <c r="F65" s="193"/>
      <c r="G65" s="194"/>
      <c r="H65" s="194"/>
      <c r="I65" s="194"/>
      <c r="J65" s="194"/>
      <c r="K65" s="194"/>
      <c r="L65" s="194"/>
      <c r="M65" s="194"/>
      <c r="N65" s="195">
        <f>N64</f>
        <v>0</v>
      </c>
      <c r="P65" s="193"/>
      <c r="Q65" s="194"/>
      <c r="R65" s="194"/>
      <c r="S65" s="194"/>
      <c r="T65" s="194"/>
      <c r="U65" s="194"/>
      <c r="V65" s="194"/>
      <c r="W65" s="194"/>
      <c r="X65" s="195">
        <f>X64</f>
        <v>0</v>
      </c>
      <c r="Z65" s="178"/>
    </row>
    <row r="66" spans="1:26" ht="15.95" customHeight="1" x14ac:dyDescent="0.25">
      <c r="A66" s="181"/>
      <c r="B66" s="282" t="s">
        <v>67</v>
      </c>
      <c r="C66" s="283"/>
      <c r="D66" s="283"/>
      <c r="E66" s="283"/>
      <c r="F66" s="196"/>
      <c r="G66" s="183"/>
      <c r="H66" s="183"/>
      <c r="I66" s="183"/>
      <c r="J66" s="183"/>
      <c r="K66" s="183"/>
      <c r="L66" s="183"/>
      <c r="M66" s="183"/>
      <c r="N66" s="185">
        <f>N65*(1+Rates!$F$8)</f>
        <v>0</v>
      </c>
      <c r="P66" s="196"/>
      <c r="Q66" s="183"/>
      <c r="R66" s="183"/>
      <c r="S66" s="183"/>
      <c r="T66" s="183"/>
      <c r="U66" s="183"/>
      <c r="V66" s="183"/>
      <c r="W66" s="183"/>
      <c r="X66" s="185">
        <f>X65*(1+Rates!$F$8)</f>
        <v>0</v>
      </c>
      <c r="Z66" s="178"/>
    </row>
    <row r="67" spans="1:26" ht="15.95" customHeight="1" thickBot="1" x14ac:dyDescent="0.3">
      <c r="A67" s="181"/>
      <c r="B67" s="278" t="s">
        <v>68</v>
      </c>
      <c r="C67" s="279"/>
      <c r="D67" s="279"/>
      <c r="E67" s="279"/>
      <c r="F67" s="197"/>
      <c r="G67" s="188"/>
      <c r="H67" s="188"/>
      <c r="I67" s="188"/>
      <c r="J67" s="188"/>
      <c r="K67" s="188"/>
      <c r="L67" s="188"/>
      <c r="M67" s="188"/>
      <c r="N67" s="190">
        <f>N66*(1+Rates!$F$9)</f>
        <v>0</v>
      </c>
      <c r="P67" s="197"/>
      <c r="Q67" s="188"/>
      <c r="R67" s="188"/>
      <c r="S67" s="188"/>
      <c r="T67" s="188"/>
      <c r="U67" s="188"/>
      <c r="V67" s="188"/>
      <c r="W67" s="188"/>
      <c r="X67" s="190">
        <f>X66*(1+Rates!$F$9)</f>
        <v>0</v>
      </c>
      <c r="Z67" s="178"/>
    </row>
    <row r="68" spans="1:26" x14ac:dyDescent="0.25">
      <c r="A68" s="218"/>
      <c r="B68" s="297"/>
      <c r="C68" s="298"/>
      <c r="D68" s="298"/>
      <c r="E68" s="298"/>
      <c r="F68" s="277" t="s">
        <v>101</v>
      </c>
      <c r="G68" s="277"/>
      <c r="H68" s="277"/>
      <c r="I68" s="277"/>
      <c r="J68" s="277"/>
      <c r="K68" s="277"/>
      <c r="L68" s="277"/>
      <c r="M68" s="277"/>
      <c r="N68" s="198">
        <f>N67</f>
        <v>0</v>
      </c>
      <c r="P68" s="277" t="s">
        <v>101</v>
      </c>
      <c r="Q68" s="277"/>
      <c r="R68" s="277"/>
      <c r="S68" s="277"/>
      <c r="T68" s="277"/>
      <c r="U68" s="277"/>
      <c r="V68" s="277"/>
      <c r="W68" s="277"/>
      <c r="X68" s="198">
        <f>X67</f>
        <v>0</v>
      </c>
      <c r="Z68" s="178"/>
    </row>
    <row r="69" spans="1:26" s="186" customFormat="1" ht="16.5" thickBot="1" x14ac:dyDescent="0.3">
      <c r="A69" s="163"/>
      <c r="B69" s="284" t="s">
        <v>36</v>
      </c>
      <c r="C69" s="285"/>
      <c r="D69" s="285"/>
      <c r="E69" s="285"/>
      <c r="F69" s="286"/>
      <c r="G69" s="286"/>
      <c r="H69" s="286"/>
      <c r="I69" s="286"/>
      <c r="J69" s="286"/>
      <c r="K69" s="286"/>
      <c r="L69" s="286"/>
      <c r="M69" s="199">
        <v>2</v>
      </c>
      <c r="N69" s="200">
        <f>N68*M69</f>
        <v>0</v>
      </c>
      <c r="P69" s="286"/>
      <c r="Q69" s="286"/>
      <c r="R69" s="286"/>
      <c r="S69" s="286"/>
      <c r="T69" s="286"/>
      <c r="U69" s="286"/>
      <c r="V69" s="286"/>
      <c r="W69" s="199">
        <v>1</v>
      </c>
      <c r="X69" s="200">
        <f>X68*W69</f>
        <v>0</v>
      </c>
      <c r="Z69" s="201">
        <f>N69+X69</f>
        <v>0</v>
      </c>
    </row>
    <row r="70" spans="1:26" ht="16.5" thickBot="1" x14ac:dyDescent="0.3">
      <c r="Z70" s="178"/>
    </row>
    <row r="71" spans="1:26" ht="16.5" thickBot="1" x14ac:dyDescent="0.3">
      <c r="A71" s="186"/>
      <c r="B71" s="275"/>
      <c r="C71" s="276"/>
      <c r="D71" s="276"/>
      <c r="E71" s="276"/>
      <c r="F71" s="276" t="s">
        <v>51</v>
      </c>
      <c r="G71" s="276"/>
      <c r="H71" s="176"/>
      <c r="I71" s="276" t="s">
        <v>51</v>
      </c>
      <c r="J71" s="276"/>
      <c r="K71" s="176"/>
      <c r="L71" s="276" t="s">
        <v>51</v>
      </c>
      <c r="M71" s="276"/>
      <c r="N71" s="177"/>
      <c r="P71" s="276" t="s">
        <v>51</v>
      </c>
      <c r="Q71" s="276"/>
      <c r="R71" s="176"/>
      <c r="S71" s="276" t="s">
        <v>51</v>
      </c>
      <c r="T71" s="276"/>
      <c r="U71" s="176"/>
      <c r="V71" s="276" t="s">
        <v>51</v>
      </c>
      <c r="W71" s="276"/>
      <c r="X71" s="177"/>
      <c r="Z71" s="178"/>
    </row>
    <row r="72" spans="1:26" ht="14.45" customHeight="1" x14ac:dyDescent="0.25">
      <c r="A72" s="171">
        <v>6</v>
      </c>
      <c r="B72" s="271" t="s">
        <v>171</v>
      </c>
      <c r="C72" s="272"/>
      <c r="D72" s="272"/>
      <c r="E72" s="272"/>
      <c r="F72" s="272"/>
      <c r="G72" s="272"/>
      <c r="H72" s="272"/>
      <c r="I72" s="272"/>
      <c r="J72" s="272"/>
      <c r="K72" s="272"/>
      <c r="L72" s="272"/>
      <c r="M72" s="272"/>
      <c r="N72" s="294"/>
      <c r="X72" s="163"/>
      <c r="Z72" s="178"/>
    </row>
    <row r="73" spans="1:26" ht="31.5" x14ac:dyDescent="0.25">
      <c r="A73" s="181"/>
      <c r="B73" s="273" t="s">
        <v>88</v>
      </c>
      <c r="C73" s="274"/>
      <c r="D73" s="274"/>
      <c r="E73" s="274"/>
      <c r="F73" s="182"/>
      <c r="G73" s="183" t="s">
        <v>55</v>
      </c>
      <c r="H73" s="183" t="s">
        <v>56</v>
      </c>
      <c r="I73" s="184"/>
      <c r="J73" s="183" t="s">
        <v>57</v>
      </c>
      <c r="K73" s="183"/>
      <c r="L73" s="183"/>
      <c r="M73" s="183"/>
      <c r="N73" s="185">
        <f>F73*I73</f>
        <v>0</v>
      </c>
      <c r="P73" s="182"/>
      <c r="Q73" s="183" t="s">
        <v>55</v>
      </c>
      <c r="R73" s="183" t="s">
        <v>56</v>
      </c>
      <c r="S73" s="184"/>
      <c r="T73" s="183" t="s">
        <v>57</v>
      </c>
      <c r="U73" s="183"/>
      <c r="V73" s="183"/>
      <c r="W73" s="183"/>
      <c r="X73" s="185">
        <f>P73*S73</f>
        <v>0</v>
      </c>
      <c r="Z73" s="178"/>
    </row>
    <row r="74" spans="1:26" ht="31.5" x14ac:dyDescent="0.25">
      <c r="A74" s="181"/>
      <c r="B74" s="273" t="s">
        <v>89</v>
      </c>
      <c r="C74" s="274"/>
      <c r="D74" s="274"/>
      <c r="E74" s="274"/>
      <c r="F74" s="182"/>
      <c r="G74" s="183" t="s">
        <v>55</v>
      </c>
      <c r="H74" s="183" t="s">
        <v>56</v>
      </c>
      <c r="I74" s="184"/>
      <c r="J74" s="183" t="s">
        <v>57</v>
      </c>
      <c r="K74" s="183" t="s">
        <v>56</v>
      </c>
      <c r="L74" s="184"/>
      <c r="M74" s="183" t="s">
        <v>62</v>
      </c>
      <c r="N74" s="185">
        <f>F74*I74*L74</f>
        <v>0</v>
      </c>
      <c r="P74" s="182"/>
      <c r="Q74" s="183" t="s">
        <v>55</v>
      </c>
      <c r="R74" s="183" t="s">
        <v>56</v>
      </c>
      <c r="S74" s="184"/>
      <c r="T74" s="183" t="s">
        <v>57</v>
      </c>
      <c r="U74" s="183" t="s">
        <v>56</v>
      </c>
      <c r="V74" s="184"/>
      <c r="W74" s="183" t="s">
        <v>62</v>
      </c>
      <c r="X74" s="185">
        <f>P74*S74*V74</f>
        <v>0</v>
      </c>
      <c r="Z74" s="178"/>
    </row>
    <row r="75" spans="1:26" ht="31.5" x14ac:dyDescent="0.25">
      <c r="A75" s="181"/>
      <c r="B75" s="269" t="s">
        <v>90</v>
      </c>
      <c r="C75" s="270"/>
      <c r="D75" s="270"/>
      <c r="E75" s="270"/>
      <c r="F75" s="187"/>
      <c r="G75" s="188" t="s">
        <v>55</v>
      </c>
      <c r="H75" s="188" t="s">
        <v>56</v>
      </c>
      <c r="I75" s="189"/>
      <c r="J75" s="188" t="s">
        <v>57</v>
      </c>
      <c r="K75" s="188" t="s">
        <v>56</v>
      </c>
      <c r="L75" s="189"/>
      <c r="M75" s="188" t="s">
        <v>65</v>
      </c>
      <c r="N75" s="190">
        <f>F75*I75*L75</f>
        <v>0</v>
      </c>
      <c r="P75" s="187"/>
      <c r="Q75" s="188" t="s">
        <v>55</v>
      </c>
      <c r="R75" s="188" t="s">
        <v>56</v>
      </c>
      <c r="S75" s="189"/>
      <c r="T75" s="188" t="s">
        <v>57</v>
      </c>
      <c r="U75" s="188" t="s">
        <v>56</v>
      </c>
      <c r="V75" s="189"/>
      <c r="W75" s="188" t="s">
        <v>65</v>
      </c>
      <c r="X75" s="190">
        <f>P75*S75*V75</f>
        <v>0</v>
      </c>
      <c r="Z75" s="178"/>
    </row>
    <row r="76" spans="1:26" x14ac:dyDescent="0.25">
      <c r="B76" s="295" t="s">
        <v>70</v>
      </c>
      <c r="C76" s="296"/>
      <c r="D76" s="296"/>
      <c r="E76" s="296"/>
      <c r="F76" s="191"/>
      <c r="G76" s="191"/>
      <c r="H76" s="191"/>
      <c r="I76" s="191"/>
      <c r="J76" s="191"/>
      <c r="K76" s="191"/>
      <c r="L76" s="191"/>
      <c r="M76" s="191"/>
      <c r="N76" s="192"/>
      <c r="P76" s="191"/>
      <c r="Q76" s="191"/>
      <c r="R76" s="191"/>
      <c r="S76" s="191"/>
      <c r="T76" s="191"/>
      <c r="U76" s="191"/>
      <c r="V76" s="191"/>
      <c r="W76" s="191"/>
      <c r="X76" s="192"/>
      <c r="Z76" s="178"/>
    </row>
    <row r="77" spans="1:26" ht="54" customHeight="1" x14ac:dyDescent="0.25">
      <c r="A77" s="171"/>
      <c r="B77" s="282" t="s">
        <v>71</v>
      </c>
      <c r="C77" s="283"/>
      <c r="D77" s="283"/>
      <c r="E77" s="283"/>
      <c r="F77" s="182"/>
      <c r="G77" s="183" t="s">
        <v>64</v>
      </c>
      <c r="H77" s="183" t="s">
        <v>56</v>
      </c>
      <c r="I77" s="184"/>
      <c r="J77" s="183" t="s">
        <v>57</v>
      </c>
      <c r="K77" s="183" t="s">
        <v>56</v>
      </c>
      <c r="L77" s="184"/>
      <c r="M77" s="183" t="s">
        <v>65</v>
      </c>
      <c r="N77" s="185">
        <f>F77*I77*L77</f>
        <v>0</v>
      </c>
      <c r="P77" s="182"/>
      <c r="Q77" s="183" t="s">
        <v>64</v>
      </c>
      <c r="R77" s="183" t="s">
        <v>56</v>
      </c>
      <c r="S77" s="184"/>
      <c r="T77" s="183" t="s">
        <v>57</v>
      </c>
      <c r="U77" s="183" t="s">
        <v>56</v>
      </c>
      <c r="V77" s="184"/>
      <c r="W77" s="183" t="s">
        <v>65</v>
      </c>
      <c r="X77" s="185">
        <f>P77*S77*V77</f>
        <v>0</v>
      </c>
      <c r="Z77" s="178"/>
    </row>
    <row r="78" spans="1:26" ht="15.6" customHeight="1" x14ac:dyDescent="0.25">
      <c r="A78" s="181"/>
      <c r="B78" s="273" t="s">
        <v>85</v>
      </c>
      <c r="C78" s="274"/>
      <c r="D78" s="274"/>
      <c r="E78" s="274"/>
      <c r="F78" s="182"/>
      <c r="G78" s="183"/>
      <c r="H78" s="183" t="s">
        <v>56</v>
      </c>
      <c r="I78" s="184"/>
      <c r="J78" s="183" t="s">
        <v>57</v>
      </c>
      <c r="K78" s="183"/>
      <c r="L78" s="183"/>
      <c r="M78" s="183"/>
      <c r="N78" s="185">
        <f>F78*I78</f>
        <v>0</v>
      </c>
      <c r="P78" s="182"/>
      <c r="Q78" s="183"/>
      <c r="R78" s="183" t="s">
        <v>56</v>
      </c>
      <c r="S78" s="184"/>
      <c r="T78" s="183" t="s">
        <v>57</v>
      </c>
      <c r="U78" s="183"/>
      <c r="V78" s="183"/>
      <c r="W78" s="183"/>
      <c r="X78" s="185">
        <f>P78*S78</f>
        <v>0</v>
      </c>
      <c r="Z78" s="178"/>
    </row>
    <row r="79" spans="1:26" ht="31.5" x14ac:dyDescent="0.25">
      <c r="A79" s="181"/>
      <c r="B79" s="269" t="s">
        <v>100</v>
      </c>
      <c r="C79" s="270"/>
      <c r="D79" s="270"/>
      <c r="E79" s="270"/>
      <c r="F79" s="187"/>
      <c r="G79" s="188" t="s">
        <v>55</v>
      </c>
      <c r="H79" s="188" t="s">
        <v>56</v>
      </c>
      <c r="I79" s="189"/>
      <c r="J79" s="188" t="s">
        <v>57</v>
      </c>
      <c r="K79" s="188"/>
      <c r="L79" s="188"/>
      <c r="M79" s="188"/>
      <c r="N79" s="190">
        <f>F79*I79</f>
        <v>0</v>
      </c>
      <c r="P79" s="187"/>
      <c r="Q79" s="188" t="s">
        <v>55</v>
      </c>
      <c r="R79" s="188" t="s">
        <v>56</v>
      </c>
      <c r="S79" s="189"/>
      <c r="T79" s="188" t="s">
        <v>57</v>
      </c>
      <c r="U79" s="188"/>
      <c r="V79" s="188"/>
      <c r="W79" s="188"/>
      <c r="X79" s="190">
        <f>P79*S79</f>
        <v>0</v>
      </c>
      <c r="Z79" s="178"/>
    </row>
    <row r="80" spans="1:26" x14ac:dyDescent="0.25">
      <c r="A80" s="181"/>
      <c r="B80" s="280" t="s">
        <v>66</v>
      </c>
      <c r="C80" s="281"/>
      <c r="D80" s="281"/>
      <c r="E80" s="281"/>
      <c r="F80" s="193"/>
      <c r="G80" s="194"/>
      <c r="H80" s="194"/>
      <c r="I80" s="194"/>
      <c r="J80" s="194"/>
      <c r="K80" s="194"/>
      <c r="L80" s="194"/>
      <c r="M80" s="194"/>
      <c r="N80" s="195">
        <f>SUM(N73:N79)</f>
        <v>0</v>
      </c>
      <c r="P80" s="193"/>
      <c r="Q80" s="194"/>
      <c r="R80" s="194"/>
      <c r="S80" s="194"/>
      <c r="T80" s="194"/>
      <c r="U80" s="194"/>
      <c r="V80" s="194"/>
      <c r="W80" s="194"/>
      <c r="X80" s="195">
        <f>SUM(X73:X79)</f>
        <v>0</v>
      </c>
      <c r="Z80" s="178"/>
    </row>
    <row r="81" spans="1:26" ht="15.95" customHeight="1" x14ac:dyDescent="0.25">
      <c r="A81" s="181"/>
      <c r="B81" s="282" t="s">
        <v>67</v>
      </c>
      <c r="C81" s="283"/>
      <c r="D81" s="283"/>
      <c r="E81" s="283"/>
      <c r="F81" s="196"/>
      <c r="G81" s="183"/>
      <c r="H81" s="183"/>
      <c r="I81" s="183"/>
      <c r="J81" s="183"/>
      <c r="K81" s="183"/>
      <c r="L81" s="183"/>
      <c r="M81" s="183"/>
      <c r="N81" s="185">
        <f>N80*(1+Rates!$F$8)</f>
        <v>0</v>
      </c>
      <c r="P81" s="196"/>
      <c r="Q81" s="183"/>
      <c r="R81" s="183"/>
      <c r="S81" s="183"/>
      <c r="T81" s="183"/>
      <c r="U81" s="183"/>
      <c r="V81" s="183"/>
      <c r="W81" s="183"/>
      <c r="X81" s="185">
        <f>X80*(1+Rates!$F$8)</f>
        <v>0</v>
      </c>
      <c r="Z81" s="178"/>
    </row>
    <row r="82" spans="1:26" ht="15.95" customHeight="1" thickBot="1" x14ac:dyDescent="0.3">
      <c r="A82" s="181"/>
      <c r="B82" s="278" t="s">
        <v>68</v>
      </c>
      <c r="C82" s="279"/>
      <c r="D82" s="279"/>
      <c r="E82" s="279"/>
      <c r="F82" s="197"/>
      <c r="G82" s="188"/>
      <c r="H82" s="188"/>
      <c r="I82" s="188"/>
      <c r="J82" s="188"/>
      <c r="K82" s="188"/>
      <c r="L82" s="188"/>
      <c r="M82" s="188"/>
      <c r="N82" s="190">
        <f>N81*(1+Rates!$F$9)</f>
        <v>0</v>
      </c>
      <c r="P82" s="197"/>
      <c r="Q82" s="188"/>
      <c r="R82" s="188"/>
      <c r="S82" s="188"/>
      <c r="T82" s="188"/>
      <c r="U82" s="188"/>
      <c r="V82" s="188"/>
      <c r="W82" s="188"/>
      <c r="X82" s="190">
        <f>X81*(1+Rates!$F$9)</f>
        <v>0</v>
      </c>
      <c r="Z82" s="178"/>
    </row>
    <row r="83" spans="1:26" x14ac:dyDescent="0.25">
      <c r="B83" s="290"/>
      <c r="C83" s="291"/>
      <c r="D83" s="291"/>
      <c r="E83" s="292"/>
      <c r="F83" s="277" t="s">
        <v>102</v>
      </c>
      <c r="G83" s="277"/>
      <c r="H83" s="277"/>
      <c r="I83" s="277"/>
      <c r="J83" s="277"/>
      <c r="K83" s="277"/>
      <c r="L83" s="277"/>
      <c r="M83" s="277"/>
      <c r="N83" s="198">
        <f>N82</f>
        <v>0</v>
      </c>
      <c r="P83" s="277" t="s">
        <v>102</v>
      </c>
      <c r="Q83" s="277"/>
      <c r="R83" s="277"/>
      <c r="S83" s="277"/>
      <c r="T83" s="277"/>
      <c r="U83" s="277"/>
      <c r="V83" s="277"/>
      <c r="W83" s="277"/>
      <c r="X83" s="198">
        <f>X82</f>
        <v>0</v>
      </c>
      <c r="Z83" s="178"/>
    </row>
    <row r="84" spans="1:26" s="186" customFormat="1" ht="16.5" thickBot="1" x14ac:dyDescent="0.3">
      <c r="A84" s="163"/>
      <c r="B84" s="284" t="s">
        <v>36</v>
      </c>
      <c r="C84" s="285"/>
      <c r="D84" s="285"/>
      <c r="E84" s="285"/>
      <c r="F84" s="286"/>
      <c r="G84" s="286"/>
      <c r="H84" s="286"/>
      <c r="I84" s="286"/>
      <c r="J84" s="286"/>
      <c r="K84" s="286"/>
      <c r="L84" s="286"/>
      <c r="M84" s="199">
        <v>1</v>
      </c>
      <c r="N84" s="200">
        <f>N83*M84</f>
        <v>0</v>
      </c>
      <c r="P84" s="286"/>
      <c r="Q84" s="286"/>
      <c r="R84" s="286"/>
      <c r="S84" s="286"/>
      <c r="T84" s="286"/>
      <c r="U84" s="286"/>
      <c r="V84" s="286"/>
      <c r="W84" s="199">
        <v>0</v>
      </c>
      <c r="X84" s="200">
        <f>X83*W84</f>
        <v>0</v>
      </c>
      <c r="Z84" s="201">
        <f>N84+X84</f>
        <v>0</v>
      </c>
    </row>
    <row r="85" spans="1:26" x14ac:dyDescent="0.25">
      <c r="Z85" s="178"/>
    </row>
    <row r="86" spans="1:26" ht="16.5" thickBot="1" x14ac:dyDescent="0.3">
      <c r="B86" s="315" t="s">
        <v>37</v>
      </c>
      <c r="C86" s="315"/>
      <c r="D86" s="315"/>
      <c r="E86" s="315"/>
      <c r="N86" s="219">
        <f>N17+N31+N45+N60+N69+N84</f>
        <v>0</v>
      </c>
      <c r="X86" s="219">
        <f>X17+X31+X45+X60+X69+X84</f>
        <v>0</v>
      </c>
      <c r="Z86" s="201">
        <f>N86+X86</f>
        <v>0</v>
      </c>
    </row>
    <row r="87" spans="1:26" ht="16.5" thickTop="1" x14ac:dyDescent="0.25"/>
    <row r="88" spans="1:26" x14ac:dyDescent="0.25">
      <c r="A88" s="170" t="s">
        <v>38</v>
      </c>
      <c r="M88" s="210"/>
      <c r="N88" s="220"/>
      <c r="W88" s="210"/>
      <c r="X88" s="220"/>
    </row>
    <row r="89" spans="1:26" x14ac:dyDescent="0.25">
      <c r="A89" s="293"/>
      <c r="B89" s="293"/>
      <c r="C89" s="293"/>
      <c r="D89" s="293"/>
      <c r="E89" s="293"/>
      <c r="F89" s="293"/>
      <c r="G89" s="293"/>
      <c r="H89" s="293"/>
      <c r="I89" s="293"/>
      <c r="J89" s="293"/>
      <c r="K89" s="293"/>
      <c r="L89" s="293"/>
      <c r="M89" s="293"/>
      <c r="N89" s="293"/>
      <c r="X89" s="163"/>
    </row>
    <row r="90" spans="1:26" x14ac:dyDescent="0.25">
      <c r="A90" s="293"/>
      <c r="B90" s="293"/>
      <c r="C90" s="293"/>
      <c r="D90" s="293"/>
      <c r="E90" s="293"/>
      <c r="F90" s="293"/>
      <c r="G90" s="293"/>
      <c r="H90" s="293"/>
      <c r="I90" s="293"/>
      <c r="J90" s="293"/>
      <c r="K90" s="293"/>
      <c r="L90" s="293"/>
      <c r="M90" s="293"/>
      <c r="N90" s="293"/>
      <c r="X90" s="163"/>
    </row>
    <row r="91" spans="1:26" x14ac:dyDescent="0.25">
      <c r="A91" s="293"/>
      <c r="B91" s="293"/>
      <c r="C91" s="293"/>
      <c r="D91" s="293"/>
      <c r="E91" s="293"/>
      <c r="F91" s="293"/>
      <c r="G91" s="293"/>
      <c r="H91" s="293"/>
      <c r="I91" s="293"/>
      <c r="J91" s="293"/>
      <c r="K91" s="293"/>
      <c r="L91" s="293"/>
      <c r="M91" s="293"/>
      <c r="N91" s="293"/>
      <c r="X91" s="163"/>
    </row>
    <row r="92" spans="1:26" x14ac:dyDescent="0.25">
      <c r="A92" s="293"/>
      <c r="B92" s="293"/>
      <c r="C92" s="293"/>
      <c r="D92" s="293"/>
      <c r="E92" s="293"/>
      <c r="F92" s="293"/>
      <c r="G92" s="293"/>
      <c r="H92" s="293"/>
      <c r="I92" s="293"/>
      <c r="J92" s="293"/>
      <c r="K92" s="293"/>
      <c r="L92" s="293"/>
      <c r="M92" s="293"/>
      <c r="N92" s="293"/>
      <c r="X92" s="163"/>
    </row>
    <row r="93" spans="1:26" x14ac:dyDescent="0.25">
      <c r="A93" s="293"/>
      <c r="B93" s="293"/>
      <c r="C93" s="293"/>
      <c r="D93" s="293"/>
      <c r="E93" s="293"/>
      <c r="F93" s="293"/>
      <c r="G93" s="293"/>
      <c r="H93" s="293"/>
      <c r="I93" s="293"/>
      <c r="J93" s="293"/>
      <c r="K93" s="293"/>
      <c r="L93" s="293"/>
      <c r="M93" s="293"/>
      <c r="N93" s="293"/>
      <c r="X93" s="163"/>
    </row>
    <row r="94" spans="1:26" x14ac:dyDescent="0.25">
      <c r="A94" s="293"/>
      <c r="B94" s="293"/>
      <c r="C94" s="293"/>
      <c r="D94" s="293"/>
      <c r="E94" s="293"/>
      <c r="F94" s="293"/>
      <c r="G94" s="293"/>
      <c r="H94" s="293"/>
      <c r="I94" s="293"/>
      <c r="J94" s="293"/>
      <c r="K94" s="293"/>
      <c r="L94" s="293"/>
      <c r="M94" s="293"/>
      <c r="N94" s="293"/>
      <c r="X94" s="163"/>
    </row>
    <row r="95" spans="1:26" x14ac:dyDescent="0.25">
      <c r="A95" s="293"/>
      <c r="B95" s="293"/>
      <c r="C95" s="293"/>
      <c r="D95" s="293"/>
      <c r="E95" s="293"/>
      <c r="F95" s="293"/>
      <c r="G95" s="293"/>
      <c r="H95" s="293"/>
      <c r="I95" s="293"/>
      <c r="J95" s="293"/>
      <c r="K95" s="293"/>
      <c r="L95" s="293"/>
      <c r="M95" s="293"/>
      <c r="N95" s="293"/>
      <c r="X95" s="163"/>
    </row>
    <row r="96" spans="1:26" x14ac:dyDescent="0.25">
      <c r="A96" s="293"/>
      <c r="B96" s="293"/>
      <c r="C96" s="293"/>
      <c r="D96" s="293"/>
      <c r="E96" s="293"/>
      <c r="F96" s="293"/>
      <c r="G96" s="293"/>
      <c r="H96" s="293"/>
      <c r="I96" s="293"/>
      <c r="J96" s="293"/>
      <c r="K96" s="293"/>
      <c r="L96" s="293"/>
      <c r="M96" s="293"/>
      <c r="N96" s="293"/>
      <c r="X96" s="163"/>
    </row>
    <row r="97" spans="1:24" x14ac:dyDescent="0.25">
      <c r="A97" s="293"/>
      <c r="B97" s="293"/>
      <c r="C97" s="293"/>
      <c r="D97" s="293"/>
      <c r="E97" s="293"/>
      <c r="F97" s="293"/>
      <c r="G97" s="293"/>
      <c r="H97" s="293"/>
      <c r="I97" s="293"/>
      <c r="J97" s="293"/>
      <c r="K97" s="293"/>
      <c r="L97" s="293"/>
      <c r="M97" s="293"/>
      <c r="N97" s="293"/>
      <c r="X97" s="163"/>
    </row>
  </sheetData>
  <mergeCells count="142">
    <mergeCell ref="P83:W83"/>
    <mergeCell ref="P84:V84"/>
    <mergeCell ref="B86:E86"/>
    <mergeCell ref="P68:W68"/>
    <mergeCell ref="P69:V69"/>
    <mergeCell ref="P71:Q71"/>
    <mergeCell ref="S71:T71"/>
    <mergeCell ref="V71:W71"/>
    <mergeCell ref="P59:W59"/>
    <mergeCell ref="P60:V60"/>
    <mergeCell ref="P62:Q62"/>
    <mergeCell ref="S62:T62"/>
    <mergeCell ref="V62:W62"/>
    <mergeCell ref="B80:E80"/>
    <mergeCell ref="B81:E81"/>
    <mergeCell ref="B82:E82"/>
    <mergeCell ref="B79:E79"/>
    <mergeCell ref="B84:E84"/>
    <mergeCell ref="F84:L84"/>
    <mergeCell ref="B62:E62"/>
    <mergeCell ref="F62:G62"/>
    <mergeCell ref="I62:J62"/>
    <mergeCell ref="L62:M62"/>
    <mergeCell ref="B71:E71"/>
    <mergeCell ref="P44:W44"/>
    <mergeCell ref="P45:V45"/>
    <mergeCell ref="P47:Q47"/>
    <mergeCell ref="S47:T47"/>
    <mergeCell ref="V47:W47"/>
    <mergeCell ref="P30:W30"/>
    <mergeCell ref="P31:V31"/>
    <mergeCell ref="P33:Q33"/>
    <mergeCell ref="S33:T33"/>
    <mergeCell ref="V33:W33"/>
    <mergeCell ref="P16:W16"/>
    <mergeCell ref="P17:V17"/>
    <mergeCell ref="P19:Q19"/>
    <mergeCell ref="S19:T19"/>
    <mergeCell ref="V19:W19"/>
    <mergeCell ref="P1:X1"/>
    <mergeCell ref="P4:X4"/>
    <mergeCell ref="P5:Q5"/>
    <mergeCell ref="S5:T5"/>
    <mergeCell ref="V5:W5"/>
    <mergeCell ref="F71:G71"/>
    <mergeCell ref="I71:J71"/>
    <mergeCell ref="L71:M71"/>
    <mergeCell ref="B83:E83"/>
    <mergeCell ref="F83:M83"/>
    <mergeCell ref="B22:E22"/>
    <mergeCell ref="B23:E23"/>
    <mergeCell ref="B25:E25"/>
    <mergeCell ref="F47:G47"/>
    <mergeCell ref="I47:J47"/>
    <mergeCell ref="L47:M47"/>
    <mergeCell ref="F60:L60"/>
    <mergeCell ref="B69:E69"/>
    <mergeCell ref="F69:L69"/>
    <mergeCell ref="B56:E56"/>
    <mergeCell ref="B57:E57"/>
    <mergeCell ref="B60:E60"/>
    <mergeCell ref="B47:E47"/>
    <mergeCell ref="B52:E52"/>
    <mergeCell ref="B59:E59"/>
    <mergeCell ref="B33:E33"/>
    <mergeCell ref="F33:G33"/>
    <mergeCell ref="I33:J33"/>
    <mergeCell ref="L33:M33"/>
    <mergeCell ref="B44:E44"/>
    <mergeCell ref="B38:E38"/>
    <mergeCell ref="B42:E42"/>
    <mergeCell ref="B43:E43"/>
    <mergeCell ref="B27:E27"/>
    <mergeCell ref="B28:E28"/>
    <mergeCell ref="B29:E29"/>
    <mergeCell ref="B41:E41"/>
    <mergeCell ref="F30:M30"/>
    <mergeCell ref="B36:E36"/>
    <mergeCell ref="B16:E16"/>
    <mergeCell ref="F17:L17"/>
    <mergeCell ref="B5:E5"/>
    <mergeCell ref="B10:E10"/>
    <mergeCell ref="B6:E6"/>
    <mergeCell ref="B7:E7"/>
    <mergeCell ref="F1:N1"/>
    <mergeCell ref="A2:N2"/>
    <mergeCell ref="F5:G5"/>
    <mergeCell ref="I5:J5"/>
    <mergeCell ref="L5:M5"/>
    <mergeCell ref="F4:N4"/>
    <mergeCell ref="B8:E8"/>
    <mergeCell ref="B14:E14"/>
    <mergeCell ref="B15:E15"/>
    <mergeCell ref="B13:E13"/>
    <mergeCell ref="A89:N97"/>
    <mergeCell ref="B9:E9"/>
    <mergeCell ref="B11:E11"/>
    <mergeCell ref="B12:E12"/>
    <mergeCell ref="B20:E20"/>
    <mergeCell ref="B21:E21"/>
    <mergeCell ref="B53:E53"/>
    <mergeCell ref="B54:E54"/>
    <mergeCell ref="B55:E55"/>
    <mergeCell ref="B63:E63"/>
    <mergeCell ref="F16:M16"/>
    <mergeCell ref="B17:E17"/>
    <mergeCell ref="B78:E78"/>
    <mergeCell ref="B72:N72"/>
    <mergeCell ref="B73:E73"/>
    <mergeCell ref="B74:E74"/>
    <mergeCell ref="B75:E75"/>
    <mergeCell ref="B76:E76"/>
    <mergeCell ref="B77:E77"/>
    <mergeCell ref="B68:E68"/>
    <mergeCell ref="B37:E37"/>
    <mergeCell ref="B39:E39"/>
    <mergeCell ref="B40:E40"/>
    <mergeCell ref="B48:E48"/>
    <mergeCell ref="B26:E26"/>
    <mergeCell ref="B34:E34"/>
    <mergeCell ref="B35:E35"/>
    <mergeCell ref="B19:E19"/>
    <mergeCell ref="F19:G19"/>
    <mergeCell ref="I19:J19"/>
    <mergeCell ref="F44:M44"/>
    <mergeCell ref="F59:M59"/>
    <mergeCell ref="F68:M68"/>
    <mergeCell ref="B58:E58"/>
    <mergeCell ref="B65:E65"/>
    <mergeCell ref="B66:E66"/>
    <mergeCell ref="B67:E67"/>
    <mergeCell ref="B64:E64"/>
    <mergeCell ref="B49:E49"/>
    <mergeCell ref="B50:E50"/>
    <mergeCell ref="B51:E51"/>
    <mergeCell ref="L19:M19"/>
    <mergeCell ref="B31:E31"/>
    <mergeCell ref="F31:L31"/>
    <mergeCell ref="B45:E45"/>
    <mergeCell ref="F45:L45"/>
    <mergeCell ref="B24:E24"/>
    <mergeCell ref="B30:E30"/>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FDE58-299A-DC48-8EE7-C38ACF9C8832}">
  <dimension ref="A1:AK107"/>
  <sheetViews>
    <sheetView zoomScale="80" zoomScaleNormal="80" workbookViewId="0">
      <selection activeCell="F9" sqref="F9"/>
    </sheetView>
  </sheetViews>
  <sheetFormatPr defaultColWidth="11" defaultRowHeight="15.75" x14ac:dyDescent="0.25"/>
  <cols>
    <col min="1" max="1" width="74" style="1" bestFit="1" customWidth="1"/>
    <col min="2" max="2" width="14.75" style="1" bestFit="1" customWidth="1"/>
    <col min="3" max="7" width="12.375" style="1" bestFit="1" customWidth="1"/>
    <col min="8" max="10" width="12.375" style="1" customWidth="1"/>
    <col min="11" max="11" width="11.5" style="1" bestFit="1" customWidth="1"/>
    <col min="12" max="12" width="13.375" style="1" customWidth="1"/>
    <col min="13" max="13" width="31.25" style="1" customWidth="1"/>
    <col min="14" max="14" width="3" style="1" customWidth="1"/>
    <col min="15" max="15" width="44.75" style="1" customWidth="1"/>
    <col min="16" max="16" width="18.125" style="1" customWidth="1"/>
    <col min="17" max="17" width="6.125" style="1" customWidth="1"/>
    <col min="18" max="18" width="9.625" style="1" customWidth="1"/>
    <col min="19" max="19" width="5.375" style="1" customWidth="1"/>
    <col min="20" max="20" width="2.625" style="1" customWidth="1"/>
    <col min="21" max="21" width="4.875" style="1" customWidth="1"/>
    <col min="22" max="22" width="3" style="1" customWidth="1"/>
    <col min="23" max="23" width="8" style="1" customWidth="1"/>
    <col min="24" max="24" width="9.625" style="1" customWidth="1"/>
    <col min="25" max="25" width="5.875" style="1" customWidth="1"/>
    <col min="26" max="26" width="3" style="1" customWidth="1"/>
    <col min="27" max="27" width="4.875" style="1" customWidth="1"/>
    <col min="28" max="28" width="2.125" style="1" customWidth="1"/>
    <col min="29" max="31" width="9.625" style="1" customWidth="1"/>
    <col min="32" max="32" width="8.375" style="1" customWidth="1"/>
    <col min="33" max="33" width="0.125" style="1" customWidth="1"/>
    <col min="34" max="34" width="0.125" style="1" hidden="1" customWidth="1"/>
    <col min="35" max="35" width="0.125" style="1" customWidth="1"/>
    <col min="36" max="36" width="0.875" style="1" customWidth="1"/>
    <col min="37" max="37" width="7.625" style="1" bestFit="1" customWidth="1"/>
    <col min="38" max="257" width="11" style="1"/>
    <col min="258" max="258" width="46.5" style="1" customWidth="1"/>
    <col min="259" max="264" width="12.375" style="1" bestFit="1" customWidth="1"/>
    <col min="265" max="267" width="12.375" style="1" customWidth="1"/>
    <col min="268" max="268" width="13.375" style="1" bestFit="1" customWidth="1"/>
    <col min="269" max="269" width="14.125" style="1" bestFit="1" customWidth="1"/>
    <col min="270" max="270" width="3" style="1" customWidth="1"/>
    <col min="271" max="271" width="14.5" style="1" customWidth="1"/>
    <col min="272" max="272" width="3" style="1" customWidth="1"/>
    <col min="273" max="273" width="6.125" style="1" customWidth="1"/>
    <col min="274" max="274" width="9.625" style="1" customWidth="1"/>
    <col min="275" max="275" width="5.375" style="1" customWidth="1"/>
    <col min="276" max="276" width="2.625" style="1" customWidth="1"/>
    <col min="277" max="277" width="4.875" style="1" customWidth="1"/>
    <col min="278" max="278" width="3" style="1" customWidth="1"/>
    <col min="279" max="279" width="8" style="1" customWidth="1"/>
    <col min="280" max="280" width="9.625" style="1" customWidth="1"/>
    <col min="281" max="281" width="5.875" style="1" customWidth="1"/>
    <col min="282" max="282" width="3" style="1" customWidth="1"/>
    <col min="283" max="283" width="4.875" style="1" customWidth="1"/>
    <col min="284" max="284" width="2.125" style="1" customWidth="1"/>
    <col min="285" max="287" width="9.625" style="1" customWidth="1"/>
    <col min="288" max="288" width="8.375" style="1" customWidth="1"/>
    <col min="289" max="289" width="0.125" style="1" customWidth="1"/>
    <col min="290" max="290" width="0" style="1" hidden="1" customWidth="1"/>
    <col min="291" max="291" width="0.125" style="1" customWidth="1"/>
    <col min="292" max="292" width="0.875" style="1" customWidth="1"/>
    <col min="293" max="293" width="7.625" style="1" bestFit="1" customWidth="1"/>
    <col min="294" max="513" width="11" style="1"/>
    <col min="514" max="514" width="46.5" style="1" customWidth="1"/>
    <col min="515" max="520" width="12.375" style="1" bestFit="1" customWidth="1"/>
    <col min="521" max="523" width="12.375" style="1" customWidth="1"/>
    <col min="524" max="524" width="13.375" style="1" bestFit="1" customWidth="1"/>
    <col min="525" max="525" width="14.125" style="1" bestFit="1" customWidth="1"/>
    <col min="526" max="526" width="3" style="1" customWidth="1"/>
    <col min="527" max="527" width="14.5" style="1" customWidth="1"/>
    <col min="528" max="528" width="3" style="1" customWidth="1"/>
    <col min="529" max="529" width="6.125" style="1" customWidth="1"/>
    <col min="530" max="530" width="9.625" style="1" customWidth="1"/>
    <col min="531" max="531" width="5.375" style="1" customWidth="1"/>
    <col min="532" max="532" width="2.625" style="1" customWidth="1"/>
    <col min="533" max="533" width="4.875" style="1" customWidth="1"/>
    <col min="534" max="534" width="3" style="1" customWidth="1"/>
    <col min="535" max="535" width="8" style="1" customWidth="1"/>
    <col min="536" max="536" width="9.625" style="1" customWidth="1"/>
    <col min="537" max="537" width="5.875" style="1" customWidth="1"/>
    <col min="538" max="538" width="3" style="1" customWidth="1"/>
    <col min="539" max="539" width="4.875" style="1" customWidth="1"/>
    <col min="540" max="540" width="2.125" style="1" customWidth="1"/>
    <col min="541" max="543" width="9.625" style="1" customWidth="1"/>
    <col min="544" max="544" width="8.375" style="1" customWidth="1"/>
    <col min="545" max="545" width="0.125" style="1" customWidth="1"/>
    <col min="546" max="546" width="0" style="1" hidden="1" customWidth="1"/>
    <col min="547" max="547" width="0.125" style="1" customWidth="1"/>
    <col min="548" max="548" width="0.875" style="1" customWidth="1"/>
    <col min="549" max="549" width="7.625" style="1" bestFit="1" customWidth="1"/>
    <col min="550" max="769" width="11" style="1"/>
    <col min="770" max="770" width="46.5" style="1" customWidth="1"/>
    <col min="771" max="776" width="12.375" style="1" bestFit="1" customWidth="1"/>
    <col min="777" max="779" width="12.375" style="1" customWidth="1"/>
    <col min="780" max="780" width="13.375" style="1" bestFit="1" customWidth="1"/>
    <col min="781" max="781" width="14.125" style="1" bestFit="1" customWidth="1"/>
    <col min="782" max="782" width="3" style="1" customWidth="1"/>
    <col min="783" max="783" width="14.5" style="1" customWidth="1"/>
    <col min="784" max="784" width="3" style="1" customWidth="1"/>
    <col min="785" max="785" width="6.125" style="1" customWidth="1"/>
    <col min="786" max="786" width="9.625" style="1" customWidth="1"/>
    <col min="787" max="787" width="5.375" style="1" customWidth="1"/>
    <col min="788" max="788" width="2.625" style="1" customWidth="1"/>
    <col min="789" max="789" width="4.875" style="1" customWidth="1"/>
    <col min="790" max="790" width="3" style="1" customWidth="1"/>
    <col min="791" max="791" width="8" style="1" customWidth="1"/>
    <col min="792" max="792" width="9.625" style="1" customWidth="1"/>
    <col min="793" max="793" width="5.875" style="1" customWidth="1"/>
    <col min="794" max="794" width="3" style="1" customWidth="1"/>
    <col min="795" max="795" width="4.875" style="1" customWidth="1"/>
    <col min="796" max="796" width="2.125" style="1" customWidth="1"/>
    <col min="797" max="799" width="9.625" style="1" customWidth="1"/>
    <col min="800" max="800" width="8.375" style="1" customWidth="1"/>
    <col min="801" max="801" width="0.125" style="1" customWidth="1"/>
    <col min="802" max="802" width="0" style="1" hidden="1" customWidth="1"/>
    <col min="803" max="803" width="0.125" style="1" customWidth="1"/>
    <col min="804" max="804" width="0.875" style="1" customWidth="1"/>
    <col min="805" max="805" width="7.625" style="1" bestFit="1" customWidth="1"/>
    <col min="806" max="1025" width="11" style="1"/>
    <col min="1026" max="1026" width="46.5" style="1" customWidth="1"/>
    <col min="1027" max="1032" width="12.375" style="1" bestFit="1" customWidth="1"/>
    <col min="1033" max="1035" width="12.375" style="1" customWidth="1"/>
    <col min="1036" max="1036" width="13.375" style="1" bestFit="1" customWidth="1"/>
    <col min="1037" max="1037" width="14.125" style="1" bestFit="1" customWidth="1"/>
    <col min="1038" max="1038" width="3" style="1" customWidth="1"/>
    <col min="1039" max="1039" width="14.5" style="1" customWidth="1"/>
    <col min="1040" max="1040" width="3" style="1" customWidth="1"/>
    <col min="1041" max="1041" width="6.125" style="1" customWidth="1"/>
    <col min="1042" max="1042" width="9.625" style="1" customWidth="1"/>
    <col min="1043" max="1043" width="5.375" style="1" customWidth="1"/>
    <col min="1044" max="1044" width="2.625" style="1" customWidth="1"/>
    <col min="1045" max="1045" width="4.875" style="1" customWidth="1"/>
    <col min="1046" max="1046" width="3" style="1" customWidth="1"/>
    <col min="1047" max="1047" width="8" style="1" customWidth="1"/>
    <col min="1048" max="1048" width="9.625" style="1" customWidth="1"/>
    <col min="1049" max="1049" width="5.875" style="1" customWidth="1"/>
    <col min="1050" max="1050" width="3" style="1" customWidth="1"/>
    <col min="1051" max="1051" width="4.875" style="1" customWidth="1"/>
    <col min="1052" max="1052" width="2.125" style="1" customWidth="1"/>
    <col min="1053" max="1055" width="9.625" style="1" customWidth="1"/>
    <col min="1056" max="1056" width="8.375" style="1" customWidth="1"/>
    <col min="1057" max="1057" width="0.125" style="1" customWidth="1"/>
    <col min="1058" max="1058" width="0" style="1" hidden="1" customWidth="1"/>
    <col min="1059" max="1059" width="0.125" style="1" customWidth="1"/>
    <col min="1060" max="1060" width="0.875" style="1" customWidth="1"/>
    <col min="1061" max="1061" width="7.625" style="1" bestFit="1" customWidth="1"/>
    <col min="1062" max="1281" width="11" style="1"/>
    <col min="1282" max="1282" width="46.5" style="1" customWidth="1"/>
    <col min="1283" max="1288" width="12.375" style="1" bestFit="1" customWidth="1"/>
    <col min="1289" max="1291" width="12.375" style="1" customWidth="1"/>
    <col min="1292" max="1292" width="13.375" style="1" bestFit="1" customWidth="1"/>
    <col min="1293" max="1293" width="14.125" style="1" bestFit="1" customWidth="1"/>
    <col min="1294" max="1294" width="3" style="1" customWidth="1"/>
    <col min="1295" max="1295" width="14.5" style="1" customWidth="1"/>
    <col min="1296" max="1296" width="3" style="1" customWidth="1"/>
    <col min="1297" max="1297" width="6.125" style="1" customWidth="1"/>
    <col min="1298" max="1298" width="9.625" style="1" customWidth="1"/>
    <col min="1299" max="1299" width="5.375" style="1" customWidth="1"/>
    <col min="1300" max="1300" width="2.625" style="1" customWidth="1"/>
    <col min="1301" max="1301" width="4.875" style="1" customWidth="1"/>
    <col min="1302" max="1302" width="3" style="1" customWidth="1"/>
    <col min="1303" max="1303" width="8" style="1" customWidth="1"/>
    <col min="1304" max="1304" width="9.625" style="1" customWidth="1"/>
    <col min="1305" max="1305" width="5.875" style="1" customWidth="1"/>
    <col min="1306" max="1306" width="3" style="1" customWidth="1"/>
    <col min="1307" max="1307" width="4.875" style="1" customWidth="1"/>
    <col min="1308" max="1308" width="2.125" style="1" customWidth="1"/>
    <col min="1309" max="1311" width="9.625" style="1" customWidth="1"/>
    <col min="1312" max="1312" width="8.375" style="1" customWidth="1"/>
    <col min="1313" max="1313" width="0.125" style="1" customWidth="1"/>
    <col min="1314" max="1314" width="0" style="1" hidden="1" customWidth="1"/>
    <col min="1315" max="1315" width="0.125" style="1" customWidth="1"/>
    <col min="1316" max="1316" width="0.875" style="1" customWidth="1"/>
    <col min="1317" max="1317" width="7.625" style="1" bestFit="1" customWidth="1"/>
    <col min="1318" max="1537" width="11" style="1"/>
    <col min="1538" max="1538" width="46.5" style="1" customWidth="1"/>
    <col min="1539" max="1544" width="12.375" style="1" bestFit="1" customWidth="1"/>
    <col min="1545" max="1547" width="12.375" style="1" customWidth="1"/>
    <col min="1548" max="1548" width="13.375" style="1" bestFit="1" customWidth="1"/>
    <col min="1549" max="1549" width="14.125" style="1" bestFit="1" customWidth="1"/>
    <col min="1550" max="1550" width="3" style="1" customWidth="1"/>
    <col min="1551" max="1551" width="14.5" style="1" customWidth="1"/>
    <col min="1552" max="1552" width="3" style="1" customWidth="1"/>
    <col min="1553" max="1553" width="6.125" style="1" customWidth="1"/>
    <col min="1554" max="1554" width="9.625" style="1" customWidth="1"/>
    <col min="1555" max="1555" width="5.375" style="1" customWidth="1"/>
    <col min="1556" max="1556" width="2.625" style="1" customWidth="1"/>
    <col min="1557" max="1557" width="4.875" style="1" customWidth="1"/>
    <col min="1558" max="1558" width="3" style="1" customWidth="1"/>
    <col min="1559" max="1559" width="8" style="1" customWidth="1"/>
    <col min="1560" max="1560" width="9.625" style="1" customWidth="1"/>
    <col min="1561" max="1561" width="5.875" style="1" customWidth="1"/>
    <col min="1562" max="1562" width="3" style="1" customWidth="1"/>
    <col min="1563" max="1563" width="4.875" style="1" customWidth="1"/>
    <col min="1564" max="1564" width="2.125" style="1" customWidth="1"/>
    <col min="1565" max="1567" width="9.625" style="1" customWidth="1"/>
    <col min="1568" max="1568" width="8.375" style="1" customWidth="1"/>
    <col min="1569" max="1569" width="0.125" style="1" customWidth="1"/>
    <col min="1570" max="1570" width="0" style="1" hidden="1" customWidth="1"/>
    <col min="1571" max="1571" width="0.125" style="1" customWidth="1"/>
    <col min="1572" max="1572" width="0.875" style="1" customWidth="1"/>
    <col min="1573" max="1573" width="7.625" style="1" bestFit="1" customWidth="1"/>
    <col min="1574" max="1793" width="11" style="1"/>
    <col min="1794" max="1794" width="46.5" style="1" customWidth="1"/>
    <col min="1795" max="1800" width="12.375" style="1" bestFit="1" customWidth="1"/>
    <col min="1801" max="1803" width="12.375" style="1" customWidth="1"/>
    <col min="1804" max="1804" width="13.375" style="1" bestFit="1" customWidth="1"/>
    <col min="1805" max="1805" width="14.125" style="1" bestFit="1" customWidth="1"/>
    <col min="1806" max="1806" width="3" style="1" customWidth="1"/>
    <col min="1807" max="1807" width="14.5" style="1" customWidth="1"/>
    <col min="1808" max="1808" width="3" style="1" customWidth="1"/>
    <col min="1809" max="1809" width="6.125" style="1" customWidth="1"/>
    <col min="1810" max="1810" width="9.625" style="1" customWidth="1"/>
    <col min="1811" max="1811" width="5.375" style="1" customWidth="1"/>
    <col min="1812" max="1812" width="2.625" style="1" customWidth="1"/>
    <col min="1813" max="1813" width="4.875" style="1" customWidth="1"/>
    <col min="1814" max="1814" width="3" style="1" customWidth="1"/>
    <col min="1815" max="1815" width="8" style="1" customWidth="1"/>
    <col min="1816" max="1816" width="9.625" style="1" customWidth="1"/>
    <col min="1817" max="1817" width="5.875" style="1" customWidth="1"/>
    <col min="1818" max="1818" width="3" style="1" customWidth="1"/>
    <col min="1819" max="1819" width="4.875" style="1" customWidth="1"/>
    <col min="1820" max="1820" width="2.125" style="1" customWidth="1"/>
    <col min="1821" max="1823" width="9.625" style="1" customWidth="1"/>
    <col min="1824" max="1824" width="8.375" style="1" customWidth="1"/>
    <col min="1825" max="1825" width="0.125" style="1" customWidth="1"/>
    <col min="1826" max="1826" width="0" style="1" hidden="1" customWidth="1"/>
    <col min="1827" max="1827" width="0.125" style="1" customWidth="1"/>
    <col min="1828" max="1828" width="0.875" style="1" customWidth="1"/>
    <col min="1829" max="1829" width="7.625" style="1" bestFit="1" customWidth="1"/>
    <col min="1830" max="2049" width="11" style="1"/>
    <col min="2050" max="2050" width="46.5" style="1" customWidth="1"/>
    <col min="2051" max="2056" width="12.375" style="1" bestFit="1" customWidth="1"/>
    <col min="2057" max="2059" width="12.375" style="1" customWidth="1"/>
    <col min="2060" max="2060" width="13.375" style="1" bestFit="1" customWidth="1"/>
    <col min="2061" max="2061" width="14.125" style="1" bestFit="1" customWidth="1"/>
    <col min="2062" max="2062" width="3" style="1" customWidth="1"/>
    <col min="2063" max="2063" width="14.5" style="1" customWidth="1"/>
    <col min="2064" max="2064" width="3" style="1" customWidth="1"/>
    <col min="2065" max="2065" width="6.125" style="1" customWidth="1"/>
    <col min="2066" max="2066" width="9.625" style="1" customWidth="1"/>
    <col min="2067" max="2067" width="5.375" style="1" customWidth="1"/>
    <col min="2068" max="2068" width="2.625" style="1" customWidth="1"/>
    <col min="2069" max="2069" width="4.875" style="1" customWidth="1"/>
    <col min="2070" max="2070" width="3" style="1" customWidth="1"/>
    <col min="2071" max="2071" width="8" style="1" customWidth="1"/>
    <col min="2072" max="2072" width="9.625" style="1" customWidth="1"/>
    <col min="2073" max="2073" width="5.875" style="1" customWidth="1"/>
    <col min="2074" max="2074" width="3" style="1" customWidth="1"/>
    <col min="2075" max="2075" width="4.875" style="1" customWidth="1"/>
    <col min="2076" max="2076" width="2.125" style="1" customWidth="1"/>
    <col min="2077" max="2079" width="9.625" style="1" customWidth="1"/>
    <col min="2080" max="2080" width="8.375" style="1" customWidth="1"/>
    <col min="2081" max="2081" width="0.125" style="1" customWidth="1"/>
    <col min="2082" max="2082" width="0" style="1" hidden="1" customWidth="1"/>
    <col min="2083" max="2083" width="0.125" style="1" customWidth="1"/>
    <col min="2084" max="2084" width="0.875" style="1" customWidth="1"/>
    <col min="2085" max="2085" width="7.625" style="1" bestFit="1" customWidth="1"/>
    <col min="2086" max="2305" width="11" style="1"/>
    <col min="2306" max="2306" width="46.5" style="1" customWidth="1"/>
    <col min="2307" max="2312" width="12.375" style="1" bestFit="1" customWidth="1"/>
    <col min="2313" max="2315" width="12.375" style="1" customWidth="1"/>
    <col min="2316" max="2316" width="13.375" style="1" bestFit="1" customWidth="1"/>
    <col min="2317" max="2317" width="14.125" style="1" bestFit="1" customWidth="1"/>
    <col min="2318" max="2318" width="3" style="1" customWidth="1"/>
    <col min="2319" max="2319" width="14.5" style="1" customWidth="1"/>
    <col min="2320" max="2320" width="3" style="1" customWidth="1"/>
    <col min="2321" max="2321" width="6.125" style="1" customWidth="1"/>
    <col min="2322" max="2322" width="9.625" style="1" customWidth="1"/>
    <col min="2323" max="2323" width="5.375" style="1" customWidth="1"/>
    <col min="2324" max="2324" width="2.625" style="1" customWidth="1"/>
    <col min="2325" max="2325" width="4.875" style="1" customWidth="1"/>
    <col min="2326" max="2326" width="3" style="1" customWidth="1"/>
    <col min="2327" max="2327" width="8" style="1" customWidth="1"/>
    <col min="2328" max="2328" width="9.625" style="1" customWidth="1"/>
    <col min="2329" max="2329" width="5.875" style="1" customWidth="1"/>
    <col min="2330" max="2330" width="3" style="1" customWidth="1"/>
    <col min="2331" max="2331" width="4.875" style="1" customWidth="1"/>
    <col min="2332" max="2332" width="2.125" style="1" customWidth="1"/>
    <col min="2333" max="2335" width="9.625" style="1" customWidth="1"/>
    <col min="2336" max="2336" width="8.375" style="1" customWidth="1"/>
    <col min="2337" max="2337" width="0.125" style="1" customWidth="1"/>
    <col min="2338" max="2338" width="0" style="1" hidden="1" customWidth="1"/>
    <col min="2339" max="2339" width="0.125" style="1" customWidth="1"/>
    <col min="2340" max="2340" width="0.875" style="1" customWidth="1"/>
    <col min="2341" max="2341" width="7.625" style="1" bestFit="1" customWidth="1"/>
    <col min="2342" max="2561" width="11" style="1"/>
    <col min="2562" max="2562" width="46.5" style="1" customWidth="1"/>
    <col min="2563" max="2568" width="12.375" style="1" bestFit="1" customWidth="1"/>
    <col min="2569" max="2571" width="12.375" style="1" customWidth="1"/>
    <col min="2572" max="2572" width="13.375" style="1" bestFit="1" customWidth="1"/>
    <col min="2573" max="2573" width="14.125" style="1" bestFit="1" customWidth="1"/>
    <col min="2574" max="2574" width="3" style="1" customWidth="1"/>
    <col min="2575" max="2575" width="14.5" style="1" customWidth="1"/>
    <col min="2576" max="2576" width="3" style="1" customWidth="1"/>
    <col min="2577" max="2577" width="6.125" style="1" customWidth="1"/>
    <col min="2578" max="2578" width="9.625" style="1" customWidth="1"/>
    <col min="2579" max="2579" width="5.375" style="1" customWidth="1"/>
    <col min="2580" max="2580" width="2.625" style="1" customWidth="1"/>
    <col min="2581" max="2581" width="4.875" style="1" customWidth="1"/>
    <col min="2582" max="2582" width="3" style="1" customWidth="1"/>
    <col min="2583" max="2583" width="8" style="1" customWidth="1"/>
    <col min="2584" max="2584" width="9.625" style="1" customWidth="1"/>
    <col min="2585" max="2585" width="5.875" style="1" customWidth="1"/>
    <col min="2586" max="2586" width="3" style="1" customWidth="1"/>
    <col min="2587" max="2587" width="4.875" style="1" customWidth="1"/>
    <col min="2588" max="2588" width="2.125" style="1" customWidth="1"/>
    <col min="2589" max="2591" width="9.625" style="1" customWidth="1"/>
    <col min="2592" max="2592" width="8.375" style="1" customWidth="1"/>
    <col min="2593" max="2593" width="0.125" style="1" customWidth="1"/>
    <col min="2594" max="2594" width="0" style="1" hidden="1" customWidth="1"/>
    <col min="2595" max="2595" width="0.125" style="1" customWidth="1"/>
    <col min="2596" max="2596" width="0.875" style="1" customWidth="1"/>
    <col min="2597" max="2597" width="7.625" style="1" bestFit="1" customWidth="1"/>
    <col min="2598" max="2817" width="11" style="1"/>
    <col min="2818" max="2818" width="46.5" style="1" customWidth="1"/>
    <col min="2819" max="2824" width="12.375" style="1" bestFit="1" customWidth="1"/>
    <col min="2825" max="2827" width="12.375" style="1" customWidth="1"/>
    <col min="2828" max="2828" width="13.375" style="1" bestFit="1" customWidth="1"/>
    <col min="2829" max="2829" width="14.125" style="1" bestFit="1" customWidth="1"/>
    <col min="2830" max="2830" width="3" style="1" customWidth="1"/>
    <col min="2831" max="2831" width="14.5" style="1" customWidth="1"/>
    <col min="2832" max="2832" width="3" style="1" customWidth="1"/>
    <col min="2833" max="2833" width="6.125" style="1" customWidth="1"/>
    <col min="2834" max="2834" width="9.625" style="1" customWidth="1"/>
    <col min="2835" max="2835" width="5.375" style="1" customWidth="1"/>
    <col min="2836" max="2836" width="2.625" style="1" customWidth="1"/>
    <col min="2837" max="2837" width="4.875" style="1" customWidth="1"/>
    <col min="2838" max="2838" width="3" style="1" customWidth="1"/>
    <col min="2839" max="2839" width="8" style="1" customWidth="1"/>
    <col min="2840" max="2840" width="9.625" style="1" customWidth="1"/>
    <col min="2841" max="2841" width="5.875" style="1" customWidth="1"/>
    <col min="2842" max="2842" width="3" style="1" customWidth="1"/>
    <col min="2843" max="2843" width="4.875" style="1" customWidth="1"/>
    <col min="2844" max="2844" width="2.125" style="1" customWidth="1"/>
    <col min="2845" max="2847" width="9.625" style="1" customWidth="1"/>
    <col min="2848" max="2848" width="8.375" style="1" customWidth="1"/>
    <col min="2849" max="2849" width="0.125" style="1" customWidth="1"/>
    <col min="2850" max="2850" width="0" style="1" hidden="1" customWidth="1"/>
    <col min="2851" max="2851" width="0.125" style="1" customWidth="1"/>
    <col min="2852" max="2852" width="0.875" style="1" customWidth="1"/>
    <col min="2853" max="2853" width="7.625" style="1" bestFit="1" customWidth="1"/>
    <col min="2854" max="3073" width="11" style="1"/>
    <col min="3074" max="3074" width="46.5" style="1" customWidth="1"/>
    <col min="3075" max="3080" width="12.375" style="1" bestFit="1" customWidth="1"/>
    <col min="3081" max="3083" width="12.375" style="1" customWidth="1"/>
    <col min="3084" max="3084" width="13.375" style="1" bestFit="1" customWidth="1"/>
    <col min="3085" max="3085" width="14.125" style="1" bestFit="1" customWidth="1"/>
    <col min="3086" max="3086" width="3" style="1" customWidth="1"/>
    <col min="3087" max="3087" width="14.5" style="1" customWidth="1"/>
    <col min="3088" max="3088" width="3" style="1" customWidth="1"/>
    <col min="3089" max="3089" width="6.125" style="1" customWidth="1"/>
    <col min="3090" max="3090" width="9.625" style="1" customWidth="1"/>
    <col min="3091" max="3091" width="5.375" style="1" customWidth="1"/>
    <col min="3092" max="3092" width="2.625" style="1" customWidth="1"/>
    <col min="3093" max="3093" width="4.875" style="1" customWidth="1"/>
    <col min="3094" max="3094" width="3" style="1" customWidth="1"/>
    <col min="3095" max="3095" width="8" style="1" customWidth="1"/>
    <col min="3096" max="3096" width="9.625" style="1" customWidth="1"/>
    <col min="3097" max="3097" width="5.875" style="1" customWidth="1"/>
    <col min="3098" max="3098" width="3" style="1" customWidth="1"/>
    <col min="3099" max="3099" width="4.875" style="1" customWidth="1"/>
    <col min="3100" max="3100" width="2.125" style="1" customWidth="1"/>
    <col min="3101" max="3103" width="9.625" style="1" customWidth="1"/>
    <col min="3104" max="3104" width="8.375" style="1" customWidth="1"/>
    <col min="3105" max="3105" width="0.125" style="1" customWidth="1"/>
    <col min="3106" max="3106" width="0" style="1" hidden="1" customWidth="1"/>
    <col min="3107" max="3107" width="0.125" style="1" customWidth="1"/>
    <col min="3108" max="3108" width="0.875" style="1" customWidth="1"/>
    <col min="3109" max="3109" width="7.625" style="1" bestFit="1" customWidth="1"/>
    <col min="3110" max="3329" width="11" style="1"/>
    <col min="3330" max="3330" width="46.5" style="1" customWidth="1"/>
    <col min="3331" max="3336" width="12.375" style="1" bestFit="1" customWidth="1"/>
    <col min="3337" max="3339" width="12.375" style="1" customWidth="1"/>
    <col min="3340" max="3340" width="13.375" style="1" bestFit="1" customWidth="1"/>
    <col min="3341" max="3341" width="14.125" style="1" bestFit="1" customWidth="1"/>
    <col min="3342" max="3342" width="3" style="1" customWidth="1"/>
    <col min="3343" max="3343" width="14.5" style="1" customWidth="1"/>
    <col min="3344" max="3344" width="3" style="1" customWidth="1"/>
    <col min="3345" max="3345" width="6.125" style="1" customWidth="1"/>
    <col min="3346" max="3346" width="9.625" style="1" customWidth="1"/>
    <col min="3347" max="3347" width="5.375" style="1" customWidth="1"/>
    <col min="3348" max="3348" width="2.625" style="1" customWidth="1"/>
    <col min="3349" max="3349" width="4.875" style="1" customWidth="1"/>
    <col min="3350" max="3350" width="3" style="1" customWidth="1"/>
    <col min="3351" max="3351" width="8" style="1" customWidth="1"/>
    <col min="3352" max="3352" width="9.625" style="1" customWidth="1"/>
    <col min="3353" max="3353" width="5.875" style="1" customWidth="1"/>
    <col min="3354" max="3354" width="3" style="1" customWidth="1"/>
    <col min="3355" max="3355" width="4.875" style="1" customWidth="1"/>
    <col min="3356" max="3356" width="2.125" style="1" customWidth="1"/>
    <col min="3357" max="3359" width="9.625" style="1" customWidth="1"/>
    <col min="3360" max="3360" width="8.375" style="1" customWidth="1"/>
    <col min="3361" max="3361" width="0.125" style="1" customWidth="1"/>
    <col min="3362" max="3362" width="0" style="1" hidden="1" customWidth="1"/>
    <col min="3363" max="3363" width="0.125" style="1" customWidth="1"/>
    <col min="3364" max="3364" width="0.875" style="1" customWidth="1"/>
    <col min="3365" max="3365" width="7.625" style="1" bestFit="1" customWidth="1"/>
    <col min="3366" max="3585" width="11" style="1"/>
    <col min="3586" max="3586" width="46.5" style="1" customWidth="1"/>
    <col min="3587" max="3592" width="12.375" style="1" bestFit="1" customWidth="1"/>
    <col min="3593" max="3595" width="12.375" style="1" customWidth="1"/>
    <col min="3596" max="3596" width="13.375" style="1" bestFit="1" customWidth="1"/>
    <col min="3597" max="3597" width="14.125" style="1" bestFit="1" customWidth="1"/>
    <col min="3598" max="3598" width="3" style="1" customWidth="1"/>
    <col min="3599" max="3599" width="14.5" style="1" customWidth="1"/>
    <col min="3600" max="3600" width="3" style="1" customWidth="1"/>
    <col min="3601" max="3601" width="6.125" style="1" customWidth="1"/>
    <col min="3602" max="3602" width="9.625" style="1" customWidth="1"/>
    <col min="3603" max="3603" width="5.375" style="1" customWidth="1"/>
    <col min="3604" max="3604" width="2.625" style="1" customWidth="1"/>
    <col min="3605" max="3605" width="4.875" style="1" customWidth="1"/>
    <col min="3606" max="3606" width="3" style="1" customWidth="1"/>
    <col min="3607" max="3607" width="8" style="1" customWidth="1"/>
    <col min="3608" max="3608" width="9.625" style="1" customWidth="1"/>
    <col min="3609" max="3609" width="5.875" style="1" customWidth="1"/>
    <col min="3610" max="3610" width="3" style="1" customWidth="1"/>
    <col min="3611" max="3611" width="4.875" style="1" customWidth="1"/>
    <col min="3612" max="3612" width="2.125" style="1" customWidth="1"/>
    <col min="3613" max="3615" width="9.625" style="1" customWidth="1"/>
    <col min="3616" max="3616" width="8.375" style="1" customWidth="1"/>
    <col min="3617" max="3617" width="0.125" style="1" customWidth="1"/>
    <col min="3618" max="3618" width="0" style="1" hidden="1" customWidth="1"/>
    <col min="3619" max="3619" width="0.125" style="1" customWidth="1"/>
    <col min="3620" max="3620" width="0.875" style="1" customWidth="1"/>
    <col min="3621" max="3621" width="7.625" style="1" bestFit="1" customWidth="1"/>
    <col min="3622" max="3841" width="11" style="1"/>
    <col min="3842" max="3842" width="46.5" style="1" customWidth="1"/>
    <col min="3843" max="3848" width="12.375" style="1" bestFit="1" customWidth="1"/>
    <col min="3849" max="3851" width="12.375" style="1" customWidth="1"/>
    <col min="3852" max="3852" width="13.375" style="1" bestFit="1" customWidth="1"/>
    <col min="3853" max="3853" width="14.125" style="1" bestFit="1" customWidth="1"/>
    <col min="3854" max="3854" width="3" style="1" customWidth="1"/>
    <col min="3855" max="3855" width="14.5" style="1" customWidth="1"/>
    <col min="3856" max="3856" width="3" style="1" customWidth="1"/>
    <col min="3857" max="3857" width="6.125" style="1" customWidth="1"/>
    <col min="3858" max="3858" width="9.625" style="1" customWidth="1"/>
    <col min="3859" max="3859" width="5.375" style="1" customWidth="1"/>
    <col min="3860" max="3860" width="2.625" style="1" customWidth="1"/>
    <col min="3861" max="3861" width="4.875" style="1" customWidth="1"/>
    <col min="3862" max="3862" width="3" style="1" customWidth="1"/>
    <col min="3863" max="3863" width="8" style="1" customWidth="1"/>
    <col min="3864" max="3864" width="9.625" style="1" customWidth="1"/>
    <col min="3865" max="3865" width="5.875" style="1" customWidth="1"/>
    <col min="3866" max="3866" width="3" style="1" customWidth="1"/>
    <col min="3867" max="3867" width="4.875" style="1" customWidth="1"/>
    <col min="3868" max="3868" width="2.125" style="1" customWidth="1"/>
    <col min="3869" max="3871" width="9.625" style="1" customWidth="1"/>
    <col min="3872" max="3872" width="8.375" style="1" customWidth="1"/>
    <col min="3873" max="3873" width="0.125" style="1" customWidth="1"/>
    <col min="3874" max="3874" width="0" style="1" hidden="1" customWidth="1"/>
    <col min="3875" max="3875" width="0.125" style="1" customWidth="1"/>
    <col min="3876" max="3876" width="0.875" style="1" customWidth="1"/>
    <col min="3877" max="3877" width="7.625" style="1" bestFit="1" customWidth="1"/>
    <col min="3878" max="4097" width="11" style="1"/>
    <col min="4098" max="4098" width="46.5" style="1" customWidth="1"/>
    <col min="4099" max="4104" width="12.375" style="1" bestFit="1" customWidth="1"/>
    <col min="4105" max="4107" width="12.375" style="1" customWidth="1"/>
    <col min="4108" max="4108" width="13.375" style="1" bestFit="1" customWidth="1"/>
    <col min="4109" max="4109" width="14.125" style="1" bestFit="1" customWidth="1"/>
    <col min="4110" max="4110" width="3" style="1" customWidth="1"/>
    <col min="4111" max="4111" width="14.5" style="1" customWidth="1"/>
    <col min="4112" max="4112" width="3" style="1" customWidth="1"/>
    <col min="4113" max="4113" width="6.125" style="1" customWidth="1"/>
    <col min="4114" max="4114" width="9.625" style="1" customWidth="1"/>
    <col min="4115" max="4115" width="5.375" style="1" customWidth="1"/>
    <col min="4116" max="4116" width="2.625" style="1" customWidth="1"/>
    <col min="4117" max="4117" width="4.875" style="1" customWidth="1"/>
    <col min="4118" max="4118" width="3" style="1" customWidth="1"/>
    <col min="4119" max="4119" width="8" style="1" customWidth="1"/>
    <col min="4120" max="4120" width="9.625" style="1" customWidth="1"/>
    <col min="4121" max="4121" width="5.875" style="1" customWidth="1"/>
    <col min="4122" max="4122" width="3" style="1" customWidth="1"/>
    <col min="4123" max="4123" width="4.875" style="1" customWidth="1"/>
    <col min="4124" max="4124" width="2.125" style="1" customWidth="1"/>
    <col min="4125" max="4127" width="9.625" style="1" customWidth="1"/>
    <col min="4128" max="4128" width="8.375" style="1" customWidth="1"/>
    <col min="4129" max="4129" width="0.125" style="1" customWidth="1"/>
    <col min="4130" max="4130" width="0" style="1" hidden="1" customWidth="1"/>
    <col min="4131" max="4131" width="0.125" style="1" customWidth="1"/>
    <col min="4132" max="4132" width="0.875" style="1" customWidth="1"/>
    <col min="4133" max="4133" width="7.625" style="1" bestFit="1" customWidth="1"/>
    <col min="4134" max="4353" width="11" style="1"/>
    <col min="4354" max="4354" width="46.5" style="1" customWidth="1"/>
    <col min="4355" max="4360" width="12.375" style="1" bestFit="1" customWidth="1"/>
    <col min="4361" max="4363" width="12.375" style="1" customWidth="1"/>
    <col min="4364" max="4364" width="13.375" style="1" bestFit="1" customWidth="1"/>
    <col min="4365" max="4365" width="14.125" style="1" bestFit="1" customWidth="1"/>
    <col min="4366" max="4366" width="3" style="1" customWidth="1"/>
    <col min="4367" max="4367" width="14.5" style="1" customWidth="1"/>
    <col min="4368" max="4368" width="3" style="1" customWidth="1"/>
    <col min="4369" max="4369" width="6.125" style="1" customWidth="1"/>
    <col min="4370" max="4370" width="9.625" style="1" customWidth="1"/>
    <col min="4371" max="4371" width="5.375" style="1" customWidth="1"/>
    <col min="4372" max="4372" width="2.625" style="1" customWidth="1"/>
    <col min="4373" max="4373" width="4.875" style="1" customWidth="1"/>
    <col min="4374" max="4374" width="3" style="1" customWidth="1"/>
    <col min="4375" max="4375" width="8" style="1" customWidth="1"/>
    <col min="4376" max="4376" width="9.625" style="1" customWidth="1"/>
    <col min="4377" max="4377" width="5.875" style="1" customWidth="1"/>
    <col min="4378" max="4378" width="3" style="1" customWidth="1"/>
    <col min="4379" max="4379" width="4.875" style="1" customWidth="1"/>
    <col min="4380" max="4380" width="2.125" style="1" customWidth="1"/>
    <col min="4381" max="4383" width="9.625" style="1" customWidth="1"/>
    <col min="4384" max="4384" width="8.375" style="1" customWidth="1"/>
    <col min="4385" max="4385" width="0.125" style="1" customWidth="1"/>
    <col min="4386" max="4386" width="0" style="1" hidden="1" customWidth="1"/>
    <col min="4387" max="4387" width="0.125" style="1" customWidth="1"/>
    <col min="4388" max="4388" width="0.875" style="1" customWidth="1"/>
    <col min="4389" max="4389" width="7.625" style="1" bestFit="1" customWidth="1"/>
    <col min="4390" max="4609" width="11" style="1"/>
    <col min="4610" max="4610" width="46.5" style="1" customWidth="1"/>
    <col min="4611" max="4616" width="12.375" style="1" bestFit="1" customWidth="1"/>
    <col min="4617" max="4619" width="12.375" style="1" customWidth="1"/>
    <col min="4620" max="4620" width="13.375" style="1" bestFit="1" customWidth="1"/>
    <col min="4621" max="4621" width="14.125" style="1" bestFit="1" customWidth="1"/>
    <col min="4622" max="4622" width="3" style="1" customWidth="1"/>
    <col min="4623" max="4623" width="14.5" style="1" customWidth="1"/>
    <col min="4624" max="4624" width="3" style="1" customWidth="1"/>
    <col min="4625" max="4625" width="6.125" style="1" customWidth="1"/>
    <col min="4626" max="4626" width="9.625" style="1" customWidth="1"/>
    <col min="4627" max="4627" width="5.375" style="1" customWidth="1"/>
    <col min="4628" max="4628" width="2.625" style="1" customWidth="1"/>
    <col min="4629" max="4629" width="4.875" style="1" customWidth="1"/>
    <col min="4630" max="4630" width="3" style="1" customWidth="1"/>
    <col min="4631" max="4631" width="8" style="1" customWidth="1"/>
    <col min="4632" max="4632" width="9.625" style="1" customWidth="1"/>
    <col min="4633" max="4633" width="5.875" style="1" customWidth="1"/>
    <col min="4634" max="4634" width="3" style="1" customWidth="1"/>
    <col min="4635" max="4635" width="4.875" style="1" customWidth="1"/>
    <col min="4636" max="4636" width="2.125" style="1" customWidth="1"/>
    <col min="4637" max="4639" width="9.625" style="1" customWidth="1"/>
    <col min="4640" max="4640" width="8.375" style="1" customWidth="1"/>
    <col min="4641" max="4641" width="0.125" style="1" customWidth="1"/>
    <col min="4642" max="4642" width="0" style="1" hidden="1" customWidth="1"/>
    <col min="4643" max="4643" width="0.125" style="1" customWidth="1"/>
    <col min="4644" max="4644" width="0.875" style="1" customWidth="1"/>
    <col min="4645" max="4645" width="7.625" style="1" bestFit="1" customWidth="1"/>
    <col min="4646" max="4865" width="11" style="1"/>
    <col min="4866" max="4866" width="46.5" style="1" customWidth="1"/>
    <col min="4867" max="4872" width="12.375" style="1" bestFit="1" customWidth="1"/>
    <col min="4873" max="4875" width="12.375" style="1" customWidth="1"/>
    <col min="4876" max="4876" width="13.375" style="1" bestFit="1" customWidth="1"/>
    <col min="4877" max="4877" width="14.125" style="1" bestFit="1" customWidth="1"/>
    <col min="4878" max="4878" width="3" style="1" customWidth="1"/>
    <col min="4879" max="4879" width="14.5" style="1" customWidth="1"/>
    <col min="4880" max="4880" width="3" style="1" customWidth="1"/>
    <col min="4881" max="4881" width="6.125" style="1" customWidth="1"/>
    <col min="4882" max="4882" width="9.625" style="1" customWidth="1"/>
    <col min="4883" max="4883" width="5.375" style="1" customWidth="1"/>
    <col min="4884" max="4884" width="2.625" style="1" customWidth="1"/>
    <col min="4885" max="4885" width="4.875" style="1" customWidth="1"/>
    <col min="4886" max="4886" width="3" style="1" customWidth="1"/>
    <col min="4887" max="4887" width="8" style="1" customWidth="1"/>
    <col min="4888" max="4888" width="9.625" style="1" customWidth="1"/>
    <col min="4889" max="4889" width="5.875" style="1" customWidth="1"/>
    <col min="4890" max="4890" width="3" style="1" customWidth="1"/>
    <col min="4891" max="4891" width="4.875" style="1" customWidth="1"/>
    <col min="4892" max="4892" width="2.125" style="1" customWidth="1"/>
    <col min="4893" max="4895" width="9.625" style="1" customWidth="1"/>
    <col min="4896" max="4896" width="8.375" style="1" customWidth="1"/>
    <col min="4897" max="4897" width="0.125" style="1" customWidth="1"/>
    <col min="4898" max="4898" width="0" style="1" hidden="1" customWidth="1"/>
    <col min="4899" max="4899" width="0.125" style="1" customWidth="1"/>
    <col min="4900" max="4900" width="0.875" style="1" customWidth="1"/>
    <col min="4901" max="4901" width="7.625" style="1" bestFit="1" customWidth="1"/>
    <col min="4902" max="5121" width="11" style="1"/>
    <col min="5122" max="5122" width="46.5" style="1" customWidth="1"/>
    <col min="5123" max="5128" width="12.375" style="1" bestFit="1" customWidth="1"/>
    <col min="5129" max="5131" width="12.375" style="1" customWidth="1"/>
    <col min="5132" max="5132" width="13.375" style="1" bestFit="1" customWidth="1"/>
    <col min="5133" max="5133" width="14.125" style="1" bestFit="1" customWidth="1"/>
    <col min="5134" max="5134" width="3" style="1" customWidth="1"/>
    <col min="5135" max="5135" width="14.5" style="1" customWidth="1"/>
    <col min="5136" max="5136" width="3" style="1" customWidth="1"/>
    <col min="5137" max="5137" width="6.125" style="1" customWidth="1"/>
    <col min="5138" max="5138" width="9.625" style="1" customWidth="1"/>
    <col min="5139" max="5139" width="5.375" style="1" customWidth="1"/>
    <col min="5140" max="5140" width="2.625" style="1" customWidth="1"/>
    <col min="5141" max="5141" width="4.875" style="1" customWidth="1"/>
    <col min="5142" max="5142" width="3" style="1" customWidth="1"/>
    <col min="5143" max="5143" width="8" style="1" customWidth="1"/>
    <col min="5144" max="5144" width="9.625" style="1" customWidth="1"/>
    <col min="5145" max="5145" width="5.875" style="1" customWidth="1"/>
    <col min="5146" max="5146" width="3" style="1" customWidth="1"/>
    <col min="5147" max="5147" width="4.875" style="1" customWidth="1"/>
    <col min="5148" max="5148" width="2.125" style="1" customWidth="1"/>
    <col min="5149" max="5151" width="9.625" style="1" customWidth="1"/>
    <col min="5152" max="5152" width="8.375" style="1" customWidth="1"/>
    <col min="5153" max="5153" width="0.125" style="1" customWidth="1"/>
    <col min="5154" max="5154" width="0" style="1" hidden="1" customWidth="1"/>
    <col min="5155" max="5155" width="0.125" style="1" customWidth="1"/>
    <col min="5156" max="5156" width="0.875" style="1" customWidth="1"/>
    <col min="5157" max="5157" width="7.625" style="1" bestFit="1" customWidth="1"/>
    <col min="5158" max="5377" width="11" style="1"/>
    <col min="5378" max="5378" width="46.5" style="1" customWidth="1"/>
    <col min="5379" max="5384" width="12.375" style="1" bestFit="1" customWidth="1"/>
    <col min="5385" max="5387" width="12.375" style="1" customWidth="1"/>
    <col min="5388" max="5388" width="13.375" style="1" bestFit="1" customWidth="1"/>
    <col min="5389" max="5389" width="14.125" style="1" bestFit="1" customWidth="1"/>
    <col min="5390" max="5390" width="3" style="1" customWidth="1"/>
    <col min="5391" max="5391" width="14.5" style="1" customWidth="1"/>
    <col min="5392" max="5392" width="3" style="1" customWidth="1"/>
    <col min="5393" max="5393" width="6.125" style="1" customWidth="1"/>
    <col min="5394" max="5394" width="9.625" style="1" customWidth="1"/>
    <col min="5395" max="5395" width="5.375" style="1" customWidth="1"/>
    <col min="5396" max="5396" width="2.625" style="1" customWidth="1"/>
    <col min="5397" max="5397" width="4.875" style="1" customWidth="1"/>
    <col min="5398" max="5398" width="3" style="1" customWidth="1"/>
    <col min="5399" max="5399" width="8" style="1" customWidth="1"/>
    <col min="5400" max="5400" width="9.625" style="1" customWidth="1"/>
    <col min="5401" max="5401" width="5.875" style="1" customWidth="1"/>
    <col min="5402" max="5402" width="3" style="1" customWidth="1"/>
    <col min="5403" max="5403" width="4.875" style="1" customWidth="1"/>
    <col min="5404" max="5404" width="2.125" style="1" customWidth="1"/>
    <col min="5405" max="5407" width="9.625" style="1" customWidth="1"/>
    <col min="5408" max="5408" width="8.375" style="1" customWidth="1"/>
    <col min="5409" max="5409" width="0.125" style="1" customWidth="1"/>
    <col min="5410" max="5410" width="0" style="1" hidden="1" customWidth="1"/>
    <col min="5411" max="5411" width="0.125" style="1" customWidth="1"/>
    <col min="5412" max="5412" width="0.875" style="1" customWidth="1"/>
    <col min="5413" max="5413" width="7.625" style="1" bestFit="1" customWidth="1"/>
    <col min="5414" max="5633" width="11" style="1"/>
    <col min="5634" max="5634" width="46.5" style="1" customWidth="1"/>
    <col min="5635" max="5640" width="12.375" style="1" bestFit="1" customWidth="1"/>
    <col min="5641" max="5643" width="12.375" style="1" customWidth="1"/>
    <col min="5644" max="5644" width="13.375" style="1" bestFit="1" customWidth="1"/>
    <col min="5645" max="5645" width="14.125" style="1" bestFit="1" customWidth="1"/>
    <col min="5646" max="5646" width="3" style="1" customWidth="1"/>
    <col min="5647" max="5647" width="14.5" style="1" customWidth="1"/>
    <col min="5648" max="5648" width="3" style="1" customWidth="1"/>
    <col min="5649" max="5649" width="6.125" style="1" customWidth="1"/>
    <col min="5650" max="5650" width="9.625" style="1" customWidth="1"/>
    <col min="5651" max="5651" width="5.375" style="1" customWidth="1"/>
    <col min="5652" max="5652" width="2.625" style="1" customWidth="1"/>
    <col min="5653" max="5653" width="4.875" style="1" customWidth="1"/>
    <col min="5654" max="5654" width="3" style="1" customWidth="1"/>
    <col min="5655" max="5655" width="8" style="1" customWidth="1"/>
    <col min="5656" max="5656" width="9.625" style="1" customWidth="1"/>
    <col min="5657" max="5657" width="5.875" style="1" customWidth="1"/>
    <col min="5658" max="5658" width="3" style="1" customWidth="1"/>
    <col min="5659" max="5659" width="4.875" style="1" customWidth="1"/>
    <col min="5660" max="5660" width="2.125" style="1" customWidth="1"/>
    <col min="5661" max="5663" width="9.625" style="1" customWidth="1"/>
    <col min="5664" max="5664" width="8.375" style="1" customWidth="1"/>
    <col min="5665" max="5665" width="0.125" style="1" customWidth="1"/>
    <col min="5666" max="5666" width="0" style="1" hidden="1" customWidth="1"/>
    <col min="5667" max="5667" width="0.125" style="1" customWidth="1"/>
    <col min="5668" max="5668" width="0.875" style="1" customWidth="1"/>
    <col min="5669" max="5669" width="7.625" style="1" bestFit="1" customWidth="1"/>
    <col min="5670" max="5889" width="11" style="1"/>
    <col min="5890" max="5890" width="46.5" style="1" customWidth="1"/>
    <col min="5891" max="5896" width="12.375" style="1" bestFit="1" customWidth="1"/>
    <col min="5897" max="5899" width="12.375" style="1" customWidth="1"/>
    <col min="5900" max="5900" width="13.375" style="1" bestFit="1" customWidth="1"/>
    <col min="5901" max="5901" width="14.125" style="1" bestFit="1" customWidth="1"/>
    <col min="5902" max="5902" width="3" style="1" customWidth="1"/>
    <col min="5903" max="5903" width="14.5" style="1" customWidth="1"/>
    <col min="5904" max="5904" width="3" style="1" customWidth="1"/>
    <col min="5905" max="5905" width="6.125" style="1" customWidth="1"/>
    <col min="5906" max="5906" width="9.625" style="1" customWidth="1"/>
    <col min="5907" max="5907" width="5.375" style="1" customWidth="1"/>
    <col min="5908" max="5908" width="2.625" style="1" customWidth="1"/>
    <col min="5909" max="5909" width="4.875" style="1" customWidth="1"/>
    <col min="5910" max="5910" width="3" style="1" customWidth="1"/>
    <col min="5911" max="5911" width="8" style="1" customWidth="1"/>
    <col min="5912" max="5912" width="9.625" style="1" customWidth="1"/>
    <col min="5913" max="5913" width="5.875" style="1" customWidth="1"/>
    <col min="5914" max="5914" width="3" style="1" customWidth="1"/>
    <col min="5915" max="5915" width="4.875" style="1" customWidth="1"/>
    <col min="5916" max="5916" width="2.125" style="1" customWidth="1"/>
    <col min="5917" max="5919" width="9.625" style="1" customWidth="1"/>
    <col min="5920" max="5920" width="8.375" style="1" customWidth="1"/>
    <col min="5921" max="5921" width="0.125" style="1" customWidth="1"/>
    <col min="5922" max="5922" width="0" style="1" hidden="1" customWidth="1"/>
    <col min="5923" max="5923" width="0.125" style="1" customWidth="1"/>
    <col min="5924" max="5924" width="0.875" style="1" customWidth="1"/>
    <col min="5925" max="5925" width="7.625" style="1" bestFit="1" customWidth="1"/>
    <col min="5926" max="6145" width="11" style="1"/>
    <col min="6146" max="6146" width="46.5" style="1" customWidth="1"/>
    <col min="6147" max="6152" width="12.375" style="1" bestFit="1" customWidth="1"/>
    <col min="6153" max="6155" width="12.375" style="1" customWidth="1"/>
    <col min="6156" max="6156" width="13.375" style="1" bestFit="1" customWidth="1"/>
    <col min="6157" max="6157" width="14.125" style="1" bestFit="1" customWidth="1"/>
    <col min="6158" max="6158" width="3" style="1" customWidth="1"/>
    <col min="6159" max="6159" width="14.5" style="1" customWidth="1"/>
    <col min="6160" max="6160" width="3" style="1" customWidth="1"/>
    <col min="6161" max="6161" width="6.125" style="1" customWidth="1"/>
    <col min="6162" max="6162" width="9.625" style="1" customWidth="1"/>
    <col min="6163" max="6163" width="5.375" style="1" customWidth="1"/>
    <col min="6164" max="6164" width="2.625" style="1" customWidth="1"/>
    <col min="6165" max="6165" width="4.875" style="1" customWidth="1"/>
    <col min="6166" max="6166" width="3" style="1" customWidth="1"/>
    <col min="6167" max="6167" width="8" style="1" customWidth="1"/>
    <col min="6168" max="6168" width="9.625" style="1" customWidth="1"/>
    <col min="6169" max="6169" width="5.875" style="1" customWidth="1"/>
    <col min="6170" max="6170" width="3" style="1" customWidth="1"/>
    <col min="6171" max="6171" width="4.875" style="1" customWidth="1"/>
    <col min="6172" max="6172" width="2.125" style="1" customWidth="1"/>
    <col min="6173" max="6175" width="9.625" style="1" customWidth="1"/>
    <col min="6176" max="6176" width="8.375" style="1" customWidth="1"/>
    <col min="6177" max="6177" width="0.125" style="1" customWidth="1"/>
    <col min="6178" max="6178" width="0" style="1" hidden="1" customWidth="1"/>
    <col min="6179" max="6179" width="0.125" style="1" customWidth="1"/>
    <col min="6180" max="6180" width="0.875" style="1" customWidth="1"/>
    <col min="6181" max="6181" width="7.625" style="1" bestFit="1" customWidth="1"/>
    <col min="6182" max="6401" width="11" style="1"/>
    <col min="6402" max="6402" width="46.5" style="1" customWidth="1"/>
    <col min="6403" max="6408" width="12.375" style="1" bestFit="1" customWidth="1"/>
    <col min="6409" max="6411" width="12.375" style="1" customWidth="1"/>
    <col min="6412" max="6412" width="13.375" style="1" bestFit="1" customWidth="1"/>
    <col min="6413" max="6413" width="14.125" style="1" bestFit="1" customWidth="1"/>
    <col min="6414" max="6414" width="3" style="1" customWidth="1"/>
    <col min="6415" max="6415" width="14.5" style="1" customWidth="1"/>
    <col min="6416" max="6416" width="3" style="1" customWidth="1"/>
    <col min="6417" max="6417" width="6.125" style="1" customWidth="1"/>
    <col min="6418" max="6418" width="9.625" style="1" customWidth="1"/>
    <col min="6419" max="6419" width="5.375" style="1" customWidth="1"/>
    <col min="6420" max="6420" width="2.625" style="1" customWidth="1"/>
    <col min="6421" max="6421" width="4.875" style="1" customWidth="1"/>
    <col min="6422" max="6422" width="3" style="1" customWidth="1"/>
    <col min="6423" max="6423" width="8" style="1" customWidth="1"/>
    <col min="6424" max="6424" width="9.625" style="1" customWidth="1"/>
    <col min="6425" max="6425" width="5.875" style="1" customWidth="1"/>
    <col min="6426" max="6426" width="3" style="1" customWidth="1"/>
    <col min="6427" max="6427" width="4.875" style="1" customWidth="1"/>
    <col min="6428" max="6428" width="2.125" style="1" customWidth="1"/>
    <col min="6429" max="6431" width="9.625" style="1" customWidth="1"/>
    <col min="6432" max="6432" width="8.375" style="1" customWidth="1"/>
    <col min="6433" max="6433" width="0.125" style="1" customWidth="1"/>
    <col min="6434" max="6434" width="0" style="1" hidden="1" customWidth="1"/>
    <col min="6435" max="6435" width="0.125" style="1" customWidth="1"/>
    <col min="6436" max="6436" width="0.875" style="1" customWidth="1"/>
    <col min="6437" max="6437" width="7.625" style="1" bestFit="1" customWidth="1"/>
    <col min="6438" max="6657" width="11" style="1"/>
    <col min="6658" max="6658" width="46.5" style="1" customWidth="1"/>
    <col min="6659" max="6664" width="12.375" style="1" bestFit="1" customWidth="1"/>
    <col min="6665" max="6667" width="12.375" style="1" customWidth="1"/>
    <col min="6668" max="6668" width="13.375" style="1" bestFit="1" customWidth="1"/>
    <col min="6669" max="6669" width="14.125" style="1" bestFit="1" customWidth="1"/>
    <col min="6670" max="6670" width="3" style="1" customWidth="1"/>
    <col min="6671" max="6671" width="14.5" style="1" customWidth="1"/>
    <col min="6672" max="6672" width="3" style="1" customWidth="1"/>
    <col min="6673" max="6673" width="6.125" style="1" customWidth="1"/>
    <col min="6674" max="6674" width="9.625" style="1" customWidth="1"/>
    <col min="6675" max="6675" width="5.375" style="1" customWidth="1"/>
    <col min="6676" max="6676" width="2.625" style="1" customWidth="1"/>
    <col min="6677" max="6677" width="4.875" style="1" customWidth="1"/>
    <col min="6678" max="6678" width="3" style="1" customWidth="1"/>
    <col min="6679" max="6679" width="8" style="1" customWidth="1"/>
    <col min="6680" max="6680" width="9.625" style="1" customWidth="1"/>
    <col min="6681" max="6681" width="5.875" style="1" customWidth="1"/>
    <col min="6682" max="6682" width="3" style="1" customWidth="1"/>
    <col min="6683" max="6683" width="4.875" style="1" customWidth="1"/>
    <col min="6684" max="6684" width="2.125" style="1" customWidth="1"/>
    <col min="6685" max="6687" width="9.625" style="1" customWidth="1"/>
    <col min="6688" max="6688" width="8.375" style="1" customWidth="1"/>
    <col min="6689" max="6689" width="0.125" style="1" customWidth="1"/>
    <col min="6690" max="6690" width="0" style="1" hidden="1" customWidth="1"/>
    <col min="6691" max="6691" width="0.125" style="1" customWidth="1"/>
    <col min="6692" max="6692" width="0.875" style="1" customWidth="1"/>
    <col min="6693" max="6693" width="7.625" style="1" bestFit="1" customWidth="1"/>
    <col min="6694" max="6913" width="11" style="1"/>
    <col min="6914" max="6914" width="46.5" style="1" customWidth="1"/>
    <col min="6915" max="6920" width="12.375" style="1" bestFit="1" customWidth="1"/>
    <col min="6921" max="6923" width="12.375" style="1" customWidth="1"/>
    <col min="6924" max="6924" width="13.375" style="1" bestFit="1" customWidth="1"/>
    <col min="6925" max="6925" width="14.125" style="1" bestFit="1" customWidth="1"/>
    <col min="6926" max="6926" width="3" style="1" customWidth="1"/>
    <col min="6927" max="6927" width="14.5" style="1" customWidth="1"/>
    <col min="6928" max="6928" width="3" style="1" customWidth="1"/>
    <col min="6929" max="6929" width="6.125" style="1" customWidth="1"/>
    <col min="6930" max="6930" width="9.625" style="1" customWidth="1"/>
    <col min="6931" max="6931" width="5.375" style="1" customWidth="1"/>
    <col min="6932" max="6932" width="2.625" style="1" customWidth="1"/>
    <col min="6933" max="6933" width="4.875" style="1" customWidth="1"/>
    <col min="6934" max="6934" width="3" style="1" customWidth="1"/>
    <col min="6935" max="6935" width="8" style="1" customWidth="1"/>
    <col min="6936" max="6936" width="9.625" style="1" customWidth="1"/>
    <col min="6937" max="6937" width="5.875" style="1" customWidth="1"/>
    <col min="6938" max="6938" width="3" style="1" customWidth="1"/>
    <col min="6939" max="6939" width="4.875" style="1" customWidth="1"/>
    <col min="6940" max="6940" width="2.125" style="1" customWidth="1"/>
    <col min="6941" max="6943" width="9.625" style="1" customWidth="1"/>
    <col min="6944" max="6944" width="8.375" style="1" customWidth="1"/>
    <col min="6945" max="6945" width="0.125" style="1" customWidth="1"/>
    <col min="6946" max="6946" width="0" style="1" hidden="1" customWidth="1"/>
    <col min="6947" max="6947" width="0.125" style="1" customWidth="1"/>
    <col min="6948" max="6948" width="0.875" style="1" customWidth="1"/>
    <col min="6949" max="6949" width="7.625" style="1" bestFit="1" customWidth="1"/>
    <col min="6950" max="7169" width="11" style="1"/>
    <col min="7170" max="7170" width="46.5" style="1" customWidth="1"/>
    <col min="7171" max="7176" width="12.375" style="1" bestFit="1" customWidth="1"/>
    <col min="7177" max="7179" width="12.375" style="1" customWidth="1"/>
    <col min="7180" max="7180" width="13.375" style="1" bestFit="1" customWidth="1"/>
    <col min="7181" max="7181" width="14.125" style="1" bestFit="1" customWidth="1"/>
    <col min="7182" max="7182" width="3" style="1" customWidth="1"/>
    <col min="7183" max="7183" width="14.5" style="1" customWidth="1"/>
    <col min="7184" max="7184" width="3" style="1" customWidth="1"/>
    <col min="7185" max="7185" width="6.125" style="1" customWidth="1"/>
    <col min="7186" max="7186" width="9.625" style="1" customWidth="1"/>
    <col min="7187" max="7187" width="5.375" style="1" customWidth="1"/>
    <col min="7188" max="7188" width="2.625" style="1" customWidth="1"/>
    <col min="7189" max="7189" width="4.875" style="1" customWidth="1"/>
    <col min="7190" max="7190" width="3" style="1" customWidth="1"/>
    <col min="7191" max="7191" width="8" style="1" customWidth="1"/>
    <col min="7192" max="7192" width="9.625" style="1" customWidth="1"/>
    <col min="7193" max="7193" width="5.875" style="1" customWidth="1"/>
    <col min="7194" max="7194" width="3" style="1" customWidth="1"/>
    <col min="7195" max="7195" width="4.875" style="1" customWidth="1"/>
    <col min="7196" max="7196" width="2.125" style="1" customWidth="1"/>
    <col min="7197" max="7199" width="9.625" style="1" customWidth="1"/>
    <col min="7200" max="7200" width="8.375" style="1" customWidth="1"/>
    <col min="7201" max="7201" width="0.125" style="1" customWidth="1"/>
    <col min="7202" max="7202" width="0" style="1" hidden="1" customWidth="1"/>
    <col min="7203" max="7203" width="0.125" style="1" customWidth="1"/>
    <col min="7204" max="7204" width="0.875" style="1" customWidth="1"/>
    <col min="7205" max="7205" width="7.625" style="1" bestFit="1" customWidth="1"/>
    <col min="7206" max="7425" width="11" style="1"/>
    <col min="7426" max="7426" width="46.5" style="1" customWidth="1"/>
    <col min="7427" max="7432" width="12.375" style="1" bestFit="1" customWidth="1"/>
    <col min="7433" max="7435" width="12.375" style="1" customWidth="1"/>
    <col min="7436" max="7436" width="13.375" style="1" bestFit="1" customWidth="1"/>
    <col min="7437" max="7437" width="14.125" style="1" bestFit="1" customWidth="1"/>
    <col min="7438" max="7438" width="3" style="1" customWidth="1"/>
    <col min="7439" max="7439" width="14.5" style="1" customWidth="1"/>
    <col min="7440" max="7440" width="3" style="1" customWidth="1"/>
    <col min="7441" max="7441" width="6.125" style="1" customWidth="1"/>
    <col min="7442" max="7442" width="9.625" style="1" customWidth="1"/>
    <col min="7443" max="7443" width="5.375" style="1" customWidth="1"/>
    <col min="7444" max="7444" width="2.625" style="1" customWidth="1"/>
    <col min="7445" max="7445" width="4.875" style="1" customWidth="1"/>
    <col min="7446" max="7446" width="3" style="1" customWidth="1"/>
    <col min="7447" max="7447" width="8" style="1" customWidth="1"/>
    <col min="7448" max="7448" width="9.625" style="1" customWidth="1"/>
    <col min="7449" max="7449" width="5.875" style="1" customWidth="1"/>
    <col min="7450" max="7450" width="3" style="1" customWidth="1"/>
    <col min="7451" max="7451" width="4.875" style="1" customWidth="1"/>
    <col min="7452" max="7452" width="2.125" style="1" customWidth="1"/>
    <col min="7453" max="7455" width="9.625" style="1" customWidth="1"/>
    <col min="7456" max="7456" width="8.375" style="1" customWidth="1"/>
    <col min="7457" max="7457" width="0.125" style="1" customWidth="1"/>
    <col min="7458" max="7458" width="0" style="1" hidden="1" customWidth="1"/>
    <col min="7459" max="7459" width="0.125" style="1" customWidth="1"/>
    <col min="7460" max="7460" width="0.875" style="1" customWidth="1"/>
    <col min="7461" max="7461" width="7.625" style="1" bestFit="1" customWidth="1"/>
    <col min="7462" max="7681" width="11" style="1"/>
    <col min="7682" max="7682" width="46.5" style="1" customWidth="1"/>
    <col min="7683" max="7688" width="12.375" style="1" bestFit="1" customWidth="1"/>
    <col min="7689" max="7691" width="12.375" style="1" customWidth="1"/>
    <col min="7692" max="7692" width="13.375" style="1" bestFit="1" customWidth="1"/>
    <col min="7693" max="7693" width="14.125" style="1" bestFit="1" customWidth="1"/>
    <col min="7694" max="7694" width="3" style="1" customWidth="1"/>
    <col min="7695" max="7695" width="14.5" style="1" customWidth="1"/>
    <col min="7696" max="7696" width="3" style="1" customWidth="1"/>
    <col min="7697" max="7697" width="6.125" style="1" customWidth="1"/>
    <col min="7698" max="7698" width="9.625" style="1" customWidth="1"/>
    <col min="7699" max="7699" width="5.375" style="1" customWidth="1"/>
    <col min="7700" max="7700" width="2.625" style="1" customWidth="1"/>
    <col min="7701" max="7701" width="4.875" style="1" customWidth="1"/>
    <col min="7702" max="7702" width="3" style="1" customWidth="1"/>
    <col min="7703" max="7703" width="8" style="1" customWidth="1"/>
    <col min="7704" max="7704" width="9.625" style="1" customWidth="1"/>
    <col min="7705" max="7705" width="5.875" style="1" customWidth="1"/>
    <col min="7706" max="7706" width="3" style="1" customWidth="1"/>
    <col min="7707" max="7707" width="4.875" style="1" customWidth="1"/>
    <col min="7708" max="7708" width="2.125" style="1" customWidth="1"/>
    <col min="7709" max="7711" width="9.625" style="1" customWidth="1"/>
    <col min="7712" max="7712" width="8.375" style="1" customWidth="1"/>
    <col min="7713" max="7713" width="0.125" style="1" customWidth="1"/>
    <col min="7714" max="7714" width="0" style="1" hidden="1" customWidth="1"/>
    <col min="7715" max="7715" width="0.125" style="1" customWidth="1"/>
    <col min="7716" max="7716" width="0.875" style="1" customWidth="1"/>
    <col min="7717" max="7717" width="7.625" style="1" bestFit="1" customWidth="1"/>
    <col min="7718" max="7937" width="11" style="1"/>
    <col min="7938" max="7938" width="46.5" style="1" customWidth="1"/>
    <col min="7939" max="7944" width="12.375" style="1" bestFit="1" customWidth="1"/>
    <col min="7945" max="7947" width="12.375" style="1" customWidth="1"/>
    <col min="7948" max="7948" width="13.375" style="1" bestFit="1" customWidth="1"/>
    <col min="7949" max="7949" width="14.125" style="1" bestFit="1" customWidth="1"/>
    <col min="7950" max="7950" width="3" style="1" customWidth="1"/>
    <col min="7951" max="7951" width="14.5" style="1" customWidth="1"/>
    <col min="7952" max="7952" width="3" style="1" customWidth="1"/>
    <col min="7953" max="7953" width="6.125" style="1" customWidth="1"/>
    <col min="7954" max="7954" width="9.625" style="1" customWidth="1"/>
    <col min="7955" max="7955" width="5.375" style="1" customWidth="1"/>
    <col min="7956" max="7956" width="2.625" style="1" customWidth="1"/>
    <col min="7957" max="7957" width="4.875" style="1" customWidth="1"/>
    <col min="7958" max="7958" width="3" style="1" customWidth="1"/>
    <col min="7959" max="7959" width="8" style="1" customWidth="1"/>
    <col min="7960" max="7960" width="9.625" style="1" customWidth="1"/>
    <col min="7961" max="7961" width="5.875" style="1" customWidth="1"/>
    <col min="7962" max="7962" width="3" style="1" customWidth="1"/>
    <col min="7963" max="7963" width="4.875" style="1" customWidth="1"/>
    <col min="7964" max="7964" width="2.125" style="1" customWidth="1"/>
    <col min="7965" max="7967" width="9.625" style="1" customWidth="1"/>
    <col min="7968" max="7968" width="8.375" style="1" customWidth="1"/>
    <col min="7969" max="7969" width="0.125" style="1" customWidth="1"/>
    <col min="7970" max="7970" width="0" style="1" hidden="1" customWidth="1"/>
    <col min="7971" max="7971" width="0.125" style="1" customWidth="1"/>
    <col min="7972" max="7972" width="0.875" style="1" customWidth="1"/>
    <col min="7973" max="7973" width="7.625" style="1" bestFit="1" customWidth="1"/>
    <col min="7974" max="8193" width="11" style="1"/>
    <col min="8194" max="8194" width="46.5" style="1" customWidth="1"/>
    <col min="8195" max="8200" width="12.375" style="1" bestFit="1" customWidth="1"/>
    <col min="8201" max="8203" width="12.375" style="1" customWidth="1"/>
    <col min="8204" max="8204" width="13.375" style="1" bestFit="1" customWidth="1"/>
    <col min="8205" max="8205" width="14.125" style="1" bestFit="1" customWidth="1"/>
    <col min="8206" max="8206" width="3" style="1" customWidth="1"/>
    <col min="8207" max="8207" width="14.5" style="1" customWidth="1"/>
    <col min="8208" max="8208" width="3" style="1" customWidth="1"/>
    <col min="8209" max="8209" width="6.125" style="1" customWidth="1"/>
    <col min="8210" max="8210" width="9.625" style="1" customWidth="1"/>
    <col min="8211" max="8211" width="5.375" style="1" customWidth="1"/>
    <col min="8212" max="8212" width="2.625" style="1" customWidth="1"/>
    <col min="8213" max="8213" width="4.875" style="1" customWidth="1"/>
    <col min="8214" max="8214" width="3" style="1" customWidth="1"/>
    <col min="8215" max="8215" width="8" style="1" customWidth="1"/>
    <col min="8216" max="8216" width="9.625" style="1" customWidth="1"/>
    <col min="8217" max="8217" width="5.875" style="1" customWidth="1"/>
    <col min="8218" max="8218" width="3" style="1" customWidth="1"/>
    <col min="8219" max="8219" width="4.875" style="1" customWidth="1"/>
    <col min="8220" max="8220" width="2.125" style="1" customWidth="1"/>
    <col min="8221" max="8223" width="9.625" style="1" customWidth="1"/>
    <col min="8224" max="8224" width="8.375" style="1" customWidth="1"/>
    <col min="8225" max="8225" width="0.125" style="1" customWidth="1"/>
    <col min="8226" max="8226" width="0" style="1" hidden="1" customWidth="1"/>
    <col min="8227" max="8227" width="0.125" style="1" customWidth="1"/>
    <col min="8228" max="8228" width="0.875" style="1" customWidth="1"/>
    <col min="8229" max="8229" width="7.625" style="1" bestFit="1" customWidth="1"/>
    <col min="8230" max="8449" width="11" style="1"/>
    <col min="8450" max="8450" width="46.5" style="1" customWidth="1"/>
    <col min="8451" max="8456" width="12.375" style="1" bestFit="1" customWidth="1"/>
    <col min="8457" max="8459" width="12.375" style="1" customWidth="1"/>
    <col min="8460" max="8460" width="13.375" style="1" bestFit="1" customWidth="1"/>
    <col min="8461" max="8461" width="14.125" style="1" bestFit="1" customWidth="1"/>
    <col min="8462" max="8462" width="3" style="1" customWidth="1"/>
    <col min="8463" max="8463" width="14.5" style="1" customWidth="1"/>
    <col min="8464" max="8464" width="3" style="1" customWidth="1"/>
    <col min="8465" max="8465" width="6.125" style="1" customWidth="1"/>
    <col min="8466" max="8466" width="9.625" style="1" customWidth="1"/>
    <col min="8467" max="8467" width="5.375" style="1" customWidth="1"/>
    <col min="8468" max="8468" width="2.625" style="1" customWidth="1"/>
    <col min="8469" max="8469" width="4.875" style="1" customWidth="1"/>
    <col min="8470" max="8470" width="3" style="1" customWidth="1"/>
    <col min="8471" max="8471" width="8" style="1" customWidth="1"/>
    <col min="8472" max="8472" width="9.625" style="1" customWidth="1"/>
    <col min="8473" max="8473" width="5.875" style="1" customWidth="1"/>
    <col min="8474" max="8474" width="3" style="1" customWidth="1"/>
    <col min="8475" max="8475" width="4.875" style="1" customWidth="1"/>
    <col min="8476" max="8476" width="2.125" style="1" customWidth="1"/>
    <col min="8477" max="8479" width="9.625" style="1" customWidth="1"/>
    <col min="8480" max="8480" width="8.375" style="1" customWidth="1"/>
    <col min="8481" max="8481" width="0.125" style="1" customWidth="1"/>
    <col min="8482" max="8482" width="0" style="1" hidden="1" customWidth="1"/>
    <col min="8483" max="8483" width="0.125" style="1" customWidth="1"/>
    <col min="8484" max="8484" width="0.875" style="1" customWidth="1"/>
    <col min="8485" max="8485" width="7.625" style="1" bestFit="1" customWidth="1"/>
    <col min="8486" max="8705" width="11" style="1"/>
    <col min="8706" max="8706" width="46.5" style="1" customWidth="1"/>
    <col min="8707" max="8712" width="12.375" style="1" bestFit="1" customWidth="1"/>
    <col min="8713" max="8715" width="12.375" style="1" customWidth="1"/>
    <col min="8716" max="8716" width="13.375" style="1" bestFit="1" customWidth="1"/>
    <col min="8717" max="8717" width="14.125" style="1" bestFit="1" customWidth="1"/>
    <col min="8718" max="8718" width="3" style="1" customWidth="1"/>
    <col min="8719" max="8719" width="14.5" style="1" customWidth="1"/>
    <col min="8720" max="8720" width="3" style="1" customWidth="1"/>
    <col min="8721" max="8721" width="6.125" style="1" customWidth="1"/>
    <col min="8722" max="8722" width="9.625" style="1" customWidth="1"/>
    <col min="8723" max="8723" width="5.375" style="1" customWidth="1"/>
    <col min="8724" max="8724" width="2.625" style="1" customWidth="1"/>
    <col min="8725" max="8725" width="4.875" style="1" customWidth="1"/>
    <col min="8726" max="8726" width="3" style="1" customWidth="1"/>
    <col min="8727" max="8727" width="8" style="1" customWidth="1"/>
    <col min="8728" max="8728" width="9.625" style="1" customWidth="1"/>
    <col min="8729" max="8729" width="5.875" style="1" customWidth="1"/>
    <col min="8730" max="8730" width="3" style="1" customWidth="1"/>
    <col min="8731" max="8731" width="4.875" style="1" customWidth="1"/>
    <col min="8732" max="8732" width="2.125" style="1" customWidth="1"/>
    <col min="8733" max="8735" width="9.625" style="1" customWidth="1"/>
    <col min="8736" max="8736" width="8.375" style="1" customWidth="1"/>
    <col min="8737" max="8737" width="0.125" style="1" customWidth="1"/>
    <col min="8738" max="8738" width="0" style="1" hidden="1" customWidth="1"/>
    <col min="8739" max="8739" width="0.125" style="1" customWidth="1"/>
    <col min="8740" max="8740" width="0.875" style="1" customWidth="1"/>
    <col min="8741" max="8741" width="7.625" style="1" bestFit="1" customWidth="1"/>
    <col min="8742" max="8961" width="11" style="1"/>
    <col min="8962" max="8962" width="46.5" style="1" customWidth="1"/>
    <col min="8963" max="8968" width="12.375" style="1" bestFit="1" customWidth="1"/>
    <col min="8969" max="8971" width="12.375" style="1" customWidth="1"/>
    <col min="8972" max="8972" width="13.375" style="1" bestFit="1" customWidth="1"/>
    <col min="8973" max="8973" width="14.125" style="1" bestFit="1" customWidth="1"/>
    <col min="8974" max="8974" width="3" style="1" customWidth="1"/>
    <col min="8975" max="8975" width="14.5" style="1" customWidth="1"/>
    <col min="8976" max="8976" width="3" style="1" customWidth="1"/>
    <col min="8977" max="8977" width="6.125" style="1" customWidth="1"/>
    <col min="8978" max="8978" width="9.625" style="1" customWidth="1"/>
    <col min="8979" max="8979" width="5.375" style="1" customWidth="1"/>
    <col min="8980" max="8980" width="2.625" style="1" customWidth="1"/>
    <col min="8981" max="8981" width="4.875" style="1" customWidth="1"/>
    <col min="8982" max="8982" width="3" style="1" customWidth="1"/>
    <col min="8983" max="8983" width="8" style="1" customWidth="1"/>
    <col min="8984" max="8984" width="9.625" style="1" customWidth="1"/>
    <col min="8985" max="8985" width="5.875" style="1" customWidth="1"/>
    <col min="8986" max="8986" width="3" style="1" customWidth="1"/>
    <col min="8987" max="8987" width="4.875" style="1" customWidth="1"/>
    <col min="8988" max="8988" width="2.125" style="1" customWidth="1"/>
    <col min="8989" max="8991" width="9.625" style="1" customWidth="1"/>
    <col min="8992" max="8992" width="8.375" style="1" customWidth="1"/>
    <col min="8993" max="8993" width="0.125" style="1" customWidth="1"/>
    <col min="8994" max="8994" width="0" style="1" hidden="1" customWidth="1"/>
    <col min="8995" max="8995" width="0.125" style="1" customWidth="1"/>
    <col min="8996" max="8996" width="0.875" style="1" customWidth="1"/>
    <col min="8997" max="8997" width="7.625" style="1" bestFit="1" customWidth="1"/>
    <col min="8998" max="9217" width="11" style="1"/>
    <col min="9218" max="9218" width="46.5" style="1" customWidth="1"/>
    <col min="9219" max="9224" width="12.375" style="1" bestFit="1" customWidth="1"/>
    <col min="9225" max="9227" width="12.375" style="1" customWidth="1"/>
    <col min="9228" max="9228" width="13.375" style="1" bestFit="1" customWidth="1"/>
    <col min="9229" max="9229" width="14.125" style="1" bestFit="1" customWidth="1"/>
    <col min="9230" max="9230" width="3" style="1" customWidth="1"/>
    <col min="9231" max="9231" width="14.5" style="1" customWidth="1"/>
    <col min="9232" max="9232" width="3" style="1" customWidth="1"/>
    <col min="9233" max="9233" width="6.125" style="1" customWidth="1"/>
    <col min="9234" max="9234" width="9.625" style="1" customWidth="1"/>
    <col min="9235" max="9235" width="5.375" style="1" customWidth="1"/>
    <col min="9236" max="9236" width="2.625" style="1" customWidth="1"/>
    <col min="9237" max="9237" width="4.875" style="1" customWidth="1"/>
    <col min="9238" max="9238" width="3" style="1" customWidth="1"/>
    <col min="9239" max="9239" width="8" style="1" customWidth="1"/>
    <col min="9240" max="9240" width="9.625" style="1" customWidth="1"/>
    <col min="9241" max="9241" width="5.875" style="1" customWidth="1"/>
    <col min="9242" max="9242" width="3" style="1" customWidth="1"/>
    <col min="9243" max="9243" width="4.875" style="1" customWidth="1"/>
    <col min="9244" max="9244" width="2.125" style="1" customWidth="1"/>
    <col min="9245" max="9247" width="9.625" style="1" customWidth="1"/>
    <col min="9248" max="9248" width="8.375" style="1" customWidth="1"/>
    <col min="9249" max="9249" width="0.125" style="1" customWidth="1"/>
    <col min="9250" max="9250" width="0" style="1" hidden="1" customWidth="1"/>
    <col min="9251" max="9251" width="0.125" style="1" customWidth="1"/>
    <col min="9252" max="9252" width="0.875" style="1" customWidth="1"/>
    <col min="9253" max="9253" width="7.625" style="1" bestFit="1" customWidth="1"/>
    <col min="9254" max="9473" width="11" style="1"/>
    <col min="9474" max="9474" width="46.5" style="1" customWidth="1"/>
    <col min="9475" max="9480" width="12.375" style="1" bestFit="1" customWidth="1"/>
    <col min="9481" max="9483" width="12.375" style="1" customWidth="1"/>
    <col min="9484" max="9484" width="13.375" style="1" bestFit="1" customWidth="1"/>
    <col min="9485" max="9485" width="14.125" style="1" bestFit="1" customWidth="1"/>
    <col min="9486" max="9486" width="3" style="1" customWidth="1"/>
    <col min="9487" max="9487" width="14.5" style="1" customWidth="1"/>
    <col min="9488" max="9488" width="3" style="1" customWidth="1"/>
    <col min="9489" max="9489" width="6.125" style="1" customWidth="1"/>
    <col min="9490" max="9490" width="9.625" style="1" customWidth="1"/>
    <col min="9491" max="9491" width="5.375" style="1" customWidth="1"/>
    <col min="9492" max="9492" width="2.625" style="1" customWidth="1"/>
    <col min="9493" max="9493" width="4.875" style="1" customWidth="1"/>
    <col min="9494" max="9494" width="3" style="1" customWidth="1"/>
    <col min="9495" max="9495" width="8" style="1" customWidth="1"/>
    <col min="9496" max="9496" width="9.625" style="1" customWidth="1"/>
    <col min="9497" max="9497" width="5.875" style="1" customWidth="1"/>
    <col min="9498" max="9498" width="3" style="1" customWidth="1"/>
    <col min="9499" max="9499" width="4.875" style="1" customWidth="1"/>
    <col min="9500" max="9500" width="2.125" style="1" customWidth="1"/>
    <col min="9501" max="9503" width="9.625" style="1" customWidth="1"/>
    <col min="9504" max="9504" width="8.375" style="1" customWidth="1"/>
    <col min="9505" max="9505" width="0.125" style="1" customWidth="1"/>
    <col min="9506" max="9506" width="0" style="1" hidden="1" customWidth="1"/>
    <col min="9507" max="9507" width="0.125" style="1" customWidth="1"/>
    <col min="9508" max="9508" width="0.875" style="1" customWidth="1"/>
    <col min="9509" max="9509" width="7.625" style="1" bestFit="1" customWidth="1"/>
    <col min="9510" max="9729" width="11" style="1"/>
    <col min="9730" max="9730" width="46.5" style="1" customWidth="1"/>
    <col min="9731" max="9736" width="12.375" style="1" bestFit="1" customWidth="1"/>
    <col min="9737" max="9739" width="12.375" style="1" customWidth="1"/>
    <col min="9740" max="9740" width="13.375" style="1" bestFit="1" customWidth="1"/>
    <col min="9741" max="9741" width="14.125" style="1" bestFit="1" customWidth="1"/>
    <col min="9742" max="9742" width="3" style="1" customWidth="1"/>
    <col min="9743" max="9743" width="14.5" style="1" customWidth="1"/>
    <col min="9744" max="9744" width="3" style="1" customWidth="1"/>
    <col min="9745" max="9745" width="6.125" style="1" customWidth="1"/>
    <col min="9746" max="9746" width="9.625" style="1" customWidth="1"/>
    <col min="9747" max="9747" width="5.375" style="1" customWidth="1"/>
    <col min="9748" max="9748" width="2.625" style="1" customWidth="1"/>
    <col min="9749" max="9749" width="4.875" style="1" customWidth="1"/>
    <col min="9750" max="9750" width="3" style="1" customWidth="1"/>
    <col min="9751" max="9751" width="8" style="1" customWidth="1"/>
    <col min="9752" max="9752" width="9.625" style="1" customWidth="1"/>
    <col min="9753" max="9753" width="5.875" style="1" customWidth="1"/>
    <col min="9754" max="9754" width="3" style="1" customWidth="1"/>
    <col min="9755" max="9755" width="4.875" style="1" customWidth="1"/>
    <col min="9756" max="9756" width="2.125" style="1" customWidth="1"/>
    <col min="9757" max="9759" width="9.625" style="1" customWidth="1"/>
    <col min="9760" max="9760" width="8.375" style="1" customWidth="1"/>
    <col min="9761" max="9761" width="0.125" style="1" customWidth="1"/>
    <col min="9762" max="9762" width="0" style="1" hidden="1" customWidth="1"/>
    <col min="9763" max="9763" width="0.125" style="1" customWidth="1"/>
    <col min="9764" max="9764" width="0.875" style="1" customWidth="1"/>
    <col min="9765" max="9765" width="7.625" style="1" bestFit="1" customWidth="1"/>
    <col min="9766" max="9985" width="11" style="1"/>
    <col min="9986" max="9986" width="46.5" style="1" customWidth="1"/>
    <col min="9987" max="9992" width="12.375" style="1" bestFit="1" customWidth="1"/>
    <col min="9993" max="9995" width="12.375" style="1" customWidth="1"/>
    <col min="9996" max="9996" width="13.375" style="1" bestFit="1" customWidth="1"/>
    <col min="9997" max="9997" width="14.125" style="1" bestFit="1" customWidth="1"/>
    <col min="9998" max="9998" width="3" style="1" customWidth="1"/>
    <col min="9999" max="9999" width="14.5" style="1" customWidth="1"/>
    <col min="10000" max="10000" width="3" style="1" customWidth="1"/>
    <col min="10001" max="10001" width="6.125" style="1" customWidth="1"/>
    <col min="10002" max="10002" width="9.625" style="1" customWidth="1"/>
    <col min="10003" max="10003" width="5.375" style="1" customWidth="1"/>
    <col min="10004" max="10004" width="2.625" style="1" customWidth="1"/>
    <col min="10005" max="10005" width="4.875" style="1" customWidth="1"/>
    <col min="10006" max="10006" width="3" style="1" customWidth="1"/>
    <col min="10007" max="10007" width="8" style="1" customWidth="1"/>
    <col min="10008" max="10008" width="9.625" style="1" customWidth="1"/>
    <col min="10009" max="10009" width="5.875" style="1" customWidth="1"/>
    <col min="10010" max="10010" width="3" style="1" customWidth="1"/>
    <col min="10011" max="10011" width="4.875" style="1" customWidth="1"/>
    <col min="10012" max="10012" width="2.125" style="1" customWidth="1"/>
    <col min="10013" max="10015" width="9.625" style="1" customWidth="1"/>
    <col min="10016" max="10016" width="8.375" style="1" customWidth="1"/>
    <col min="10017" max="10017" width="0.125" style="1" customWidth="1"/>
    <col min="10018" max="10018" width="0" style="1" hidden="1" customWidth="1"/>
    <col min="10019" max="10019" width="0.125" style="1" customWidth="1"/>
    <col min="10020" max="10020" width="0.875" style="1" customWidth="1"/>
    <col min="10021" max="10021" width="7.625" style="1" bestFit="1" customWidth="1"/>
    <col min="10022" max="10241" width="11" style="1"/>
    <col min="10242" max="10242" width="46.5" style="1" customWidth="1"/>
    <col min="10243" max="10248" width="12.375" style="1" bestFit="1" customWidth="1"/>
    <col min="10249" max="10251" width="12.375" style="1" customWidth="1"/>
    <col min="10252" max="10252" width="13.375" style="1" bestFit="1" customWidth="1"/>
    <col min="10253" max="10253" width="14.125" style="1" bestFit="1" customWidth="1"/>
    <col min="10254" max="10254" width="3" style="1" customWidth="1"/>
    <col min="10255" max="10255" width="14.5" style="1" customWidth="1"/>
    <col min="10256" max="10256" width="3" style="1" customWidth="1"/>
    <col min="10257" max="10257" width="6.125" style="1" customWidth="1"/>
    <col min="10258" max="10258" width="9.625" style="1" customWidth="1"/>
    <col min="10259" max="10259" width="5.375" style="1" customWidth="1"/>
    <col min="10260" max="10260" width="2.625" style="1" customWidth="1"/>
    <col min="10261" max="10261" width="4.875" style="1" customWidth="1"/>
    <col min="10262" max="10262" width="3" style="1" customWidth="1"/>
    <col min="10263" max="10263" width="8" style="1" customWidth="1"/>
    <col min="10264" max="10264" width="9.625" style="1" customWidth="1"/>
    <col min="10265" max="10265" width="5.875" style="1" customWidth="1"/>
    <col min="10266" max="10266" width="3" style="1" customWidth="1"/>
    <col min="10267" max="10267" width="4.875" style="1" customWidth="1"/>
    <col min="10268" max="10268" width="2.125" style="1" customWidth="1"/>
    <col min="10269" max="10271" width="9.625" style="1" customWidth="1"/>
    <col min="10272" max="10272" width="8.375" style="1" customWidth="1"/>
    <col min="10273" max="10273" width="0.125" style="1" customWidth="1"/>
    <col min="10274" max="10274" width="0" style="1" hidden="1" customWidth="1"/>
    <col min="10275" max="10275" width="0.125" style="1" customWidth="1"/>
    <col min="10276" max="10276" width="0.875" style="1" customWidth="1"/>
    <col min="10277" max="10277" width="7.625" style="1" bestFit="1" customWidth="1"/>
    <col min="10278" max="10497" width="11" style="1"/>
    <col min="10498" max="10498" width="46.5" style="1" customWidth="1"/>
    <col min="10499" max="10504" width="12.375" style="1" bestFit="1" customWidth="1"/>
    <col min="10505" max="10507" width="12.375" style="1" customWidth="1"/>
    <col min="10508" max="10508" width="13.375" style="1" bestFit="1" customWidth="1"/>
    <col min="10509" max="10509" width="14.125" style="1" bestFit="1" customWidth="1"/>
    <col min="10510" max="10510" width="3" style="1" customWidth="1"/>
    <col min="10511" max="10511" width="14.5" style="1" customWidth="1"/>
    <col min="10512" max="10512" width="3" style="1" customWidth="1"/>
    <col min="10513" max="10513" width="6.125" style="1" customWidth="1"/>
    <col min="10514" max="10514" width="9.625" style="1" customWidth="1"/>
    <col min="10515" max="10515" width="5.375" style="1" customWidth="1"/>
    <col min="10516" max="10516" width="2.625" style="1" customWidth="1"/>
    <col min="10517" max="10517" width="4.875" style="1" customWidth="1"/>
    <col min="10518" max="10518" width="3" style="1" customWidth="1"/>
    <col min="10519" max="10519" width="8" style="1" customWidth="1"/>
    <col min="10520" max="10520" width="9.625" style="1" customWidth="1"/>
    <col min="10521" max="10521" width="5.875" style="1" customWidth="1"/>
    <col min="10522" max="10522" width="3" style="1" customWidth="1"/>
    <col min="10523" max="10523" width="4.875" style="1" customWidth="1"/>
    <col min="10524" max="10524" width="2.125" style="1" customWidth="1"/>
    <col min="10525" max="10527" width="9.625" style="1" customWidth="1"/>
    <col min="10528" max="10528" width="8.375" style="1" customWidth="1"/>
    <col min="10529" max="10529" width="0.125" style="1" customWidth="1"/>
    <col min="10530" max="10530" width="0" style="1" hidden="1" customWidth="1"/>
    <col min="10531" max="10531" width="0.125" style="1" customWidth="1"/>
    <col min="10532" max="10532" width="0.875" style="1" customWidth="1"/>
    <col min="10533" max="10533" width="7.625" style="1" bestFit="1" customWidth="1"/>
    <col min="10534" max="10753" width="11" style="1"/>
    <col min="10754" max="10754" width="46.5" style="1" customWidth="1"/>
    <col min="10755" max="10760" width="12.375" style="1" bestFit="1" customWidth="1"/>
    <col min="10761" max="10763" width="12.375" style="1" customWidth="1"/>
    <col min="10764" max="10764" width="13.375" style="1" bestFit="1" customWidth="1"/>
    <col min="10765" max="10765" width="14.125" style="1" bestFit="1" customWidth="1"/>
    <col min="10766" max="10766" width="3" style="1" customWidth="1"/>
    <col min="10767" max="10767" width="14.5" style="1" customWidth="1"/>
    <col min="10768" max="10768" width="3" style="1" customWidth="1"/>
    <col min="10769" max="10769" width="6.125" style="1" customWidth="1"/>
    <col min="10770" max="10770" width="9.625" style="1" customWidth="1"/>
    <col min="10771" max="10771" width="5.375" style="1" customWidth="1"/>
    <col min="10772" max="10772" width="2.625" style="1" customWidth="1"/>
    <col min="10773" max="10773" width="4.875" style="1" customWidth="1"/>
    <col min="10774" max="10774" width="3" style="1" customWidth="1"/>
    <col min="10775" max="10775" width="8" style="1" customWidth="1"/>
    <col min="10776" max="10776" width="9.625" style="1" customWidth="1"/>
    <col min="10777" max="10777" width="5.875" style="1" customWidth="1"/>
    <col min="10778" max="10778" width="3" style="1" customWidth="1"/>
    <col min="10779" max="10779" width="4.875" style="1" customWidth="1"/>
    <col min="10780" max="10780" width="2.125" style="1" customWidth="1"/>
    <col min="10781" max="10783" width="9.625" style="1" customWidth="1"/>
    <col min="10784" max="10784" width="8.375" style="1" customWidth="1"/>
    <col min="10785" max="10785" width="0.125" style="1" customWidth="1"/>
    <col min="10786" max="10786" width="0" style="1" hidden="1" customWidth="1"/>
    <col min="10787" max="10787" width="0.125" style="1" customWidth="1"/>
    <col min="10788" max="10788" width="0.875" style="1" customWidth="1"/>
    <col min="10789" max="10789" width="7.625" style="1" bestFit="1" customWidth="1"/>
    <col min="10790" max="11009" width="11" style="1"/>
    <col min="11010" max="11010" width="46.5" style="1" customWidth="1"/>
    <col min="11011" max="11016" width="12.375" style="1" bestFit="1" customWidth="1"/>
    <col min="11017" max="11019" width="12.375" style="1" customWidth="1"/>
    <col min="11020" max="11020" width="13.375" style="1" bestFit="1" customWidth="1"/>
    <col min="11021" max="11021" width="14.125" style="1" bestFit="1" customWidth="1"/>
    <col min="11022" max="11022" width="3" style="1" customWidth="1"/>
    <col min="11023" max="11023" width="14.5" style="1" customWidth="1"/>
    <col min="11024" max="11024" width="3" style="1" customWidth="1"/>
    <col min="11025" max="11025" width="6.125" style="1" customWidth="1"/>
    <col min="11026" max="11026" width="9.625" style="1" customWidth="1"/>
    <col min="11027" max="11027" width="5.375" style="1" customWidth="1"/>
    <col min="11028" max="11028" width="2.625" style="1" customWidth="1"/>
    <col min="11029" max="11029" width="4.875" style="1" customWidth="1"/>
    <col min="11030" max="11030" width="3" style="1" customWidth="1"/>
    <col min="11031" max="11031" width="8" style="1" customWidth="1"/>
    <col min="11032" max="11032" width="9.625" style="1" customWidth="1"/>
    <col min="11033" max="11033" width="5.875" style="1" customWidth="1"/>
    <col min="11034" max="11034" width="3" style="1" customWidth="1"/>
    <col min="11035" max="11035" width="4.875" style="1" customWidth="1"/>
    <col min="11036" max="11036" width="2.125" style="1" customWidth="1"/>
    <col min="11037" max="11039" width="9.625" style="1" customWidth="1"/>
    <col min="11040" max="11040" width="8.375" style="1" customWidth="1"/>
    <col min="11041" max="11041" width="0.125" style="1" customWidth="1"/>
    <col min="11042" max="11042" width="0" style="1" hidden="1" customWidth="1"/>
    <col min="11043" max="11043" width="0.125" style="1" customWidth="1"/>
    <col min="11044" max="11044" width="0.875" style="1" customWidth="1"/>
    <col min="11045" max="11045" width="7.625" style="1" bestFit="1" customWidth="1"/>
    <col min="11046" max="11265" width="11" style="1"/>
    <col min="11266" max="11266" width="46.5" style="1" customWidth="1"/>
    <col min="11267" max="11272" width="12.375" style="1" bestFit="1" customWidth="1"/>
    <col min="11273" max="11275" width="12.375" style="1" customWidth="1"/>
    <col min="11276" max="11276" width="13.375" style="1" bestFit="1" customWidth="1"/>
    <col min="11277" max="11277" width="14.125" style="1" bestFit="1" customWidth="1"/>
    <col min="11278" max="11278" width="3" style="1" customWidth="1"/>
    <col min="11279" max="11279" width="14.5" style="1" customWidth="1"/>
    <col min="11280" max="11280" width="3" style="1" customWidth="1"/>
    <col min="11281" max="11281" width="6.125" style="1" customWidth="1"/>
    <col min="11282" max="11282" width="9.625" style="1" customWidth="1"/>
    <col min="11283" max="11283" width="5.375" style="1" customWidth="1"/>
    <col min="11284" max="11284" width="2.625" style="1" customWidth="1"/>
    <col min="11285" max="11285" width="4.875" style="1" customWidth="1"/>
    <col min="11286" max="11286" width="3" style="1" customWidth="1"/>
    <col min="11287" max="11287" width="8" style="1" customWidth="1"/>
    <col min="11288" max="11288" width="9.625" style="1" customWidth="1"/>
    <col min="11289" max="11289" width="5.875" style="1" customWidth="1"/>
    <col min="11290" max="11290" width="3" style="1" customWidth="1"/>
    <col min="11291" max="11291" width="4.875" style="1" customWidth="1"/>
    <col min="11292" max="11292" width="2.125" style="1" customWidth="1"/>
    <col min="11293" max="11295" width="9.625" style="1" customWidth="1"/>
    <col min="11296" max="11296" width="8.375" style="1" customWidth="1"/>
    <col min="11297" max="11297" width="0.125" style="1" customWidth="1"/>
    <col min="11298" max="11298" width="0" style="1" hidden="1" customWidth="1"/>
    <col min="11299" max="11299" width="0.125" style="1" customWidth="1"/>
    <col min="11300" max="11300" width="0.875" style="1" customWidth="1"/>
    <col min="11301" max="11301" width="7.625" style="1" bestFit="1" customWidth="1"/>
    <col min="11302" max="11521" width="11" style="1"/>
    <col min="11522" max="11522" width="46.5" style="1" customWidth="1"/>
    <col min="11523" max="11528" width="12.375" style="1" bestFit="1" customWidth="1"/>
    <col min="11529" max="11531" width="12.375" style="1" customWidth="1"/>
    <col min="11532" max="11532" width="13.375" style="1" bestFit="1" customWidth="1"/>
    <col min="11533" max="11533" width="14.125" style="1" bestFit="1" customWidth="1"/>
    <col min="11534" max="11534" width="3" style="1" customWidth="1"/>
    <col min="11535" max="11535" width="14.5" style="1" customWidth="1"/>
    <col min="11536" max="11536" width="3" style="1" customWidth="1"/>
    <col min="11537" max="11537" width="6.125" style="1" customWidth="1"/>
    <col min="11538" max="11538" width="9.625" style="1" customWidth="1"/>
    <col min="11539" max="11539" width="5.375" style="1" customWidth="1"/>
    <col min="11540" max="11540" width="2.625" style="1" customWidth="1"/>
    <col min="11541" max="11541" width="4.875" style="1" customWidth="1"/>
    <col min="11542" max="11542" width="3" style="1" customWidth="1"/>
    <col min="11543" max="11543" width="8" style="1" customWidth="1"/>
    <col min="11544" max="11544" width="9.625" style="1" customWidth="1"/>
    <col min="11545" max="11545" width="5.875" style="1" customWidth="1"/>
    <col min="11546" max="11546" width="3" style="1" customWidth="1"/>
    <col min="11547" max="11547" width="4.875" style="1" customWidth="1"/>
    <col min="11548" max="11548" width="2.125" style="1" customWidth="1"/>
    <col min="11549" max="11551" width="9.625" style="1" customWidth="1"/>
    <col min="11552" max="11552" width="8.375" style="1" customWidth="1"/>
    <col min="11553" max="11553" width="0.125" style="1" customWidth="1"/>
    <col min="11554" max="11554" width="0" style="1" hidden="1" customWidth="1"/>
    <col min="11555" max="11555" width="0.125" style="1" customWidth="1"/>
    <col min="11556" max="11556" width="0.875" style="1" customWidth="1"/>
    <col min="11557" max="11557" width="7.625" style="1" bestFit="1" customWidth="1"/>
    <col min="11558" max="11777" width="11" style="1"/>
    <col min="11778" max="11778" width="46.5" style="1" customWidth="1"/>
    <col min="11779" max="11784" width="12.375" style="1" bestFit="1" customWidth="1"/>
    <col min="11785" max="11787" width="12.375" style="1" customWidth="1"/>
    <col min="11788" max="11788" width="13.375" style="1" bestFit="1" customWidth="1"/>
    <col min="11789" max="11789" width="14.125" style="1" bestFit="1" customWidth="1"/>
    <col min="11790" max="11790" width="3" style="1" customWidth="1"/>
    <col min="11791" max="11791" width="14.5" style="1" customWidth="1"/>
    <col min="11792" max="11792" width="3" style="1" customWidth="1"/>
    <col min="11793" max="11793" width="6.125" style="1" customWidth="1"/>
    <col min="11794" max="11794" width="9.625" style="1" customWidth="1"/>
    <col min="11795" max="11795" width="5.375" style="1" customWidth="1"/>
    <col min="11796" max="11796" width="2.625" style="1" customWidth="1"/>
    <col min="11797" max="11797" width="4.875" style="1" customWidth="1"/>
    <col min="11798" max="11798" width="3" style="1" customWidth="1"/>
    <col min="11799" max="11799" width="8" style="1" customWidth="1"/>
    <col min="11800" max="11800" width="9.625" style="1" customWidth="1"/>
    <col min="11801" max="11801" width="5.875" style="1" customWidth="1"/>
    <col min="11802" max="11802" width="3" style="1" customWidth="1"/>
    <col min="11803" max="11803" width="4.875" style="1" customWidth="1"/>
    <col min="11804" max="11804" width="2.125" style="1" customWidth="1"/>
    <col min="11805" max="11807" width="9.625" style="1" customWidth="1"/>
    <col min="11808" max="11808" width="8.375" style="1" customWidth="1"/>
    <col min="11809" max="11809" width="0.125" style="1" customWidth="1"/>
    <col min="11810" max="11810" width="0" style="1" hidden="1" customWidth="1"/>
    <col min="11811" max="11811" width="0.125" style="1" customWidth="1"/>
    <col min="11812" max="11812" width="0.875" style="1" customWidth="1"/>
    <col min="11813" max="11813" width="7.625" style="1" bestFit="1" customWidth="1"/>
    <col min="11814" max="12033" width="11" style="1"/>
    <col min="12034" max="12034" width="46.5" style="1" customWidth="1"/>
    <col min="12035" max="12040" width="12.375" style="1" bestFit="1" customWidth="1"/>
    <col min="12041" max="12043" width="12.375" style="1" customWidth="1"/>
    <col min="12044" max="12044" width="13.375" style="1" bestFit="1" customWidth="1"/>
    <col min="12045" max="12045" width="14.125" style="1" bestFit="1" customWidth="1"/>
    <col min="12046" max="12046" width="3" style="1" customWidth="1"/>
    <col min="12047" max="12047" width="14.5" style="1" customWidth="1"/>
    <col min="12048" max="12048" width="3" style="1" customWidth="1"/>
    <col min="12049" max="12049" width="6.125" style="1" customWidth="1"/>
    <col min="12050" max="12050" width="9.625" style="1" customWidth="1"/>
    <col min="12051" max="12051" width="5.375" style="1" customWidth="1"/>
    <col min="12052" max="12052" width="2.625" style="1" customWidth="1"/>
    <col min="12053" max="12053" width="4.875" style="1" customWidth="1"/>
    <col min="12054" max="12054" width="3" style="1" customWidth="1"/>
    <col min="12055" max="12055" width="8" style="1" customWidth="1"/>
    <col min="12056" max="12056" width="9.625" style="1" customWidth="1"/>
    <col min="12057" max="12057" width="5.875" style="1" customWidth="1"/>
    <col min="12058" max="12058" width="3" style="1" customWidth="1"/>
    <col min="12059" max="12059" width="4.875" style="1" customWidth="1"/>
    <col min="12060" max="12060" width="2.125" style="1" customWidth="1"/>
    <col min="12061" max="12063" width="9.625" style="1" customWidth="1"/>
    <col min="12064" max="12064" width="8.375" style="1" customWidth="1"/>
    <col min="12065" max="12065" width="0.125" style="1" customWidth="1"/>
    <col min="12066" max="12066" width="0" style="1" hidden="1" customWidth="1"/>
    <col min="12067" max="12067" width="0.125" style="1" customWidth="1"/>
    <col min="12068" max="12068" width="0.875" style="1" customWidth="1"/>
    <col min="12069" max="12069" width="7.625" style="1" bestFit="1" customWidth="1"/>
    <col min="12070" max="12289" width="11" style="1"/>
    <col min="12290" max="12290" width="46.5" style="1" customWidth="1"/>
    <col min="12291" max="12296" width="12.375" style="1" bestFit="1" customWidth="1"/>
    <col min="12297" max="12299" width="12.375" style="1" customWidth="1"/>
    <col min="12300" max="12300" width="13.375" style="1" bestFit="1" customWidth="1"/>
    <col min="12301" max="12301" width="14.125" style="1" bestFit="1" customWidth="1"/>
    <col min="12302" max="12302" width="3" style="1" customWidth="1"/>
    <col min="12303" max="12303" width="14.5" style="1" customWidth="1"/>
    <col min="12304" max="12304" width="3" style="1" customWidth="1"/>
    <col min="12305" max="12305" width="6.125" style="1" customWidth="1"/>
    <col min="12306" max="12306" width="9.625" style="1" customWidth="1"/>
    <col min="12307" max="12307" width="5.375" style="1" customWidth="1"/>
    <col min="12308" max="12308" width="2.625" style="1" customWidth="1"/>
    <col min="12309" max="12309" width="4.875" style="1" customWidth="1"/>
    <col min="12310" max="12310" width="3" style="1" customWidth="1"/>
    <col min="12311" max="12311" width="8" style="1" customWidth="1"/>
    <col min="12312" max="12312" width="9.625" style="1" customWidth="1"/>
    <col min="12313" max="12313" width="5.875" style="1" customWidth="1"/>
    <col min="12314" max="12314" width="3" style="1" customWidth="1"/>
    <col min="12315" max="12315" width="4.875" style="1" customWidth="1"/>
    <col min="12316" max="12316" width="2.125" style="1" customWidth="1"/>
    <col min="12317" max="12319" width="9.625" style="1" customWidth="1"/>
    <col min="12320" max="12320" width="8.375" style="1" customWidth="1"/>
    <col min="12321" max="12321" width="0.125" style="1" customWidth="1"/>
    <col min="12322" max="12322" width="0" style="1" hidden="1" customWidth="1"/>
    <col min="12323" max="12323" width="0.125" style="1" customWidth="1"/>
    <col min="12324" max="12324" width="0.875" style="1" customWidth="1"/>
    <col min="12325" max="12325" width="7.625" style="1" bestFit="1" customWidth="1"/>
    <col min="12326" max="12545" width="11" style="1"/>
    <col min="12546" max="12546" width="46.5" style="1" customWidth="1"/>
    <col min="12547" max="12552" width="12.375" style="1" bestFit="1" customWidth="1"/>
    <col min="12553" max="12555" width="12.375" style="1" customWidth="1"/>
    <col min="12556" max="12556" width="13.375" style="1" bestFit="1" customWidth="1"/>
    <col min="12557" max="12557" width="14.125" style="1" bestFit="1" customWidth="1"/>
    <col min="12558" max="12558" width="3" style="1" customWidth="1"/>
    <col min="12559" max="12559" width="14.5" style="1" customWidth="1"/>
    <col min="12560" max="12560" width="3" style="1" customWidth="1"/>
    <col min="12561" max="12561" width="6.125" style="1" customWidth="1"/>
    <col min="12562" max="12562" width="9.625" style="1" customWidth="1"/>
    <col min="12563" max="12563" width="5.375" style="1" customWidth="1"/>
    <col min="12564" max="12564" width="2.625" style="1" customWidth="1"/>
    <col min="12565" max="12565" width="4.875" style="1" customWidth="1"/>
    <col min="12566" max="12566" width="3" style="1" customWidth="1"/>
    <col min="12567" max="12567" width="8" style="1" customWidth="1"/>
    <col min="12568" max="12568" width="9.625" style="1" customWidth="1"/>
    <col min="12569" max="12569" width="5.875" style="1" customWidth="1"/>
    <col min="12570" max="12570" width="3" style="1" customWidth="1"/>
    <col min="12571" max="12571" width="4.875" style="1" customWidth="1"/>
    <col min="12572" max="12572" width="2.125" style="1" customWidth="1"/>
    <col min="12573" max="12575" width="9.625" style="1" customWidth="1"/>
    <col min="12576" max="12576" width="8.375" style="1" customWidth="1"/>
    <col min="12577" max="12577" width="0.125" style="1" customWidth="1"/>
    <col min="12578" max="12578" width="0" style="1" hidden="1" customWidth="1"/>
    <col min="12579" max="12579" width="0.125" style="1" customWidth="1"/>
    <col min="12580" max="12580" width="0.875" style="1" customWidth="1"/>
    <col min="12581" max="12581" width="7.625" style="1" bestFit="1" customWidth="1"/>
    <col min="12582" max="12801" width="11" style="1"/>
    <col min="12802" max="12802" width="46.5" style="1" customWidth="1"/>
    <col min="12803" max="12808" width="12.375" style="1" bestFit="1" customWidth="1"/>
    <col min="12809" max="12811" width="12.375" style="1" customWidth="1"/>
    <col min="12812" max="12812" width="13.375" style="1" bestFit="1" customWidth="1"/>
    <col min="12813" max="12813" width="14.125" style="1" bestFit="1" customWidth="1"/>
    <col min="12814" max="12814" width="3" style="1" customWidth="1"/>
    <col min="12815" max="12815" width="14.5" style="1" customWidth="1"/>
    <col min="12816" max="12816" width="3" style="1" customWidth="1"/>
    <col min="12817" max="12817" width="6.125" style="1" customWidth="1"/>
    <col min="12818" max="12818" width="9.625" style="1" customWidth="1"/>
    <col min="12819" max="12819" width="5.375" style="1" customWidth="1"/>
    <col min="12820" max="12820" width="2.625" style="1" customWidth="1"/>
    <col min="12821" max="12821" width="4.875" style="1" customWidth="1"/>
    <col min="12822" max="12822" width="3" style="1" customWidth="1"/>
    <col min="12823" max="12823" width="8" style="1" customWidth="1"/>
    <col min="12824" max="12824" width="9.625" style="1" customWidth="1"/>
    <col min="12825" max="12825" width="5.875" style="1" customWidth="1"/>
    <col min="12826" max="12826" width="3" style="1" customWidth="1"/>
    <col min="12827" max="12827" width="4.875" style="1" customWidth="1"/>
    <col min="12828" max="12828" width="2.125" style="1" customWidth="1"/>
    <col min="12829" max="12831" width="9.625" style="1" customWidth="1"/>
    <col min="12832" max="12832" width="8.375" style="1" customWidth="1"/>
    <col min="12833" max="12833" width="0.125" style="1" customWidth="1"/>
    <col min="12834" max="12834" width="0" style="1" hidden="1" customWidth="1"/>
    <col min="12835" max="12835" width="0.125" style="1" customWidth="1"/>
    <col min="12836" max="12836" width="0.875" style="1" customWidth="1"/>
    <col min="12837" max="12837" width="7.625" style="1" bestFit="1" customWidth="1"/>
    <col min="12838" max="13057" width="11" style="1"/>
    <col min="13058" max="13058" width="46.5" style="1" customWidth="1"/>
    <col min="13059" max="13064" width="12.375" style="1" bestFit="1" customWidth="1"/>
    <col min="13065" max="13067" width="12.375" style="1" customWidth="1"/>
    <col min="13068" max="13068" width="13.375" style="1" bestFit="1" customWidth="1"/>
    <col min="13069" max="13069" width="14.125" style="1" bestFit="1" customWidth="1"/>
    <col min="13070" max="13070" width="3" style="1" customWidth="1"/>
    <col min="13071" max="13071" width="14.5" style="1" customWidth="1"/>
    <col min="13072" max="13072" width="3" style="1" customWidth="1"/>
    <col min="13073" max="13073" width="6.125" style="1" customWidth="1"/>
    <col min="13074" max="13074" width="9.625" style="1" customWidth="1"/>
    <col min="13075" max="13075" width="5.375" style="1" customWidth="1"/>
    <col min="13076" max="13076" width="2.625" style="1" customWidth="1"/>
    <col min="13077" max="13077" width="4.875" style="1" customWidth="1"/>
    <col min="13078" max="13078" width="3" style="1" customWidth="1"/>
    <col min="13079" max="13079" width="8" style="1" customWidth="1"/>
    <col min="13080" max="13080" width="9.625" style="1" customWidth="1"/>
    <col min="13081" max="13081" width="5.875" style="1" customWidth="1"/>
    <col min="13082" max="13082" width="3" style="1" customWidth="1"/>
    <col min="13083" max="13083" width="4.875" style="1" customWidth="1"/>
    <col min="13084" max="13084" width="2.125" style="1" customWidth="1"/>
    <col min="13085" max="13087" width="9.625" style="1" customWidth="1"/>
    <col min="13088" max="13088" width="8.375" style="1" customWidth="1"/>
    <col min="13089" max="13089" width="0.125" style="1" customWidth="1"/>
    <col min="13090" max="13090" width="0" style="1" hidden="1" customWidth="1"/>
    <col min="13091" max="13091" width="0.125" style="1" customWidth="1"/>
    <col min="13092" max="13092" width="0.875" style="1" customWidth="1"/>
    <col min="13093" max="13093" width="7.625" style="1" bestFit="1" customWidth="1"/>
    <col min="13094" max="13313" width="11" style="1"/>
    <col min="13314" max="13314" width="46.5" style="1" customWidth="1"/>
    <col min="13315" max="13320" width="12.375" style="1" bestFit="1" customWidth="1"/>
    <col min="13321" max="13323" width="12.375" style="1" customWidth="1"/>
    <col min="13324" max="13324" width="13.375" style="1" bestFit="1" customWidth="1"/>
    <col min="13325" max="13325" width="14.125" style="1" bestFit="1" customWidth="1"/>
    <col min="13326" max="13326" width="3" style="1" customWidth="1"/>
    <col min="13327" max="13327" width="14.5" style="1" customWidth="1"/>
    <col min="13328" max="13328" width="3" style="1" customWidth="1"/>
    <col min="13329" max="13329" width="6.125" style="1" customWidth="1"/>
    <col min="13330" max="13330" width="9.625" style="1" customWidth="1"/>
    <col min="13331" max="13331" width="5.375" style="1" customWidth="1"/>
    <col min="13332" max="13332" width="2.625" style="1" customWidth="1"/>
    <col min="13333" max="13333" width="4.875" style="1" customWidth="1"/>
    <col min="13334" max="13334" width="3" style="1" customWidth="1"/>
    <col min="13335" max="13335" width="8" style="1" customWidth="1"/>
    <col min="13336" max="13336" width="9.625" style="1" customWidth="1"/>
    <col min="13337" max="13337" width="5.875" style="1" customWidth="1"/>
    <col min="13338" max="13338" width="3" style="1" customWidth="1"/>
    <col min="13339" max="13339" width="4.875" style="1" customWidth="1"/>
    <col min="13340" max="13340" width="2.125" style="1" customWidth="1"/>
    <col min="13341" max="13343" width="9.625" style="1" customWidth="1"/>
    <col min="13344" max="13344" width="8.375" style="1" customWidth="1"/>
    <col min="13345" max="13345" width="0.125" style="1" customWidth="1"/>
    <col min="13346" max="13346" width="0" style="1" hidden="1" customWidth="1"/>
    <col min="13347" max="13347" width="0.125" style="1" customWidth="1"/>
    <col min="13348" max="13348" width="0.875" style="1" customWidth="1"/>
    <col min="13349" max="13349" width="7.625" style="1" bestFit="1" customWidth="1"/>
    <col min="13350" max="13569" width="11" style="1"/>
    <col min="13570" max="13570" width="46.5" style="1" customWidth="1"/>
    <col min="13571" max="13576" width="12.375" style="1" bestFit="1" customWidth="1"/>
    <col min="13577" max="13579" width="12.375" style="1" customWidth="1"/>
    <col min="13580" max="13580" width="13.375" style="1" bestFit="1" customWidth="1"/>
    <col min="13581" max="13581" width="14.125" style="1" bestFit="1" customWidth="1"/>
    <col min="13582" max="13582" width="3" style="1" customWidth="1"/>
    <col min="13583" max="13583" width="14.5" style="1" customWidth="1"/>
    <col min="13584" max="13584" width="3" style="1" customWidth="1"/>
    <col min="13585" max="13585" width="6.125" style="1" customWidth="1"/>
    <col min="13586" max="13586" width="9.625" style="1" customWidth="1"/>
    <col min="13587" max="13587" width="5.375" style="1" customWidth="1"/>
    <col min="13588" max="13588" width="2.625" style="1" customWidth="1"/>
    <col min="13589" max="13589" width="4.875" style="1" customWidth="1"/>
    <col min="13590" max="13590" width="3" style="1" customWidth="1"/>
    <col min="13591" max="13591" width="8" style="1" customWidth="1"/>
    <col min="13592" max="13592" width="9.625" style="1" customWidth="1"/>
    <col min="13593" max="13593" width="5.875" style="1" customWidth="1"/>
    <col min="13594" max="13594" width="3" style="1" customWidth="1"/>
    <col min="13595" max="13595" width="4.875" style="1" customWidth="1"/>
    <col min="13596" max="13596" width="2.125" style="1" customWidth="1"/>
    <col min="13597" max="13599" width="9.625" style="1" customWidth="1"/>
    <col min="13600" max="13600" width="8.375" style="1" customWidth="1"/>
    <col min="13601" max="13601" width="0.125" style="1" customWidth="1"/>
    <col min="13602" max="13602" width="0" style="1" hidden="1" customWidth="1"/>
    <col min="13603" max="13603" width="0.125" style="1" customWidth="1"/>
    <col min="13604" max="13604" width="0.875" style="1" customWidth="1"/>
    <col min="13605" max="13605" width="7.625" style="1" bestFit="1" customWidth="1"/>
    <col min="13606" max="13825" width="11" style="1"/>
    <col min="13826" max="13826" width="46.5" style="1" customWidth="1"/>
    <col min="13827" max="13832" width="12.375" style="1" bestFit="1" customWidth="1"/>
    <col min="13833" max="13835" width="12.375" style="1" customWidth="1"/>
    <col min="13836" max="13836" width="13.375" style="1" bestFit="1" customWidth="1"/>
    <col min="13837" max="13837" width="14.125" style="1" bestFit="1" customWidth="1"/>
    <col min="13838" max="13838" width="3" style="1" customWidth="1"/>
    <col min="13839" max="13839" width="14.5" style="1" customWidth="1"/>
    <col min="13840" max="13840" width="3" style="1" customWidth="1"/>
    <col min="13841" max="13841" width="6.125" style="1" customWidth="1"/>
    <col min="13842" max="13842" width="9.625" style="1" customWidth="1"/>
    <col min="13843" max="13843" width="5.375" style="1" customWidth="1"/>
    <col min="13844" max="13844" width="2.625" style="1" customWidth="1"/>
    <col min="13845" max="13845" width="4.875" style="1" customWidth="1"/>
    <col min="13846" max="13846" width="3" style="1" customWidth="1"/>
    <col min="13847" max="13847" width="8" style="1" customWidth="1"/>
    <col min="13848" max="13848" width="9.625" style="1" customWidth="1"/>
    <col min="13849" max="13849" width="5.875" style="1" customWidth="1"/>
    <col min="13850" max="13850" width="3" style="1" customWidth="1"/>
    <col min="13851" max="13851" width="4.875" style="1" customWidth="1"/>
    <col min="13852" max="13852" width="2.125" style="1" customWidth="1"/>
    <col min="13853" max="13855" width="9.625" style="1" customWidth="1"/>
    <col min="13856" max="13856" width="8.375" style="1" customWidth="1"/>
    <col min="13857" max="13857" width="0.125" style="1" customWidth="1"/>
    <col min="13858" max="13858" width="0" style="1" hidden="1" customWidth="1"/>
    <col min="13859" max="13859" width="0.125" style="1" customWidth="1"/>
    <col min="13860" max="13860" width="0.875" style="1" customWidth="1"/>
    <col min="13861" max="13861" width="7.625" style="1" bestFit="1" customWidth="1"/>
    <col min="13862" max="14081" width="11" style="1"/>
    <col min="14082" max="14082" width="46.5" style="1" customWidth="1"/>
    <col min="14083" max="14088" width="12.375" style="1" bestFit="1" customWidth="1"/>
    <col min="14089" max="14091" width="12.375" style="1" customWidth="1"/>
    <col min="14092" max="14092" width="13.375" style="1" bestFit="1" customWidth="1"/>
    <col min="14093" max="14093" width="14.125" style="1" bestFit="1" customWidth="1"/>
    <col min="14094" max="14094" width="3" style="1" customWidth="1"/>
    <col min="14095" max="14095" width="14.5" style="1" customWidth="1"/>
    <col min="14096" max="14096" width="3" style="1" customWidth="1"/>
    <col min="14097" max="14097" width="6.125" style="1" customWidth="1"/>
    <col min="14098" max="14098" width="9.625" style="1" customWidth="1"/>
    <col min="14099" max="14099" width="5.375" style="1" customWidth="1"/>
    <col min="14100" max="14100" width="2.625" style="1" customWidth="1"/>
    <col min="14101" max="14101" width="4.875" style="1" customWidth="1"/>
    <col min="14102" max="14102" width="3" style="1" customWidth="1"/>
    <col min="14103" max="14103" width="8" style="1" customWidth="1"/>
    <col min="14104" max="14104" width="9.625" style="1" customWidth="1"/>
    <col min="14105" max="14105" width="5.875" style="1" customWidth="1"/>
    <col min="14106" max="14106" width="3" style="1" customWidth="1"/>
    <col min="14107" max="14107" width="4.875" style="1" customWidth="1"/>
    <col min="14108" max="14108" width="2.125" style="1" customWidth="1"/>
    <col min="14109" max="14111" width="9.625" style="1" customWidth="1"/>
    <col min="14112" max="14112" width="8.375" style="1" customWidth="1"/>
    <col min="14113" max="14113" width="0.125" style="1" customWidth="1"/>
    <col min="14114" max="14114" width="0" style="1" hidden="1" customWidth="1"/>
    <col min="14115" max="14115" width="0.125" style="1" customWidth="1"/>
    <col min="14116" max="14116" width="0.875" style="1" customWidth="1"/>
    <col min="14117" max="14117" width="7.625" style="1" bestFit="1" customWidth="1"/>
    <col min="14118" max="14337" width="11" style="1"/>
    <col min="14338" max="14338" width="46.5" style="1" customWidth="1"/>
    <col min="14339" max="14344" width="12.375" style="1" bestFit="1" customWidth="1"/>
    <col min="14345" max="14347" width="12.375" style="1" customWidth="1"/>
    <col min="14348" max="14348" width="13.375" style="1" bestFit="1" customWidth="1"/>
    <col min="14349" max="14349" width="14.125" style="1" bestFit="1" customWidth="1"/>
    <col min="14350" max="14350" width="3" style="1" customWidth="1"/>
    <col min="14351" max="14351" width="14.5" style="1" customWidth="1"/>
    <col min="14352" max="14352" width="3" style="1" customWidth="1"/>
    <col min="14353" max="14353" width="6.125" style="1" customWidth="1"/>
    <col min="14354" max="14354" width="9.625" style="1" customWidth="1"/>
    <col min="14355" max="14355" width="5.375" style="1" customWidth="1"/>
    <col min="14356" max="14356" width="2.625" style="1" customWidth="1"/>
    <col min="14357" max="14357" width="4.875" style="1" customWidth="1"/>
    <col min="14358" max="14358" width="3" style="1" customWidth="1"/>
    <col min="14359" max="14359" width="8" style="1" customWidth="1"/>
    <col min="14360" max="14360" width="9.625" style="1" customWidth="1"/>
    <col min="14361" max="14361" width="5.875" style="1" customWidth="1"/>
    <col min="14362" max="14362" width="3" style="1" customWidth="1"/>
    <col min="14363" max="14363" width="4.875" style="1" customWidth="1"/>
    <col min="14364" max="14364" width="2.125" style="1" customWidth="1"/>
    <col min="14365" max="14367" width="9.625" style="1" customWidth="1"/>
    <col min="14368" max="14368" width="8.375" style="1" customWidth="1"/>
    <col min="14369" max="14369" width="0.125" style="1" customWidth="1"/>
    <col min="14370" max="14370" width="0" style="1" hidden="1" customWidth="1"/>
    <col min="14371" max="14371" width="0.125" style="1" customWidth="1"/>
    <col min="14372" max="14372" width="0.875" style="1" customWidth="1"/>
    <col min="14373" max="14373" width="7.625" style="1" bestFit="1" customWidth="1"/>
    <col min="14374" max="14593" width="11" style="1"/>
    <col min="14594" max="14594" width="46.5" style="1" customWidth="1"/>
    <col min="14595" max="14600" width="12.375" style="1" bestFit="1" customWidth="1"/>
    <col min="14601" max="14603" width="12.375" style="1" customWidth="1"/>
    <col min="14604" max="14604" width="13.375" style="1" bestFit="1" customWidth="1"/>
    <col min="14605" max="14605" width="14.125" style="1" bestFit="1" customWidth="1"/>
    <col min="14606" max="14606" width="3" style="1" customWidth="1"/>
    <col min="14607" max="14607" width="14.5" style="1" customWidth="1"/>
    <col min="14608" max="14608" width="3" style="1" customWidth="1"/>
    <col min="14609" max="14609" width="6.125" style="1" customWidth="1"/>
    <col min="14610" max="14610" width="9.625" style="1" customWidth="1"/>
    <col min="14611" max="14611" width="5.375" style="1" customWidth="1"/>
    <col min="14612" max="14612" width="2.625" style="1" customWidth="1"/>
    <col min="14613" max="14613" width="4.875" style="1" customWidth="1"/>
    <col min="14614" max="14614" width="3" style="1" customWidth="1"/>
    <col min="14615" max="14615" width="8" style="1" customWidth="1"/>
    <col min="14616" max="14616" width="9.625" style="1" customWidth="1"/>
    <col min="14617" max="14617" width="5.875" style="1" customWidth="1"/>
    <col min="14618" max="14618" width="3" style="1" customWidth="1"/>
    <col min="14619" max="14619" width="4.875" style="1" customWidth="1"/>
    <col min="14620" max="14620" width="2.125" style="1" customWidth="1"/>
    <col min="14621" max="14623" width="9.625" style="1" customWidth="1"/>
    <col min="14624" max="14624" width="8.375" style="1" customWidth="1"/>
    <col min="14625" max="14625" width="0.125" style="1" customWidth="1"/>
    <col min="14626" max="14626" width="0" style="1" hidden="1" customWidth="1"/>
    <col min="14627" max="14627" width="0.125" style="1" customWidth="1"/>
    <col min="14628" max="14628" width="0.875" style="1" customWidth="1"/>
    <col min="14629" max="14629" width="7.625" style="1" bestFit="1" customWidth="1"/>
    <col min="14630" max="14849" width="11" style="1"/>
    <col min="14850" max="14850" width="46.5" style="1" customWidth="1"/>
    <col min="14851" max="14856" width="12.375" style="1" bestFit="1" customWidth="1"/>
    <col min="14857" max="14859" width="12.375" style="1" customWidth="1"/>
    <col min="14860" max="14860" width="13.375" style="1" bestFit="1" customWidth="1"/>
    <col min="14861" max="14861" width="14.125" style="1" bestFit="1" customWidth="1"/>
    <col min="14862" max="14862" width="3" style="1" customWidth="1"/>
    <col min="14863" max="14863" width="14.5" style="1" customWidth="1"/>
    <col min="14864" max="14864" width="3" style="1" customWidth="1"/>
    <col min="14865" max="14865" width="6.125" style="1" customWidth="1"/>
    <col min="14866" max="14866" width="9.625" style="1" customWidth="1"/>
    <col min="14867" max="14867" width="5.375" style="1" customWidth="1"/>
    <col min="14868" max="14868" width="2.625" style="1" customWidth="1"/>
    <col min="14869" max="14869" width="4.875" style="1" customWidth="1"/>
    <col min="14870" max="14870" width="3" style="1" customWidth="1"/>
    <col min="14871" max="14871" width="8" style="1" customWidth="1"/>
    <col min="14872" max="14872" width="9.625" style="1" customWidth="1"/>
    <col min="14873" max="14873" width="5.875" style="1" customWidth="1"/>
    <col min="14874" max="14874" width="3" style="1" customWidth="1"/>
    <col min="14875" max="14875" width="4.875" style="1" customWidth="1"/>
    <col min="14876" max="14876" width="2.125" style="1" customWidth="1"/>
    <col min="14877" max="14879" width="9.625" style="1" customWidth="1"/>
    <col min="14880" max="14880" width="8.375" style="1" customWidth="1"/>
    <col min="14881" max="14881" width="0.125" style="1" customWidth="1"/>
    <col min="14882" max="14882" width="0" style="1" hidden="1" customWidth="1"/>
    <col min="14883" max="14883" width="0.125" style="1" customWidth="1"/>
    <col min="14884" max="14884" width="0.875" style="1" customWidth="1"/>
    <col min="14885" max="14885" width="7.625" style="1" bestFit="1" customWidth="1"/>
    <col min="14886" max="15105" width="11" style="1"/>
    <col min="15106" max="15106" width="46.5" style="1" customWidth="1"/>
    <col min="15107" max="15112" width="12.375" style="1" bestFit="1" customWidth="1"/>
    <col min="15113" max="15115" width="12.375" style="1" customWidth="1"/>
    <col min="15116" max="15116" width="13.375" style="1" bestFit="1" customWidth="1"/>
    <col min="15117" max="15117" width="14.125" style="1" bestFit="1" customWidth="1"/>
    <col min="15118" max="15118" width="3" style="1" customWidth="1"/>
    <col min="15119" max="15119" width="14.5" style="1" customWidth="1"/>
    <col min="15120" max="15120" width="3" style="1" customWidth="1"/>
    <col min="15121" max="15121" width="6.125" style="1" customWidth="1"/>
    <col min="15122" max="15122" width="9.625" style="1" customWidth="1"/>
    <col min="15123" max="15123" width="5.375" style="1" customWidth="1"/>
    <col min="15124" max="15124" width="2.625" style="1" customWidth="1"/>
    <col min="15125" max="15125" width="4.875" style="1" customWidth="1"/>
    <col min="15126" max="15126" width="3" style="1" customWidth="1"/>
    <col min="15127" max="15127" width="8" style="1" customWidth="1"/>
    <col min="15128" max="15128" width="9.625" style="1" customWidth="1"/>
    <col min="15129" max="15129" width="5.875" style="1" customWidth="1"/>
    <col min="15130" max="15130" width="3" style="1" customWidth="1"/>
    <col min="15131" max="15131" width="4.875" style="1" customWidth="1"/>
    <col min="15132" max="15132" width="2.125" style="1" customWidth="1"/>
    <col min="15133" max="15135" width="9.625" style="1" customWidth="1"/>
    <col min="15136" max="15136" width="8.375" style="1" customWidth="1"/>
    <col min="15137" max="15137" width="0.125" style="1" customWidth="1"/>
    <col min="15138" max="15138" width="0" style="1" hidden="1" customWidth="1"/>
    <col min="15139" max="15139" width="0.125" style="1" customWidth="1"/>
    <col min="15140" max="15140" width="0.875" style="1" customWidth="1"/>
    <col min="15141" max="15141" width="7.625" style="1" bestFit="1" customWidth="1"/>
    <col min="15142" max="15361" width="11" style="1"/>
    <col min="15362" max="15362" width="46.5" style="1" customWidth="1"/>
    <col min="15363" max="15368" width="12.375" style="1" bestFit="1" customWidth="1"/>
    <col min="15369" max="15371" width="12.375" style="1" customWidth="1"/>
    <col min="15372" max="15372" width="13.375" style="1" bestFit="1" customWidth="1"/>
    <col min="15373" max="15373" width="14.125" style="1" bestFit="1" customWidth="1"/>
    <col min="15374" max="15374" width="3" style="1" customWidth="1"/>
    <col min="15375" max="15375" width="14.5" style="1" customWidth="1"/>
    <col min="15376" max="15376" width="3" style="1" customWidth="1"/>
    <col min="15377" max="15377" width="6.125" style="1" customWidth="1"/>
    <col min="15378" max="15378" width="9.625" style="1" customWidth="1"/>
    <col min="15379" max="15379" width="5.375" style="1" customWidth="1"/>
    <col min="15380" max="15380" width="2.625" style="1" customWidth="1"/>
    <col min="15381" max="15381" width="4.875" style="1" customWidth="1"/>
    <col min="15382" max="15382" width="3" style="1" customWidth="1"/>
    <col min="15383" max="15383" width="8" style="1" customWidth="1"/>
    <col min="15384" max="15384" width="9.625" style="1" customWidth="1"/>
    <col min="15385" max="15385" width="5.875" style="1" customWidth="1"/>
    <col min="15386" max="15386" width="3" style="1" customWidth="1"/>
    <col min="15387" max="15387" width="4.875" style="1" customWidth="1"/>
    <col min="15388" max="15388" width="2.125" style="1" customWidth="1"/>
    <col min="15389" max="15391" width="9.625" style="1" customWidth="1"/>
    <col min="15392" max="15392" width="8.375" style="1" customWidth="1"/>
    <col min="15393" max="15393" width="0.125" style="1" customWidth="1"/>
    <col min="15394" max="15394" width="0" style="1" hidden="1" customWidth="1"/>
    <col min="15395" max="15395" width="0.125" style="1" customWidth="1"/>
    <col min="15396" max="15396" width="0.875" style="1" customWidth="1"/>
    <col min="15397" max="15397" width="7.625" style="1" bestFit="1" customWidth="1"/>
    <col min="15398" max="15617" width="11" style="1"/>
    <col min="15618" max="15618" width="46.5" style="1" customWidth="1"/>
    <col min="15619" max="15624" width="12.375" style="1" bestFit="1" customWidth="1"/>
    <col min="15625" max="15627" width="12.375" style="1" customWidth="1"/>
    <col min="15628" max="15628" width="13.375" style="1" bestFit="1" customWidth="1"/>
    <col min="15629" max="15629" width="14.125" style="1" bestFit="1" customWidth="1"/>
    <col min="15630" max="15630" width="3" style="1" customWidth="1"/>
    <col min="15631" max="15631" width="14.5" style="1" customWidth="1"/>
    <col min="15632" max="15632" width="3" style="1" customWidth="1"/>
    <col min="15633" max="15633" width="6.125" style="1" customWidth="1"/>
    <col min="15634" max="15634" width="9.625" style="1" customWidth="1"/>
    <col min="15635" max="15635" width="5.375" style="1" customWidth="1"/>
    <col min="15636" max="15636" width="2.625" style="1" customWidth="1"/>
    <col min="15637" max="15637" width="4.875" style="1" customWidth="1"/>
    <col min="15638" max="15638" width="3" style="1" customWidth="1"/>
    <col min="15639" max="15639" width="8" style="1" customWidth="1"/>
    <col min="15640" max="15640" width="9.625" style="1" customWidth="1"/>
    <col min="15641" max="15641" width="5.875" style="1" customWidth="1"/>
    <col min="15642" max="15642" width="3" style="1" customWidth="1"/>
    <col min="15643" max="15643" width="4.875" style="1" customWidth="1"/>
    <col min="15644" max="15644" width="2.125" style="1" customWidth="1"/>
    <col min="15645" max="15647" width="9.625" style="1" customWidth="1"/>
    <col min="15648" max="15648" width="8.375" style="1" customWidth="1"/>
    <col min="15649" max="15649" width="0.125" style="1" customWidth="1"/>
    <col min="15650" max="15650" width="0" style="1" hidden="1" customWidth="1"/>
    <col min="15651" max="15651" width="0.125" style="1" customWidth="1"/>
    <col min="15652" max="15652" width="0.875" style="1" customWidth="1"/>
    <col min="15653" max="15653" width="7.625" style="1" bestFit="1" customWidth="1"/>
    <col min="15654" max="15873" width="11" style="1"/>
    <col min="15874" max="15874" width="46.5" style="1" customWidth="1"/>
    <col min="15875" max="15880" width="12.375" style="1" bestFit="1" customWidth="1"/>
    <col min="15881" max="15883" width="12.375" style="1" customWidth="1"/>
    <col min="15884" max="15884" width="13.375" style="1" bestFit="1" customWidth="1"/>
    <col min="15885" max="15885" width="14.125" style="1" bestFit="1" customWidth="1"/>
    <col min="15886" max="15886" width="3" style="1" customWidth="1"/>
    <col min="15887" max="15887" width="14.5" style="1" customWidth="1"/>
    <col min="15888" max="15888" width="3" style="1" customWidth="1"/>
    <col min="15889" max="15889" width="6.125" style="1" customWidth="1"/>
    <col min="15890" max="15890" width="9.625" style="1" customWidth="1"/>
    <col min="15891" max="15891" width="5.375" style="1" customWidth="1"/>
    <col min="15892" max="15892" width="2.625" style="1" customWidth="1"/>
    <col min="15893" max="15893" width="4.875" style="1" customWidth="1"/>
    <col min="15894" max="15894" width="3" style="1" customWidth="1"/>
    <col min="15895" max="15895" width="8" style="1" customWidth="1"/>
    <col min="15896" max="15896" width="9.625" style="1" customWidth="1"/>
    <col min="15897" max="15897" width="5.875" style="1" customWidth="1"/>
    <col min="15898" max="15898" width="3" style="1" customWidth="1"/>
    <col min="15899" max="15899" width="4.875" style="1" customWidth="1"/>
    <col min="15900" max="15900" width="2.125" style="1" customWidth="1"/>
    <col min="15901" max="15903" width="9.625" style="1" customWidth="1"/>
    <col min="15904" max="15904" width="8.375" style="1" customWidth="1"/>
    <col min="15905" max="15905" width="0.125" style="1" customWidth="1"/>
    <col min="15906" max="15906" width="0" style="1" hidden="1" customWidth="1"/>
    <col min="15907" max="15907" width="0.125" style="1" customWidth="1"/>
    <col min="15908" max="15908" width="0.875" style="1" customWidth="1"/>
    <col min="15909" max="15909" width="7.625" style="1" bestFit="1" customWidth="1"/>
    <col min="15910" max="16129" width="11" style="1"/>
    <col min="16130" max="16130" width="46.5" style="1" customWidth="1"/>
    <col min="16131" max="16136" width="12.375" style="1" bestFit="1" customWidth="1"/>
    <col min="16137" max="16139" width="12.375" style="1" customWidth="1"/>
    <col min="16140" max="16140" width="13.375" style="1" bestFit="1" customWidth="1"/>
    <col min="16141" max="16141" width="14.125" style="1" bestFit="1" customWidth="1"/>
    <col min="16142" max="16142" width="3" style="1" customWidth="1"/>
    <col min="16143" max="16143" width="14.5" style="1" customWidth="1"/>
    <col min="16144" max="16144" width="3" style="1" customWidth="1"/>
    <col min="16145" max="16145" width="6.125" style="1" customWidth="1"/>
    <col min="16146" max="16146" width="9.625" style="1" customWidth="1"/>
    <col min="16147" max="16147" width="5.375" style="1" customWidth="1"/>
    <col min="16148" max="16148" width="2.625" style="1" customWidth="1"/>
    <col min="16149" max="16149" width="4.875" style="1" customWidth="1"/>
    <col min="16150" max="16150" width="3" style="1" customWidth="1"/>
    <col min="16151" max="16151" width="8" style="1" customWidth="1"/>
    <col min="16152" max="16152" width="9.625" style="1" customWidth="1"/>
    <col min="16153" max="16153" width="5.875" style="1" customWidth="1"/>
    <col min="16154" max="16154" width="3" style="1" customWidth="1"/>
    <col min="16155" max="16155" width="4.875" style="1" customWidth="1"/>
    <col min="16156" max="16156" width="2.125" style="1" customWidth="1"/>
    <col min="16157" max="16159" width="9.625" style="1" customWidth="1"/>
    <col min="16160" max="16160" width="8.375" style="1" customWidth="1"/>
    <col min="16161" max="16161" width="0.125" style="1" customWidth="1"/>
    <col min="16162" max="16162" width="0" style="1" hidden="1" customWidth="1"/>
    <col min="16163" max="16163" width="0.125" style="1" customWidth="1"/>
    <col min="16164" max="16164" width="0.875" style="1" customWidth="1"/>
    <col min="16165" max="16165" width="7.625" style="1" bestFit="1" customWidth="1"/>
    <col min="16166" max="16384" width="11" style="1"/>
  </cols>
  <sheetData>
    <row r="1" spans="1:37" x14ac:dyDescent="0.25">
      <c r="A1" s="13" t="s">
        <v>176</v>
      </c>
      <c r="B1" s="36"/>
      <c r="C1" s="36"/>
      <c r="D1" s="36"/>
    </row>
    <row r="2" spans="1:37" x14ac:dyDescent="0.25">
      <c r="A2" s="17"/>
      <c r="B2" s="6" t="s">
        <v>103</v>
      </c>
      <c r="C2" s="6" t="s">
        <v>104</v>
      </c>
      <c r="D2" s="6" t="s">
        <v>105</v>
      </c>
      <c r="E2" s="3"/>
      <c r="F2" s="3"/>
      <c r="G2" s="3"/>
      <c r="H2" s="3"/>
      <c r="I2" s="3"/>
      <c r="J2" s="3"/>
      <c r="K2" s="3"/>
      <c r="L2" s="3"/>
      <c r="M2" s="3"/>
    </row>
    <row r="3" spans="1:37" x14ac:dyDescent="0.25">
      <c r="A3" s="2" t="s">
        <v>106</v>
      </c>
      <c r="B3" s="14">
        <f>'Admin RO'!F20</f>
        <v>0</v>
      </c>
      <c r="C3" s="3"/>
      <c r="D3" s="15" t="e">
        <f>B3/C3</f>
        <v>#DIV/0!</v>
      </c>
      <c r="E3" s="226"/>
      <c r="F3" s="3"/>
      <c r="G3" s="2"/>
      <c r="H3" s="3"/>
      <c r="I3" s="3"/>
      <c r="J3" s="3"/>
      <c r="K3" s="3"/>
      <c r="L3" s="3"/>
      <c r="M3" s="3"/>
    </row>
    <row r="4" spans="1:37" x14ac:dyDescent="0.25">
      <c r="A4" s="2" t="s">
        <v>107</v>
      </c>
      <c r="B4" s="14">
        <f>'Sample RO I'!F20</f>
        <v>0</v>
      </c>
      <c r="C4" s="3"/>
      <c r="D4" s="15" t="e">
        <f t="shared" ref="D4:D11" si="0">B4/C4</f>
        <v>#DIV/0!</v>
      </c>
      <c r="E4" s="3"/>
      <c r="F4" s="3"/>
      <c r="G4" s="2"/>
      <c r="H4" s="3"/>
      <c r="I4" s="3"/>
      <c r="J4" s="3"/>
      <c r="K4" s="3"/>
      <c r="L4" s="3"/>
      <c r="M4" s="3"/>
    </row>
    <row r="5" spans="1:37" x14ac:dyDescent="0.25">
      <c r="A5" s="2" t="s">
        <v>108</v>
      </c>
      <c r="B5" s="14">
        <f>'Sample RO II'!F20</f>
        <v>0</v>
      </c>
      <c r="C5" s="3"/>
      <c r="D5" s="15" t="e">
        <f t="shared" si="0"/>
        <v>#DIV/0!</v>
      </c>
      <c r="E5" s="3"/>
      <c r="F5" s="3"/>
      <c r="G5" s="2"/>
      <c r="H5" s="3"/>
      <c r="I5" s="3"/>
      <c r="J5" s="3"/>
      <c r="K5" s="3"/>
      <c r="L5" s="3"/>
      <c r="M5" s="3"/>
    </row>
    <row r="6" spans="1:37" x14ac:dyDescent="0.25">
      <c r="A6" s="2" t="s">
        <v>164</v>
      </c>
      <c r="B6" s="14">
        <f>'Sample RO III-Phase 1'!F20</f>
        <v>0</v>
      </c>
      <c r="C6" s="3"/>
      <c r="D6" s="15" t="e">
        <f t="shared" si="0"/>
        <v>#DIV/0!</v>
      </c>
      <c r="E6" s="3"/>
      <c r="F6" s="2"/>
      <c r="G6" s="2"/>
      <c r="H6" s="3"/>
      <c r="I6" s="3"/>
      <c r="J6" s="3"/>
      <c r="K6" s="3"/>
      <c r="L6" s="3"/>
      <c r="M6" s="3"/>
    </row>
    <row r="7" spans="1:37" x14ac:dyDescent="0.25">
      <c r="A7" s="2" t="s">
        <v>165</v>
      </c>
      <c r="B7" s="14">
        <f>'Sample RO III-Phase 2'!F20</f>
        <v>0</v>
      </c>
      <c r="C7" s="3"/>
      <c r="D7" s="15" t="e">
        <f t="shared" si="0"/>
        <v>#DIV/0!</v>
      </c>
      <c r="E7" s="3"/>
      <c r="F7" s="3"/>
      <c r="H7" s="3"/>
      <c r="I7" s="3"/>
      <c r="J7" s="3"/>
      <c r="K7" s="3"/>
      <c r="L7" s="3"/>
      <c r="M7" s="3"/>
    </row>
    <row r="8" spans="1:37" x14ac:dyDescent="0.25">
      <c r="A8" s="2" t="s">
        <v>109</v>
      </c>
      <c r="B8" s="14">
        <f>'Sample RO IV'!F20</f>
        <v>0</v>
      </c>
      <c r="C8" s="3"/>
      <c r="D8" s="15" t="e">
        <f t="shared" si="0"/>
        <v>#DIV/0!</v>
      </c>
      <c r="E8" s="3"/>
      <c r="F8" s="3"/>
      <c r="H8" s="3"/>
      <c r="I8" s="3"/>
      <c r="J8" s="3"/>
      <c r="K8" s="3"/>
      <c r="L8" s="3"/>
      <c r="M8" s="3"/>
    </row>
    <row r="9" spans="1:37" x14ac:dyDescent="0.25">
      <c r="A9" s="2" t="s">
        <v>110</v>
      </c>
      <c r="B9" s="14">
        <f>'Sample RO V'!F20</f>
        <v>0</v>
      </c>
      <c r="C9" s="3"/>
      <c r="D9" s="15" t="e">
        <f t="shared" si="0"/>
        <v>#DIV/0!</v>
      </c>
      <c r="E9" s="3"/>
      <c r="F9" s="3"/>
      <c r="H9" s="3"/>
      <c r="I9" s="3"/>
      <c r="J9" s="3"/>
      <c r="K9" s="3"/>
      <c r="L9" s="3"/>
      <c r="M9" s="3"/>
    </row>
    <row r="10" spans="1:37" x14ac:dyDescent="0.25">
      <c r="A10" s="16" t="s">
        <v>166</v>
      </c>
      <c r="B10" s="14">
        <f>'Sample RO VI'!F20</f>
        <v>0</v>
      </c>
      <c r="C10" s="3"/>
      <c r="D10" s="15" t="e">
        <f t="shared" si="0"/>
        <v>#DIV/0!</v>
      </c>
      <c r="E10" s="3"/>
      <c r="F10" s="3"/>
      <c r="G10" s="3"/>
      <c r="H10" s="3"/>
      <c r="I10" s="3"/>
      <c r="J10" s="3"/>
      <c r="K10" s="3"/>
      <c r="L10" s="3"/>
      <c r="M10" s="3"/>
    </row>
    <row r="11" spans="1:37" x14ac:dyDescent="0.25">
      <c r="A11" s="16" t="s">
        <v>167</v>
      </c>
      <c r="B11" s="14">
        <f>'Sample RO VII'!F20</f>
        <v>0</v>
      </c>
      <c r="C11" s="3"/>
      <c r="D11" s="15" t="e">
        <f t="shared" si="0"/>
        <v>#DIV/0!</v>
      </c>
      <c r="E11" s="3"/>
      <c r="F11" s="3"/>
      <c r="G11" s="3"/>
      <c r="H11" s="3"/>
      <c r="I11" s="3"/>
      <c r="J11" s="3"/>
      <c r="K11" s="3"/>
      <c r="L11" s="3"/>
      <c r="M11" s="3"/>
    </row>
    <row r="12" spans="1:37" x14ac:dyDescent="0.25">
      <c r="A12" s="16" t="s">
        <v>48</v>
      </c>
      <c r="B12" s="14">
        <f>'Website maintenance'!F20</f>
        <v>0</v>
      </c>
      <c r="C12" s="3"/>
      <c r="D12" s="15" t="e">
        <f t="shared" ref="D12" si="1">B12/C12</f>
        <v>#DIV/0!</v>
      </c>
      <c r="E12" s="3"/>
      <c r="F12" s="3"/>
      <c r="G12" s="3"/>
      <c r="H12" s="3"/>
      <c r="I12" s="3"/>
      <c r="J12" s="3"/>
      <c r="K12" s="3"/>
      <c r="L12" s="3"/>
      <c r="M12" s="3"/>
    </row>
    <row r="13" spans="1:37" x14ac:dyDescent="0.25">
      <c r="A13" s="16" t="s">
        <v>111</v>
      </c>
      <c r="B13" s="14">
        <f>Training!F20</f>
        <v>0</v>
      </c>
      <c r="C13" s="3"/>
      <c r="D13" s="15" t="e">
        <f t="shared" ref="D13" si="2">B13/C13</f>
        <v>#DIV/0!</v>
      </c>
      <c r="E13" s="3"/>
      <c r="F13" s="3"/>
      <c r="G13" s="3"/>
      <c r="H13" s="3"/>
      <c r="I13" s="3"/>
      <c r="J13" s="3"/>
      <c r="K13" s="3"/>
      <c r="L13" s="3"/>
      <c r="M13" s="3"/>
    </row>
    <row r="14" spans="1:37" x14ac:dyDescent="0.25">
      <c r="A14" s="223" t="s">
        <v>198</v>
      </c>
      <c r="B14" s="3"/>
      <c r="C14" s="3"/>
      <c r="D14" s="3"/>
      <c r="E14" s="3"/>
      <c r="F14" s="3"/>
      <c r="G14" s="3"/>
      <c r="H14" s="3"/>
      <c r="I14" s="3"/>
      <c r="J14" s="3"/>
      <c r="K14" s="3"/>
      <c r="L14" s="3"/>
      <c r="M14" s="3"/>
      <c r="AK14" s="5"/>
    </row>
    <row r="15" spans="1:37" x14ac:dyDescent="0.25">
      <c r="A15" s="13" t="s">
        <v>177</v>
      </c>
      <c r="B15" s="34"/>
      <c r="C15" s="34"/>
      <c r="D15" s="34"/>
      <c r="E15" s="34"/>
      <c r="F15" s="34"/>
      <c r="G15" s="34"/>
      <c r="H15" s="34"/>
      <c r="I15" s="34"/>
      <c r="J15" s="34"/>
      <c r="K15" s="34"/>
      <c r="L15" s="3"/>
      <c r="M15" s="19"/>
      <c r="AK15" s="5"/>
    </row>
    <row r="16" spans="1:37" x14ac:dyDescent="0.25">
      <c r="A16" s="17"/>
      <c r="B16" s="6" t="s">
        <v>112</v>
      </c>
      <c r="C16" s="6" t="s">
        <v>113</v>
      </c>
      <c r="D16" s="6" t="s">
        <v>114</v>
      </c>
      <c r="E16" s="6" t="s">
        <v>115</v>
      </c>
      <c r="F16" s="6" t="s">
        <v>116</v>
      </c>
      <c r="G16" s="6" t="s">
        <v>117</v>
      </c>
      <c r="H16" s="6" t="s">
        <v>118</v>
      </c>
      <c r="I16" s="6" t="s">
        <v>119</v>
      </c>
      <c r="J16" s="6" t="s">
        <v>120</v>
      </c>
      <c r="K16" s="6" t="s">
        <v>121</v>
      </c>
      <c r="L16" s="3"/>
      <c r="M16" s="3"/>
      <c r="AK16" s="7"/>
    </row>
    <row r="17" spans="1:37" x14ac:dyDescent="0.25">
      <c r="A17" s="2" t="s">
        <v>106</v>
      </c>
      <c r="B17" s="14">
        <f t="shared" ref="B17:B27" si="3">B3</f>
        <v>0</v>
      </c>
      <c r="C17" s="14">
        <f>B17*(1+Rates!$F$10)</f>
        <v>0</v>
      </c>
      <c r="D17" s="14">
        <f>C17*(1+Rates!$F$10)</f>
        <v>0</v>
      </c>
      <c r="E17" s="14">
        <f>D17*(1+Rates!$F$10)</f>
        <v>0</v>
      </c>
      <c r="F17" s="14">
        <f>E17*(1+Rates!$F$10)</f>
        <v>0</v>
      </c>
      <c r="G17" s="14">
        <f>F17*(1+Rates!$F$10)</f>
        <v>0</v>
      </c>
      <c r="H17" s="14">
        <f>G17*(1+Rates!$F$10)</f>
        <v>0</v>
      </c>
      <c r="I17" s="14">
        <f>H17*(1+Rates!$F$10)</f>
        <v>0</v>
      </c>
      <c r="J17" s="14">
        <f>I17*(1+Rates!$F$10)</f>
        <v>0</v>
      </c>
      <c r="K17" s="14">
        <f>J17*(1+Rates!$F$10)</f>
        <v>0</v>
      </c>
      <c r="L17" s="14"/>
      <c r="M17" s="10"/>
      <c r="AK17" s="5"/>
    </row>
    <row r="18" spans="1:37" x14ac:dyDescent="0.25">
      <c r="A18" s="2" t="s">
        <v>107</v>
      </c>
      <c r="B18" s="14">
        <f t="shared" si="3"/>
        <v>0</v>
      </c>
      <c r="C18" s="14">
        <f>B18*(1+Rates!$F$10)</f>
        <v>0</v>
      </c>
      <c r="D18" s="14">
        <f>C18*(1+Rates!$F$10)</f>
        <v>0</v>
      </c>
      <c r="E18" s="14">
        <f>D18*(1+Rates!$F$10)</f>
        <v>0</v>
      </c>
      <c r="F18" s="14">
        <f>E18*(1+Rates!$F$10)</f>
        <v>0</v>
      </c>
      <c r="G18" s="14">
        <f>F18*(1+Rates!$F$10)</f>
        <v>0</v>
      </c>
      <c r="H18" s="14">
        <f>G18*(1+Rates!$F$10)</f>
        <v>0</v>
      </c>
      <c r="I18" s="14">
        <f>H18*(1+Rates!$F$10)</f>
        <v>0</v>
      </c>
      <c r="J18" s="14">
        <f>I18*(1+Rates!$F$10)</f>
        <v>0</v>
      </c>
      <c r="K18" s="14">
        <f>J18*(1+Rates!$F$10)</f>
        <v>0</v>
      </c>
      <c r="L18" s="14"/>
      <c r="M18" s="10"/>
      <c r="AK18" s="5"/>
    </row>
    <row r="19" spans="1:37" x14ac:dyDescent="0.25">
      <c r="A19" s="2" t="s">
        <v>108</v>
      </c>
      <c r="B19" s="14">
        <f t="shared" si="3"/>
        <v>0</v>
      </c>
      <c r="C19" s="14">
        <f>B19*(1+Rates!$F$10)</f>
        <v>0</v>
      </c>
      <c r="D19" s="14">
        <f>C19*(1+Rates!$F$10)</f>
        <v>0</v>
      </c>
      <c r="E19" s="14">
        <f>D19*(1+Rates!$F$10)</f>
        <v>0</v>
      </c>
      <c r="F19" s="14">
        <f>E19*(1+Rates!$F$10)</f>
        <v>0</v>
      </c>
      <c r="G19" s="14">
        <f>F19*(1+Rates!$F$10)</f>
        <v>0</v>
      </c>
      <c r="H19" s="14">
        <f>G19*(1+Rates!$F$10)</f>
        <v>0</v>
      </c>
      <c r="I19" s="14">
        <f>H19*(1+Rates!$F$10)</f>
        <v>0</v>
      </c>
      <c r="J19" s="14">
        <f>I19*(1+Rates!$F$10)</f>
        <v>0</v>
      </c>
      <c r="K19" s="14">
        <f>J19*(1+Rates!$F$10)</f>
        <v>0</v>
      </c>
      <c r="L19" s="14"/>
      <c r="M19" s="10"/>
      <c r="AK19" s="5"/>
    </row>
    <row r="20" spans="1:37" x14ac:dyDescent="0.25">
      <c r="A20" s="2" t="s">
        <v>164</v>
      </c>
      <c r="B20" s="14">
        <f t="shared" si="3"/>
        <v>0</v>
      </c>
      <c r="C20" s="14">
        <f>B20*(1+Rates!$F$10)</f>
        <v>0</v>
      </c>
      <c r="D20" s="14">
        <f>C20*(1+Rates!$F$10)</f>
        <v>0</v>
      </c>
      <c r="E20" s="14">
        <f>D20*(1+Rates!$F$10)</f>
        <v>0</v>
      </c>
      <c r="F20" s="14">
        <f>E20*(1+Rates!$F$10)</f>
        <v>0</v>
      </c>
      <c r="G20" s="14">
        <f>F20*(1+Rates!$F$10)</f>
        <v>0</v>
      </c>
      <c r="H20" s="14">
        <f>G20*(1+Rates!$F$10)</f>
        <v>0</v>
      </c>
      <c r="I20" s="14">
        <f>H20*(1+Rates!$F$10)</f>
        <v>0</v>
      </c>
      <c r="J20" s="14">
        <f>I20*(1+Rates!$F$10)</f>
        <v>0</v>
      </c>
      <c r="K20" s="14">
        <f>J20*(1+Rates!$F$10)</f>
        <v>0</v>
      </c>
      <c r="L20" s="14"/>
      <c r="M20" s="10"/>
      <c r="AK20" s="5"/>
    </row>
    <row r="21" spans="1:37" x14ac:dyDescent="0.25">
      <c r="A21" s="2" t="s">
        <v>165</v>
      </c>
      <c r="B21" s="14">
        <f t="shared" si="3"/>
        <v>0</v>
      </c>
      <c r="C21" s="14">
        <f>B21*(1+Rates!$F$10)</f>
        <v>0</v>
      </c>
      <c r="D21" s="14">
        <f>C21*(1+Rates!$F$10)</f>
        <v>0</v>
      </c>
      <c r="E21" s="14">
        <f>D21*(1+Rates!$F$10)</f>
        <v>0</v>
      </c>
      <c r="F21" s="14">
        <f>E21*(1+Rates!$F$10)</f>
        <v>0</v>
      </c>
      <c r="G21" s="14">
        <f>F21*(1+Rates!$F$10)</f>
        <v>0</v>
      </c>
      <c r="H21" s="14">
        <f>G21*(1+Rates!$F$10)</f>
        <v>0</v>
      </c>
      <c r="I21" s="14">
        <f>H21*(1+Rates!$F$10)</f>
        <v>0</v>
      </c>
      <c r="J21" s="14">
        <f>I21*(1+Rates!$F$10)</f>
        <v>0</v>
      </c>
      <c r="K21" s="14">
        <f>J21*(1+Rates!$F$10)</f>
        <v>0</v>
      </c>
      <c r="L21" s="14"/>
      <c r="M21" s="10"/>
      <c r="AK21" s="5"/>
    </row>
    <row r="22" spans="1:37" x14ac:dyDescent="0.25">
      <c r="A22" s="2" t="s">
        <v>109</v>
      </c>
      <c r="B22" s="14">
        <f t="shared" si="3"/>
        <v>0</v>
      </c>
      <c r="C22" s="14">
        <f>B22*(1+Rates!$F$10)</f>
        <v>0</v>
      </c>
      <c r="D22" s="14">
        <f>C22*(1+Rates!$F$10)</f>
        <v>0</v>
      </c>
      <c r="E22" s="14">
        <f>D22*(1+Rates!$F$10)</f>
        <v>0</v>
      </c>
      <c r="F22" s="14">
        <f>E22*(1+Rates!$F$10)</f>
        <v>0</v>
      </c>
      <c r="G22" s="14">
        <f>F22*(1+Rates!$F$10)</f>
        <v>0</v>
      </c>
      <c r="H22" s="14">
        <f>G22*(1+Rates!$F$10)</f>
        <v>0</v>
      </c>
      <c r="I22" s="14">
        <f>H22*(1+Rates!$F$10)</f>
        <v>0</v>
      </c>
      <c r="J22" s="14">
        <f>I22*(1+Rates!$F$10)</f>
        <v>0</v>
      </c>
      <c r="K22" s="14">
        <f>J22*(1+Rates!$F$10)</f>
        <v>0</v>
      </c>
      <c r="L22" s="14"/>
      <c r="M22" s="10"/>
      <c r="AK22" s="5"/>
    </row>
    <row r="23" spans="1:37" x14ac:dyDescent="0.25">
      <c r="A23" s="2" t="s">
        <v>110</v>
      </c>
      <c r="B23" s="14">
        <f t="shared" si="3"/>
        <v>0</v>
      </c>
      <c r="C23" s="14">
        <f>B23*(1+Rates!$F$10)</f>
        <v>0</v>
      </c>
      <c r="D23" s="14">
        <f>C23*(1+Rates!$F$10)</f>
        <v>0</v>
      </c>
      <c r="E23" s="14">
        <f>D23*(1+Rates!$F$10)</f>
        <v>0</v>
      </c>
      <c r="F23" s="14">
        <f>E23*(1+Rates!$F$10)</f>
        <v>0</v>
      </c>
      <c r="G23" s="14">
        <f>F23*(1+Rates!$F$10)</f>
        <v>0</v>
      </c>
      <c r="H23" s="14">
        <f>G23*(1+Rates!$F$10)</f>
        <v>0</v>
      </c>
      <c r="I23" s="14">
        <f>H23*(1+Rates!$F$10)</f>
        <v>0</v>
      </c>
      <c r="J23" s="14">
        <f>I23*(1+Rates!$F$10)</f>
        <v>0</v>
      </c>
      <c r="K23" s="14">
        <f>J23*(1+Rates!$F$10)</f>
        <v>0</v>
      </c>
      <c r="L23" s="14"/>
      <c r="M23" s="10"/>
      <c r="AK23" s="8"/>
    </row>
    <row r="24" spans="1:37" x14ac:dyDescent="0.25">
      <c r="A24" s="16" t="s">
        <v>166</v>
      </c>
      <c r="B24" s="14">
        <f t="shared" si="3"/>
        <v>0</v>
      </c>
      <c r="C24" s="14">
        <f>B24*(1+Rates!$F$10)</f>
        <v>0</v>
      </c>
      <c r="D24" s="14">
        <f>C24*(1+Rates!$F$10)</f>
        <v>0</v>
      </c>
      <c r="E24" s="14">
        <f>D24*(1+Rates!$F$10)</f>
        <v>0</v>
      </c>
      <c r="F24" s="14">
        <f>E24*(1+Rates!$F$10)</f>
        <v>0</v>
      </c>
      <c r="G24" s="14">
        <f>F24*(1+Rates!$F$10)</f>
        <v>0</v>
      </c>
      <c r="H24" s="14">
        <f>G24*(1+Rates!$F$10)</f>
        <v>0</v>
      </c>
      <c r="I24" s="14">
        <f>H24*(1+Rates!$F$10)</f>
        <v>0</v>
      </c>
      <c r="J24" s="14">
        <f>I24*(1+Rates!$F$10)</f>
        <v>0</v>
      </c>
      <c r="K24" s="14">
        <f>J24*(1+Rates!$F$10)</f>
        <v>0</v>
      </c>
      <c r="L24" s="14"/>
      <c r="M24" s="10"/>
      <c r="AK24" s="8"/>
    </row>
    <row r="25" spans="1:37" x14ac:dyDescent="0.25">
      <c r="A25" s="16" t="s">
        <v>167</v>
      </c>
      <c r="B25" s="14">
        <f t="shared" si="3"/>
        <v>0</v>
      </c>
      <c r="C25" s="14">
        <f>B25*(1+Rates!$F$10)</f>
        <v>0</v>
      </c>
      <c r="D25" s="14">
        <f>C25*(1+Rates!$F$10)</f>
        <v>0</v>
      </c>
      <c r="E25" s="14">
        <f>D25*(1+Rates!$F$10)</f>
        <v>0</v>
      </c>
      <c r="F25" s="14">
        <f>E25*(1+Rates!$F$10)</f>
        <v>0</v>
      </c>
      <c r="G25" s="14">
        <f>F25*(1+Rates!$F$10)</f>
        <v>0</v>
      </c>
      <c r="H25" s="14">
        <f>G25*(1+Rates!$F$10)</f>
        <v>0</v>
      </c>
      <c r="I25" s="14">
        <f>H25*(1+Rates!$F$10)</f>
        <v>0</v>
      </c>
      <c r="J25" s="14">
        <f>I25*(1+Rates!$F$10)</f>
        <v>0</v>
      </c>
      <c r="K25" s="14">
        <f>J25*(1+Rates!$F$10)</f>
        <v>0</v>
      </c>
      <c r="L25" s="14"/>
      <c r="M25" s="10"/>
      <c r="AK25" s="8"/>
    </row>
    <row r="26" spans="1:37" x14ac:dyDescent="0.25">
      <c r="A26" s="16" t="s">
        <v>48</v>
      </c>
      <c r="B26" s="14">
        <f t="shared" si="3"/>
        <v>0</v>
      </c>
      <c r="C26" s="14">
        <f>B26*(1+Rates!$F$10)</f>
        <v>0</v>
      </c>
      <c r="D26" s="14">
        <f>C26*(1+Rates!$F$10)</f>
        <v>0</v>
      </c>
      <c r="E26" s="14">
        <f>D26*(1+Rates!$F$10)</f>
        <v>0</v>
      </c>
      <c r="F26" s="14">
        <f>E26*(1+Rates!$F$10)</f>
        <v>0</v>
      </c>
      <c r="G26" s="14">
        <f>F26*(1+Rates!$F$10)</f>
        <v>0</v>
      </c>
      <c r="H26" s="14">
        <f>G26*(1+Rates!$F$10)</f>
        <v>0</v>
      </c>
      <c r="I26" s="14">
        <f>H26*(1+Rates!$F$10)</f>
        <v>0</v>
      </c>
      <c r="J26" s="14">
        <f>I26*(1+Rates!$F$10)</f>
        <v>0</v>
      </c>
      <c r="K26" s="14">
        <f>J26*(1+Rates!$F$10)</f>
        <v>0</v>
      </c>
      <c r="L26" s="14"/>
      <c r="M26" s="10"/>
      <c r="AK26" s="8"/>
    </row>
    <row r="27" spans="1:37" x14ac:dyDescent="0.25">
      <c r="A27" s="16" t="s">
        <v>111</v>
      </c>
      <c r="B27" s="14">
        <f t="shared" si="3"/>
        <v>0</v>
      </c>
      <c r="C27" s="14">
        <f>B27*(1+Rates!$F$10)</f>
        <v>0</v>
      </c>
      <c r="D27" s="14">
        <f>C27*(1+Rates!$F$10)</f>
        <v>0</v>
      </c>
      <c r="E27" s="14">
        <f>D27*(1+Rates!$F$10)</f>
        <v>0</v>
      </c>
      <c r="F27" s="14">
        <f>E27*(1+Rates!$F$10)</f>
        <v>0</v>
      </c>
      <c r="G27" s="14">
        <f>F27*(1+Rates!$F$10)</f>
        <v>0</v>
      </c>
      <c r="H27" s="14">
        <f>G27*(1+Rates!$F$10)</f>
        <v>0</v>
      </c>
      <c r="I27" s="14">
        <f>H27*(1+Rates!$F$10)</f>
        <v>0</v>
      </c>
      <c r="J27" s="14">
        <f>I27*(1+Rates!$F$10)</f>
        <v>0</v>
      </c>
      <c r="K27" s="14">
        <f>J27*(1+Rates!$F$10)</f>
        <v>0</v>
      </c>
      <c r="L27" s="14"/>
      <c r="M27" s="10"/>
      <c r="AK27" s="8"/>
    </row>
    <row r="28" spans="1:37" x14ac:dyDescent="0.25">
      <c r="A28" s="2"/>
      <c r="B28" s="32"/>
      <c r="C28" s="32"/>
      <c r="M28" s="19"/>
      <c r="AK28" s="18"/>
    </row>
    <row r="29" spans="1:37" ht="16.5" thickBot="1" x14ac:dyDescent="0.3">
      <c r="A29" s="2"/>
      <c r="M29" s="19"/>
      <c r="AK29" s="8"/>
    </row>
    <row r="30" spans="1:37" x14ac:dyDescent="0.25">
      <c r="A30" s="13" t="s">
        <v>178</v>
      </c>
      <c r="B30" s="34"/>
      <c r="C30" s="34"/>
      <c r="D30" s="34"/>
      <c r="E30" s="34"/>
      <c r="F30" s="34"/>
      <c r="G30" s="34"/>
      <c r="H30" s="34"/>
      <c r="I30" s="34"/>
      <c r="J30" s="34"/>
      <c r="K30" s="34"/>
      <c r="L30" s="35"/>
      <c r="M30" s="35"/>
      <c r="O30" s="54" t="s">
        <v>122</v>
      </c>
      <c r="P30" s="55"/>
      <c r="AJ30" s="8"/>
    </row>
    <row r="31" spans="1:37" x14ac:dyDescent="0.25">
      <c r="A31" s="38" t="s">
        <v>123</v>
      </c>
      <c r="B31" s="6" t="s">
        <v>112</v>
      </c>
      <c r="C31" s="6" t="s">
        <v>113</v>
      </c>
      <c r="D31" s="6" t="s">
        <v>114</v>
      </c>
      <c r="E31" s="6" t="s">
        <v>115</v>
      </c>
      <c r="F31" s="6" t="s">
        <v>116</v>
      </c>
      <c r="G31" s="6" t="s">
        <v>117</v>
      </c>
      <c r="H31" s="6" t="s">
        <v>118</v>
      </c>
      <c r="I31" s="6" t="s">
        <v>119</v>
      </c>
      <c r="J31" s="6" t="s">
        <v>120</v>
      </c>
      <c r="K31" s="6" t="s">
        <v>121</v>
      </c>
      <c r="L31" s="6" t="s">
        <v>124</v>
      </c>
      <c r="O31" s="39" t="s">
        <v>125</v>
      </c>
      <c r="P31" s="40">
        <f>L45</f>
        <v>0</v>
      </c>
      <c r="AJ31" s="8"/>
    </row>
    <row r="32" spans="1:37" x14ac:dyDescent="0.25">
      <c r="A32" s="2" t="s">
        <v>106</v>
      </c>
      <c r="B32" s="14">
        <f>B17*1</f>
        <v>0</v>
      </c>
      <c r="C32" s="14">
        <f t="shared" ref="C32:K32" si="4">C17*1</f>
        <v>0</v>
      </c>
      <c r="D32" s="14">
        <f t="shared" si="4"/>
        <v>0</v>
      </c>
      <c r="E32" s="14">
        <f t="shared" si="4"/>
        <v>0</v>
      </c>
      <c r="F32" s="14">
        <f t="shared" si="4"/>
        <v>0</v>
      </c>
      <c r="G32" s="14">
        <f t="shared" si="4"/>
        <v>0</v>
      </c>
      <c r="H32" s="14">
        <f t="shared" si="4"/>
        <v>0</v>
      </c>
      <c r="I32" s="14">
        <f t="shared" si="4"/>
        <v>0</v>
      </c>
      <c r="J32" s="14">
        <f t="shared" si="4"/>
        <v>0</v>
      </c>
      <c r="K32" s="14">
        <f t="shared" si="4"/>
        <v>0</v>
      </c>
      <c r="L32" s="14">
        <f t="shared" ref="L32:L40" si="5">SUM(B32:K32)</f>
        <v>0</v>
      </c>
      <c r="O32" s="39" t="s">
        <v>144</v>
      </c>
      <c r="P32" s="40">
        <f>SUM(P31+L62)</f>
        <v>0</v>
      </c>
      <c r="AJ32" s="8"/>
    </row>
    <row r="33" spans="1:37" ht="16.5" thickBot="1" x14ac:dyDescent="0.3">
      <c r="A33" s="2" t="s">
        <v>107</v>
      </c>
      <c r="B33" s="14">
        <f t="shared" ref="B33:K33" si="6">B18*10</f>
        <v>0</v>
      </c>
      <c r="C33" s="14">
        <f t="shared" si="6"/>
        <v>0</v>
      </c>
      <c r="D33" s="14">
        <f t="shared" si="6"/>
        <v>0</v>
      </c>
      <c r="E33" s="14">
        <f t="shared" si="6"/>
        <v>0</v>
      </c>
      <c r="F33" s="14">
        <f t="shared" si="6"/>
        <v>0</v>
      </c>
      <c r="G33" s="14">
        <f t="shared" si="6"/>
        <v>0</v>
      </c>
      <c r="H33" s="14">
        <f t="shared" si="6"/>
        <v>0</v>
      </c>
      <c r="I33" s="14">
        <f t="shared" si="6"/>
        <v>0</v>
      </c>
      <c r="J33" s="14">
        <f t="shared" si="6"/>
        <v>0</v>
      </c>
      <c r="K33" s="14">
        <f t="shared" si="6"/>
        <v>0</v>
      </c>
      <c r="L33" s="14">
        <f t="shared" si="5"/>
        <v>0</v>
      </c>
      <c r="O33" s="159" t="s">
        <v>145</v>
      </c>
      <c r="P33" s="160">
        <f>SUM(P32+M62)</f>
        <v>0</v>
      </c>
      <c r="AJ33" s="8"/>
    </row>
    <row r="34" spans="1:37" x14ac:dyDescent="0.25">
      <c r="A34" s="2" t="s">
        <v>108</v>
      </c>
      <c r="B34" s="14">
        <f t="shared" ref="B34:K34" si="7">B19*9</f>
        <v>0</v>
      </c>
      <c r="C34" s="14">
        <f t="shared" si="7"/>
        <v>0</v>
      </c>
      <c r="D34" s="14">
        <f t="shared" si="7"/>
        <v>0</v>
      </c>
      <c r="E34" s="14">
        <f t="shared" si="7"/>
        <v>0</v>
      </c>
      <c r="F34" s="14">
        <f t="shared" si="7"/>
        <v>0</v>
      </c>
      <c r="G34" s="14">
        <f t="shared" si="7"/>
        <v>0</v>
      </c>
      <c r="H34" s="14">
        <f t="shared" si="7"/>
        <v>0</v>
      </c>
      <c r="I34" s="14">
        <f t="shared" si="7"/>
        <v>0</v>
      </c>
      <c r="J34" s="14">
        <f t="shared" si="7"/>
        <v>0</v>
      </c>
      <c r="K34" s="14">
        <f t="shared" si="7"/>
        <v>0</v>
      </c>
      <c r="L34" s="14">
        <f t="shared" si="5"/>
        <v>0</v>
      </c>
      <c r="O34" s="157"/>
      <c r="P34" s="158"/>
      <c r="AJ34" s="8"/>
    </row>
    <row r="35" spans="1:37" x14ac:dyDescent="0.25">
      <c r="A35" s="2" t="s">
        <v>164</v>
      </c>
      <c r="B35" s="14">
        <f t="shared" ref="B35:K35" si="8">B20*2</f>
        <v>0</v>
      </c>
      <c r="C35" s="14">
        <f t="shared" si="8"/>
        <v>0</v>
      </c>
      <c r="D35" s="14">
        <f t="shared" si="8"/>
        <v>0</v>
      </c>
      <c r="E35" s="14">
        <f t="shared" si="8"/>
        <v>0</v>
      </c>
      <c r="F35" s="14">
        <f t="shared" si="8"/>
        <v>0</v>
      </c>
      <c r="G35" s="14">
        <f t="shared" si="8"/>
        <v>0</v>
      </c>
      <c r="H35" s="14">
        <f t="shared" si="8"/>
        <v>0</v>
      </c>
      <c r="I35" s="14">
        <f t="shared" si="8"/>
        <v>0</v>
      </c>
      <c r="J35" s="14">
        <f t="shared" si="8"/>
        <v>0</v>
      </c>
      <c r="K35" s="14">
        <f t="shared" si="8"/>
        <v>0</v>
      </c>
      <c r="L35" s="14">
        <f t="shared" si="5"/>
        <v>0</v>
      </c>
      <c r="O35" s="157"/>
      <c r="P35" s="158"/>
      <c r="AJ35" s="18"/>
    </row>
    <row r="36" spans="1:37" x14ac:dyDescent="0.25">
      <c r="A36" s="2" t="s">
        <v>165</v>
      </c>
      <c r="B36" s="14">
        <f t="shared" ref="B36:K36" si="9">B21*2</f>
        <v>0</v>
      </c>
      <c r="C36" s="14">
        <f t="shared" si="9"/>
        <v>0</v>
      </c>
      <c r="D36" s="14">
        <f t="shared" si="9"/>
        <v>0</v>
      </c>
      <c r="E36" s="14">
        <f t="shared" si="9"/>
        <v>0</v>
      </c>
      <c r="F36" s="14">
        <f t="shared" si="9"/>
        <v>0</v>
      </c>
      <c r="G36" s="14">
        <f t="shared" si="9"/>
        <v>0</v>
      </c>
      <c r="H36" s="14">
        <f t="shared" si="9"/>
        <v>0</v>
      </c>
      <c r="I36" s="14">
        <f t="shared" si="9"/>
        <v>0</v>
      </c>
      <c r="J36" s="14">
        <f t="shared" si="9"/>
        <v>0</v>
      </c>
      <c r="K36" s="14">
        <f t="shared" si="9"/>
        <v>0</v>
      </c>
      <c r="L36" s="14">
        <f t="shared" si="5"/>
        <v>0</v>
      </c>
    </row>
    <row r="37" spans="1:37" x14ac:dyDescent="0.25">
      <c r="A37" s="2" t="s">
        <v>109</v>
      </c>
      <c r="B37" s="14">
        <f t="shared" ref="B37:K37" si="10">B22*6</f>
        <v>0</v>
      </c>
      <c r="C37" s="14">
        <f t="shared" si="10"/>
        <v>0</v>
      </c>
      <c r="D37" s="14">
        <f t="shared" si="10"/>
        <v>0</v>
      </c>
      <c r="E37" s="14">
        <f t="shared" si="10"/>
        <v>0</v>
      </c>
      <c r="F37" s="14">
        <f t="shared" si="10"/>
        <v>0</v>
      </c>
      <c r="G37" s="14">
        <f t="shared" si="10"/>
        <v>0</v>
      </c>
      <c r="H37" s="14">
        <f t="shared" si="10"/>
        <v>0</v>
      </c>
      <c r="I37" s="14">
        <f t="shared" si="10"/>
        <v>0</v>
      </c>
      <c r="J37" s="14">
        <f t="shared" si="10"/>
        <v>0</v>
      </c>
      <c r="K37" s="14">
        <f t="shared" si="10"/>
        <v>0</v>
      </c>
      <c r="L37" s="14">
        <f t="shared" si="5"/>
        <v>0</v>
      </c>
    </row>
    <row r="38" spans="1:37" x14ac:dyDescent="0.25">
      <c r="A38" s="2" t="s">
        <v>110</v>
      </c>
      <c r="B38" s="14">
        <f t="shared" ref="B38:K38" si="11">B23*10</f>
        <v>0</v>
      </c>
      <c r="C38" s="14">
        <f t="shared" si="11"/>
        <v>0</v>
      </c>
      <c r="D38" s="14">
        <f t="shared" si="11"/>
        <v>0</v>
      </c>
      <c r="E38" s="14">
        <f t="shared" si="11"/>
        <v>0</v>
      </c>
      <c r="F38" s="14">
        <f t="shared" si="11"/>
        <v>0</v>
      </c>
      <c r="G38" s="14">
        <f t="shared" si="11"/>
        <v>0</v>
      </c>
      <c r="H38" s="14">
        <f t="shared" si="11"/>
        <v>0</v>
      </c>
      <c r="I38" s="14">
        <f t="shared" si="11"/>
        <v>0</v>
      </c>
      <c r="J38" s="14">
        <f t="shared" si="11"/>
        <v>0</v>
      </c>
      <c r="K38" s="14">
        <f t="shared" si="11"/>
        <v>0</v>
      </c>
      <c r="L38" s="14">
        <f t="shared" si="5"/>
        <v>0</v>
      </c>
    </row>
    <row r="39" spans="1:37" x14ac:dyDescent="0.25">
      <c r="A39" s="16" t="s">
        <v>166</v>
      </c>
      <c r="B39" s="14">
        <f t="shared" ref="B39:K39" si="12">B24*2</f>
        <v>0</v>
      </c>
      <c r="C39" s="14">
        <f t="shared" si="12"/>
        <v>0</v>
      </c>
      <c r="D39" s="14">
        <f t="shared" si="12"/>
        <v>0</v>
      </c>
      <c r="E39" s="14">
        <f t="shared" si="12"/>
        <v>0</v>
      </c>
      <c r="F39" s="14">
        <f t="shared" si="12"/>
        <v>0</v>
      </c>
      <c r="G39" s="14">
        <f t="shared" si="12"/>
        <v>0</v>
      </c>
      <c r="H39" s="14">
        <f t="shared" si="12"/>
        <v>0</v>
      </c>
      <c r="I39" s="14">
        <f t="shared" si="12"/>
        <v>0</v>
      </c>
      <c r="J39" s="14">
        <f t="shared" si="12"/>
        <v>0</v>
      </c>
      <c r="K39" s="14">
        <f t="shared" si="12"/>
        <v>0</v>
      </c>
      <c r="L39" s="14">
        <f t="shared" si="5"/>
        <v>0</v>
      </c>
      <c r="AJ39" s="8"/>
    </row>
    <row r="40" spans="1:37" x14ac:dyDescent="0.25">
      <c r="A40" s="16" t="s">
        <v>167</v>
      </c>
      <c r="B40" s="14">
        <f t="shared" ref="B40:K40" si="13">B25*27</f>
        <v>0</v>
      </c>
      <c r="C40" s="14">
        <f t="shared" si="13"/>
        <v>0</v>
      </c>
      <c r="D40" s="14">
        <f t="shared" si="13"/>
        <v>0</v>
      </c>
      <c r="E40" s="14">
        <f t="shared" si="13"/>
        <v>0</v>
      </c>
      <c r="F40" s="14">
        <f t="shared" si="13"/>
        <v>0</v>
      </c>
      <c r="G40" s="14">
        <f t="shared" si="13"/>
        <v>0</v>
      </c>
      <c r="H40" s="14">
        <f t="shared" si="13"/>
        <v>0</v>
      </c>
      <c r="I40" s="14">
        <f t="shared" si="13"/>
        <v>0</v>
      </c>
      <c r="J40" s="14">
        <f t="shared" si="13"/>
        <v>0</v>
      </c>
      <c r="K40" s="14">
        <f t="shared" si="13"/>
        <v>0</v>
      </c>
      <c r="L40" s="14">
        <f t="shared" si="5"/>
        <v>0</v>
      </c>
      <c r="AJ40" s="8"/>
    </row>
    <row r="41" spans="1:37" x14ac:dyDescent="0.25">
      <c r="A41" s="16" t="s">
        <v>48</v>
      </c>
      <c r="B41" s="14">
        <f t="shared" ref="B41:K41" si="14">B26*3</f>
        <v>0</v>
      </c>
      <c r="C41" s="14">
        <f t="shared" si="14"/>
        <v>0</v>
      </c>
      <c r="D41" s="14">
        <f t="shared" si="14"/>
        <v>0</v>
      </c>
      <c r="E41" s="14">
        <f t="shared" si="14"/>
        <v>0</v>
      </c>
      <c r="F41" s="14">
        <f t="shared" si="14"/>
        <v>0</v>
      </c>
      <c r="G41" s="14">
        <f t="shared" si="14"/>
        <v>0</v>
      </c>
      <c r="H41" s="14">
        <f t="shared" si="14"/>
        <v>0</v>
      </c>
      <c r="I41" s="14">
        <f t="shared" si="14"/>
        <v>0</v>
      </c>
      <c r="J41" s="14">
        <f t="shared" si="14"/>
        <v>0</v>
      </c>
      <c r="K41" s="14">
        <f t="shared" si="14"/>
        <v>0</v>
      </c>
      <c r="L41" s="14">
        <f t="shared" ref="L41" si="15">SUM(B41:K41)</f>
        <v>0</v>
      </c>
      <c r="AJ41" s="8"/>
    </row>
    <row r="42" spans="1:37" x14ac:dyDescent="0.25">
      <c r="A42" s="16" t="s">
        <v>111</v>
      </c>
      <c r="B42" s="14">
        <f t="shared" ref="B42:K42" si="16">B27*2</f>
        <v>0</v>
      </c>
      <c r="C42" s="14">
        <f t="shared" si="16"/>
        <v>0</v>
      </c>
      <c r="D42" s="14">
        <f t="shared" si="16"/>
        <v>0</v>
      </c>
      <c r="E42" s="14">
        <f t="shared" si="16"/>
        <v>0</v>
      </c>
      <c r="F42" s="14">
        <f t="shared" si="16"/>
        <v>0</v>
      </c>
      <c r="G42" s="14">
        <f t="shared" si="16"/>
        <v>0</v>
      </c>
      <c r="H42" s="14">
        <f t="shared" si="16"/>
        <v>0</v>
      </c>
      <c r="I42" s="14">
        <f t="shared" si="16"/>
        <v>0</v>
      </c>
      <c r="J42" s="14">
        <f t="shared" si="16"/>
        <v>0</v>
      </c>
      <c r="K42" s="14">
        <f t="shared" si="16"/>
        <v>0</v>
      </c>
      <c r="L42" s="14">
        <f t="shared" ref="L42" si="17">SUM(B42:K42)</f>
        <v>0</v>
      </c>
      <c r="AJ42" s="8"/>
    </row>
    <row r="43" spans="1:37" x14ac:dyDescent="0.25">
      <c r="A43" s="16" t="s">
        <v>126</v>
      </c>
      <c r="B43" s="14">
        <f>'Contractor Travel'!N86</f>
        <v>0</v>
      </c>
      <c r="C43" s="14">
        <f>B43*(1+Rates!$F$10)</f>
        <v>0</v>
      </c>
      <c r="D43" s="14">
        <f>C43*(1+Rates!$F$10)</f>
        <v>0</v>
      </c>
      <c r="E43" s="14">
        <f>D43*(1+Rates!$F$10)</f>
        <v>0</v>
      </c>
      <c r="F43" s="14">
        <f>E43*(1+Rates!$F$10)</f>
        <v>0</v>
      </c>
      <c r="G43" s="14">
        <f>F43*(1+Rates!$F$10)</f>
        <v>0</v>
      </c>
      <c r="H43" s="14">
        <f>G43*(1+Rates!$F$10)</f>
        <v>0</v>
      </c>
      <c r="I43" s="14">
        <f>H43*(1+Rates!$F$10)</f>
        <v>0</v>
      </c>
      <c r="J43" s="14">
        <f>I43*(1+Rates!$F$10)</f>
        <v>0</v>
      </c>
      <c r="K43" s="14">
        <f>J43*(1+Rates!$F$10)</f>
        <v>0</v>
      </c>
      <c r="L43" s="14">
        <f t="shared" ref="L43" si="18">SUM(B43:K43)</f>
        <v>0</v>
      </c>
      <c r="AJ43" s="8"/>
    </row>
    <row r="44" spans="1:37" x14ac:dyDescent="0.25">
      <c r="A44" s="16" t="s">
        <v>127</v>
      </c>
      <c r="B44" s="14">
        <f>('Expert Group'!N30)+(Workshop!N30)</f>
        <v>0</v>
      </c>
      <c r="C44" s="14">
        <f>B44*(1+Rates!$F$10)</f>
        <v>0</v>
      </c>
      <c r="D44" s="14">
        <f>C44*(1+Rates!$F$10)</f>
        <v>0</v>
      </c>
      <c r="E44" s="14">
        <f>D44*(1+Rates!$F$10)</f>
        <v>0</v>
      </c>
      <c r="F44" s="14">
        <f>E44*(1+Rates!$F$10)</f>
        <v>0</v>
      </c>
      <c r="G44" s="14">
        <f>F44*(1+Rates!$F$10)</f>
        <v>0</v>
      </c>
      <c r="H44" s="14">
        <f>G44*(1+Rates!$F$10)</f>
        <v>0</v>
      </c>
      <c r="I44" s="14">
        <f>H44*(1+Rates!$F$10)</f>
        <v>0</v>
      </c>
      <c r="J44" s="14">
        <f>I44*(1+Rates!$F$10)</f>
        <v>0</v>
      </c>
      <c r="K44" s="14">
        <f>J44*(1+Rates!$F$10)</f>
        <v>0</v>
      </c>
      <c r="L44" s="14">
        <f t="shared" ref="L44" si="19">SUM(B44:K44)</f>
        <v>0</v>
      </c>
      <c r="AJ44" s="8"/>
    </row>
    <row r="45" spans="1:37" x14ac:dyDescent="0.25">
      <c r="A45" s="20" t="s">
        <v>128</v>
      </c>
      <c r="B45" s="14">
        <f t="shared" ref="B45:K45" si="20">SUM(B32:B44)</f>
        <v>0</v>
      </c>
      <c r="C45" s="14">
        <f t="shared" si="20"/>
        <v>0</v>
      </c>
      <c r="D45" s="14">
        <f t="shared" si="20"/>
        <v>0</v>
      </c>
      <c r="E45" s="14">
        <f t="shared" si="20"/>
        <v>0</v>
      </c>
      <c r="F45" s="14">
        <f t="shared" si="20"/>
        <v>0</v>
      </c>
      <c r="G45" s="14">
        <f t="shared" si="20"/>
        <v>0</v>
      </c>
      <c r="H45" s="14">
        <f t="shared" si="20"/>
        <v>0</v>
      </c>
      <c r="I45" s="14">
        <f t="shared" si="20"/>
        <v>0</v>
      </c>
      <c r="J45" s="14">
        <f t="shared" si="20"/>
        <v>0</v>
      </c>
      <c r="K45" s="14">
        <f t="shared" si="20"/>
        <v>0</v>
      </c>
      <c r="L45" s="14">
        <f>SUM(L32:L44)</f>
        <v>0</v>
      </c>
      <c r="AJ45" s="8"/>
    </row>
    <row r="46" spans="1:37" x14ac:dyDescent="0.25">
      <c r="A46" s="20"/>
      <c r="B46" s="10"/>
      <c r="C46" s="10"/>
      <c r="D46" s="10"/>
      <c r="E46" s="10"/>
      <c r="F46" s="10"/>
      <c r="G46" s="10"/>
      <c r="H46" s="10"/>
      <c r="I46" s="10"/>
      <c r="J46" s="10"/>
      <c r="K46" s="10"/>
      <c r="L46" s="10"/>
      <c r="AJ46" s="8"/>
    </row>
    <row r="47" spans="1:37" x14ac:dyDescent="0.25">
      <c r="B47" s="3"/>
      <c r="C47" s="3"/>
      <c r="D47" s="3"/>
      <c r="E47" s="3"/>
      <c r="F47" s="3"/>
      <c r="G47" s="3"/>
      <c r="H47" s="3"/>
      <c r="I47" s="3"/>
      <c r="J47" s="3"/>
      <c r="K47" s="21"/>
      <c r="L47" s="19"/>
      <c r="AK47" s="8"/>
    </row>
    <row r="48" spans="1:37" x14ac:dyDescent="0.25">
      <c r="A48" s="21"/>
      <c r="B48" s="316" t="s">
        <v>192</v>
      </c>
      <c r="C48" s="317"/>
      <c r="D48" s="317"/>
      <c r="E48" s="317"/>
      <c r="F48" s="317"/>
      <c r="G48" s="317"/>
      <c r="H48" s="317"/>
      <c r="I48" s="317"/>
      <c r="J48" s="317"/>
      <c r="K48" s="317"/>
      <c r="L48" s="318"/>
      <c r="M48" s="37" t="s">
        <v>193</v>
      </c>
      <c r="AK48" s="8"/>
    </row>
    <row r="49" spans="1:37" x14ac:dyDescent="0.25">
      <c r="A49" s="38" t="s">
        <v>130</v>
      </c>
      <c r="B49" s="6" t="s">
        <v>112</v>
      </c>
      <c r="C49" s="6" t="s">
        <v>113</v>
      </c>
      <c r="D49" s="6" t="s">
        <v>114</v>
      </c>
      <c r="E49" s="6" t="s">
        <v>115</v>
      </c>
      <c r="F49" s="6" t="s">
        <v>116</v>
      </c>
      <c r="G49" s="6" t="s">
        <v>117</v>
      </c>
      <c r="H49" s="6" t="s">
        <v>118</v>
      </c>
      <c r="I49" s="6" t="s">
        <v>119</v>
      </c>
      <c r="J49" s="6" t="s">
        <v>120</v>
      </c>
      <c r="K49" s="6" t="s">
        <v>121</v>
      </c>
      <c r="L49" s="6" t="s">
        <v>131</v>
      </c>
      <c r="M49" s="6" t="s">
        <v>194</v>
      </c>
      <c r="N49" s="3"/>
      <c r="AK49" s="18"/>
    </row>
    <row r="50" spans="1:37" x14ac:dyDescent="0.25">
      <c r="A50" s="2" t="s">
        <v>107</v>
      </c>
      <c r="B50" s="14">
        <f>B18*3</f>
        <v>0</v>
      </c>
      <c r="C50" s="14">
        <f t="shared" ref="C50:K50" si="21">C18*3</f>
        <v>0</v>
      </c>
      <c r="D50" s="14">
        <f t="shared" si="21"/>
        <v>0</v>
      </c>
      <c r="E50" s="14">
        <f t="shared" si="21"/>
        <v>0</v>
      </c>
      <c r="F50" s="14">
        <f t="shared" si="21"/>
        <v>0</v>
      </c>
      <c r="G50" s="14">
        <f t="shared" si="21"/>
        <v>0</v>
      </c>
      <c r="H50" s="14">
        <f t="shared" si="21"/>
        <v>0</v>
      </c>
      <c r="I50" s="14">
        <f t="shared" si="21"/>
        <v>0</v>
      </c>
      <c r="J50" s="14">
        <f t="shared" si="21"/>
        <v>0</v>
      </c>
      <c r="K50" s="14">
        <f t="shared" si="21"/>
        <v>0</v>
      </c>
      <c r="L50" s="14">
        <f t="shared" ref="L50:L61" si="22">SUM(B50:K50)</f>
        <v>0</v>
      </c>
      <c r="M50" s="14"/>
      <c r="N50" s="10"/>
      <c r="AK50" s="8"/>
    </row>
    <row r="51" spans="1:37" x14ac:dyDescent="0.25">
      <c r="A51" s="2" t="s">
        <v>108</v>
      </c>
      <c r="B51" s="14">
        <f>B19*2</f>
        <v>0</v>
      </c>
      <c r="C51" s="14">
        <f t="shared" ref="C51:K51" si="23">C19*2</f>
        <v>0</v>
      </c>
      <c r="D51" s="14">
        <f t="shared" si="23"/>
        <v>0</v>
      </c>
      <c r="E51" s="14">
        <f t="shared" si="23"/>
        <v>0</v>
      </c>
      <c r="F51" s="14">
        <f t="shared" si="23"/>
        <v>0</v>
      </c>
      <c r="G51" s="14">
        <f t="shared" si="23"/>
        <v>0</v>
      </c>
      <c r="H51" s="14">
        <f t="shared" si="23"/>
        <v>0</v>
      </c>
      <c r="I51" s="14">
        <f t="shared" si="23"/>
        <v>0</v>
      </c>
      <c r="J51" s="14">
        <f t="shared" si="23"/>
        <v>0</v>
      </c>
      <c r="K51" s="14">
        <f t="shared" si="23"/>
        <v>0</v>
      </c>
      <c r="L51" s="14">
        <f t="shared" si="22"/>
        <v>0</v>
      </c>
      <c r="M51" s="14"/>
      <c r="N51" s="10"/>
      <c r="AK51" s="8"/>
    </row>
    <row r="52" spans="1:37" x14ac:dyDescent="0.25">
      <c r="A52" s="2" t="s">
        <v>164</v>
      </c>
      <c r="B52" s="14">
        <f>B20*0</f>
        <v>0</v>
      </c>
      <c r="C52" s="14">
        <f t="shared" ref="C52:K52" si="24">C20*0</f>
        <v>0</v>
      </c>
      <c r="D52" s="14">
        <f t="shared" si="24"/>
        <v>0</v>
      </c>
      <c r="E52" s="14">
        <f t="shared" si="24"/>
        <v>0</v>
      </c>
      <c r="F52" s="14">
        <f t="shared" si="24"/>
        <v>0</v>
      </c>
      <c r="G52" s="14">
        <f t="shared" si="24"/>
        <v>0</v>
      </c>
      <c r="H52" s="14">
        <f t="shared" si="24"/>
        <v>0</v>
      </c>
      <c r="I52" s="14">
        <f t="shared" si="24"/>
        <v>0</v>
      </c>
      <c r="J52" s="14">
        <f t="shared" si="24"/>
        <v>0</v>
      </c>
      <c r="K52" s="14">
        <f t="shared" si="24"/>
        <v>0</v>
      </c>
      <c r="L52" s="14">
        <f t="shared" si="22"/>
        <v>0</v>
      </c>
      <c r="M52" s="14"/>
      <c r="N52" s="10"/>
      <c r="AK52" s="8"/>
    </row>
    <row r="53" spans="1:37" x14ac:dyDescent="0.25">
      <c r="A53" s="2" t="s">
        <v>165</v>
      </c>
      <c r="B53" s="14">
        <f>B21*0</f>
        <v>0</v>
      </c>
      <c r="C53" s="14">
        <f t="shared" ref="C53:K53" si="25">C21*0</f>
        <v>0</v>
      </c>
      <c r="D53" s="14">
        <f t="shared" si="25"/>
        <v>0</v>
      </c>
      <c r="E53" s="14">
        <f t="shared" si="25"/>
        <v>0</v>
      </c>
      <c r="F53" s="14">
        <f t="shared" si="25"/>
        <v>0</v>
      </c>
      <c r="G53" s="14">
        <f t="shared" si="25"/>
        <v>0</v>
      </c>
      <c r="H53" s="14">
        <f t="shared" si="25"/>
        <v>0</v>
      </c>
      <c r="I53" s="14">
        <f t="shared" si="25"/>
        <v>0</v>
      </c>
      <c r="J53" s="14">
        <f t="shared" si="25"/>
        <v>0</v>
      </c>
      <c r="K53" s="14">
        <f t="shared" si="25"/>
        <v>0</v>
      </c>
      <c r="L53" s="14">
        <f t="shared" si="22"/>
        <v>0</v>
      </c>
      <c r="M53" s="14"/>
      <c r="N53" s="10"/>
      <c r="AK53" s="8"/>
    </row>
    <row r="54" spans="1:37" x14ac:dyDescent="0.25">
      <c r="A54" s="2" t="s">
        <v>109</v>
      </c>
      <c r="B54" s="14">
        <f>B22*1</f>
        <v>0</v>
      </c>
      <c r="C54" s="14">
        <f t="shared" ref="C54:K54" si="26">C22*1</f>
        <v>0</v>
      </c>
      <c r="D54" s="14">
        <f t="shared" si="26"/>
        <v>0</v>
      </c>
      <c r="E54" s="14">
        <f t="shared" si="26"/>
        <v>0</v>
      </c>
      <c r="F54" s="14">
        <f t="shared" si="26"/>
        <v>0</v>
      </c>
      <c r="G54" s="14">
        <f t="shared" si="26"/>
        <v>0</v>
      </c>
      <c r="H54" s="14">
        <f t="shared" si="26"/>
        <v>0</v>
      </c>
      <c r="I54" s="14">
        <f t="shared" si="26"/>
        <v>0</v>
      </c>
      <c r="J54" s="14">
        <f t="shared" si="26"/>
        <v>0</v>
      </c>
      <c r="K54" s="14">
        <f t="shared" si="26"/>
        <v>0</v>
      </c>
      <c r="L54" s="14">
        <f t="shared" si="22"/>
        <v>0</v>
      </c>
      <c r="M54" s="14"/>
      <c r="N54" s="10"/>
      <c r="AK54" s="8"/>
    </row>
    <row r="55" spans="1:37" x14ac:dyDescent="0.25">
      <c r="A55" s="2" t="s">
        <v>110</v>
      </c>
      <c r="B55" s="14">
        <f>B23*2</f>
        <v>0</v>
      </c>
      <c r="C55" s="14">
        <f t="shared" ref="C55:K55" si="27">C23*2</f>
        <v>0</v>
      </c>
      <c r="D55" s="14">
        <f t="shared" si="27"/>
        <v>0</v>
      </c>
      <c r="E55" s="14">
        <f t="shared" si="27"/>
        <v>0</v>
      </c>
      <c r="F55" s="14">
        <f t="shared" si="27"/>
        <v>0</v>
      </c>
      <c r="G55" s="14">
        <f t="shared" si="27"/>
        <v>0</v>
      </c>
      <c r="H55" s="14">
        <f t="shared" si="27"/>
        <v>0</v>
      </c>
      <c r="I55" s="14">
        <f t="shared" si="27"/>
        <v>0</v>
      </c>
      <c r="J55" s="14">
        <f t="shared" si="27"/>
        <v>0</v>
      </c>
      <c r="K55" s="14">
        <f t="shared" si="27"/>
        <v>0</v>
      </c>
      <c r="L55" s="14">
        <f t="shared" si="22"/>
        <v>0</v>
      </c>
    </row>
    <row r="56" spans="1:37" x14ac:dyDescent="0.25">
      <c r="A56" s="16" t="s">
        <v>166</v>
      </c>
      <c r="B56" s="14">
        <f>B24*1</f>
        <v>0</v>
      </c>
      <c r="C56" s="14">
        <f t="shared" ref="C56:K56" si="28">C24*1</f>
        <v>0</v>
      </c>
      <c r="D56" s="14">
        <f t="shared" si="28"/>
        <v>0</v>
      </c>
      <c r="E56" s="14">
        <f t="shared" si="28"/>
        <v>0</v>
      </c>
      <c r="F56" s="14">
        <f t="shared" si="28"/>
        <v>0</v>
      </c>
      <c r="G56" s="14">
        <f t="shared" si="28"/>
        <v>0</v>
      </c>
      <c r="H56" s="14">
        <f t="shared" si="28"/>
        <v>0</v>
      </c>
      <c r="I56" s="14">
        <f t="shared" si="28"/>
        <v>0</v>
      </c>
      <c r="J56" s="14">
        <f t="shared" si="28"/>
        <v>0</v>
      </c>
      <c r="K56" s="14">
        <f t="shared" si="28"/>
        <v>0</v>
      </c>
      <c r="L56" s="14">
        <f t="shared" si="22"/>
        <v>0</v>
      </c>
    </row>
    <row r="57" spans="1:37" x14ac:dyDescent="0.25">
      <c r="A57" s="16" t="s">
        <v>167</v>
      </c>
      <c r="B57" s="14">
        <f>B25*8</f>
        <v>0</v>
      </c>
      <c r="C57" s="14">
        <f t="shared" ref="C57:K57" si="29">C25*8</f>
        <v>0</v>
      </c>
      <c r="D57" s="14">
        <f t="shared" si="29"/>
        <v>0</v>
      </c>
      <c r="E57" s="14">
        <f t="shared" si="29"/>
        <v>0</v>
      </c>
      <c r="F57" s="14">
        <f t="shared" si="29"/>
        <v>0</v>
      </c>
      <c r="G57" s="14">
        <f t="shared" si="29"/>
        <v>0</v>
      </c>
      <c r="H57" s="14">
        <f t="shared" si="29"/>
        <v>0</v>
      </c>
      <c r="I57" s="14">
        <f t="shared" si="29"/>
        <v>0</v>
      </c>
      <c r="J57" s="14">
        <f t="shared" si="29"/>
        <v>0</v>
      </c>
      <c r="K57" s="14">
        <f t="shared" si="29"/>
        <v>0</v>
      </c>
      <c r="L57" s="14">
        <f t="shared" ref="L57" si="30">SUM(B57:K57)</f>
        <v>0</v>
      </c>
    </row>
    <row r="58" spans="1:37" x14ac:dyDescent="0.25">
      <c r="A58" s="16" t="s">
        <v>48</v>
      </c>
      <c r="B58" s="14">
        <f>B26*1</f>
        <v>0</v>
      </c>
      <c r="C58" s="14">
        <f t="shared" ref="C58:K58" si="31">C26*1</f>
        <v>0</v>
      </c>
      <c r="D58" s="14">
        <f t="shared" si="31"/>
        <v>0</v>
      </c>
      <c r="E58" s="14">
        <f t="shared" si="31"/>
        <v>0</v>
      </c>
      <c r="F58" s="14">
        <f t="shared" si="31"/>
        <v>0</v>
      </c>
      <c r="G58" s="14">
        <f t="shared" si="31"/>
        <v>0</v>
      </c>
      <c r="H58" s="14">
        <f t="shared" si="31"/>
        <v>0</v>
      </c>
      <c r="I58" s="14">
        <f t="shared" si="31"/>
        <v>0</v>
      </c>
      <c r="J58" s="14">
        <f t="shared" si="31"/>
        <v>0</v>
      </c>
      <c r="K58" s="14">
        <f t="shared" si="31"/>
        <v>0</v>
      </c>
      <c r="L58" s="14">
        <f t="shared" ref="L58:L59" si="32">SUM(B58:K58)</f>
        <v>0</v>
      </c>
    </row>
    <row r="59" spans="1:37" x14ac:dyDescent="0.25">
      <c r="A59" s="16" t="s">
        <v>111</v>
      </c>
      <c r="B59" s="14">
        <f>B27*1</f>
        <v>0</v>
      </c>
      <c r="C59" s="14">
        <f t="shared" ref="C59:K59" si="33">C27*1</f>
        <v>0</v>
      </c>
      <c r="D59" s="14">
        <f t="shared" si="33"/>
        <v>0</v>
      </c>
      <c r="E59" s="14">
        <f t="shared" si="33"/>
        <v>0</v>
      </c>
      <c r="F59" s="14">
        <f t="shared" si="33"/>
        <v>0</v>
      </c>
      <c r="G59" s="14">
        <f t="shared" si="33"/>
        <v>0</v>
      </c>
      <c r="H59" s="14">
        <f t="shared" si="33"/>
        <v>0</v>
      </c>
      <c r="I59" s="14">
        <f t="shared" si="33"/>
        <v>0</v>
      </c>
      <c r="J59" s="14">
        <f t="shared" si="33"/>
        <v>0</v>
      </c>
      <c r="K59" s="14">
        <f t="shared" si="33"/>
        <v>0</v>
      </c>
      <c r="L59" s="14">
        <f t="shared" si="32"/>
        <v>0</v>
      </c>
    </row>
    <row r="60" spans="1:37" x14ac:dyDescent="0.25">
      <c r="A60" s="16" t="s">
        <v>126</v>
      </c>
      <c r="B60" s="14">
        <f>'Contractor Travel'!X86</f>
        <v>0</v>
      </c>
      <c r="C60" s="14">
        <f>B60*(1+Rates!$F$10)</f>
        <v>0</v>
      </c>
      <c r="D60" s="14">
        <f>C60*(1+Rates!$F$10)</f>
        <v>0</v>
      </c>
      <c r="E60" s="14">
        <f>D60*(1+Rates!$F$10)</f>
        <v>0</v>
      </c>
      <c r="F60" s="14">
        <f>E60*(1+Rates!$F$10)</f>
        <v>0</v>
      </c>
      <c r="G60" s="14">
        <f>F60*(1+Rates!$F$10)</f>
        <v>0</v>
      </c>
      <c r="H60" s="14">
        <f>G60*(1+Rates!$F$10)</f>
        <v>0</v>
      </c>
      <c r="I60" s="14">
        <f>H60*(1+Rates!$F$10)</f>
        <v>0</v>
      </c>
      <c r="J60" s="14">
        <f>I60*(1+Rates!$F$10)</f>
        <v>0</v>
      </c>
      <c r="K60" s="14">
        <f>J60*(1+Rates!$F$10)</f>
        <v>0</v>
      </c>
      <c r="L60" s="14">
        <f t="shared" ref="L60" si="34">SUM(B60:K60)</f>
        <v>0</v>
      </c>
    </row>
    <row r="61" spans="1:37" x14ac:dyDescent="0.25">
      <c r="A61" s="16" t="s">
        <v>127</v>
      </c>
      <c r="B61" s="14">
        <f>('Expert Group'!X30)+(Workshop!X30)</f>
        <v>0</v>
      </c>
      <c r="C61" s="14">
        <f>B61*(1+Rates!$F$10)</f>
        <v>0</v>
      </c>
      <c r="D61" s="14">
        <f>C61*(1+Rates!$F$10)</f>
        <v>0</v>
      </c>
      <c r="E61" s="14">
        <f>D61*(1+Rates!$F$10)</f>
        <v>0</v>
      </c>
      <c r="F61" s="14">
        <f>E61*(1+Rates!$F$10)</f>
        <v>0</v>
      </c>
      <c r="G61" s="14">
        <f>F61*(1+Rates!$F$10)</f>
        <v>0</v>
      </c>
      <c r="H61" s="14">
        <f>G61*(1+Rates!$F$10)</f>
        <v>0</v>
      </c>
      <c r="I61" s="14">
        <f>H61*(1+Rates!$F$10)</f>
        <v>0</v>
      </c>
      <c r="J61" s="14">
        <f>I61*(1+Rates!$F$10)</f>
        <v>0</v>
      </c>
      <c r="K61" s="14">
        <f>J61*(1+Rates!$F$10)</f>
        <v>0</v>
      </c>
      <c r="L61" s="14">
        <f t="shared" si="22"/>
        <v>0</v>
      </c>
    </row>
    <row r="62" spans="1:37" x14ac:dyDescent="0.25">
      <c r="A62" s="20" t="s">
        <v>132</v>
      </c>
      <c r="B62" s="14">
        <f t="shared" ref="B62:L62" si="35">SUM(B50:B61)</f>
        <v>0</v>
      </c>
      <c r="C62" s="14">
        <f t="shared" si="35"/>
        <v>0</v>
      </c>
      <c r="D62" s="14">
        <f t="shared" si="35"/>
        <v>0</v>
      </c>
      <c r="E62" s="14">
        <f t="shared" si="35"/>
        <v>0</v>
      </c>
      <c r="F62" s="14">
        <f t="shared" si="35"/>
        <v>0</v>
      </c>
      <c r="G62" s="14">
        <f t="shared" si="35"/>
        <v>0</v>
      </c>
      <c r="H62" s="14">
        <f t="shared" si="35"/>
        <v>0</v>
      </c>
      <c r="I62" s="14">
        <f t="shared" si="35"/>
        <v>0</v>
      </c>
      <c r="J62" s="14">
        <f t="shared" si="35"/>
        <v>0</v>
      </c>
      <c r="K62" s="14">
        <f t="shared" si="35"/>
        <v>0</v>
      </c>
      <c r="L62" s="14">
        <f t="shared" si="35"/>
        <v>0</v>
      </c>
      <c r="M62" s="10">
        <f>(K45+K62)*0.5</f>
        <v>0</v>
      </c>
      <c r="N62" s="19"/>
      <c r="AK62" s="8"/>
    </row>
    <row r="63" spans="1:37" x14ac:dyDescent="0.25">
      <c r="B63" s="14"/>
      <c r="C63" s="3"/>
      <c r="D63" s="3"/>
      <c r="E63" s="3"/>
      <c r="F63" s="3"/>
      <c r="G63" s="3"/>
      <c r="H63" s="3"/>
      <c r="I63" s="3"/>
      <c r="J63" s="3"/>
      <c r="K63" s="21"/>
      <c r="L63" s="19"/>
    </row>
    <row r="64" spans="1:37" ht="16.5" thickBot="1" x14ac:dyDescent="0.3">
      <c r="A64" s="21"/>
      <c r="B64" s="3"/>
      <c r="C64" s="3"/>
      <c r="D64" s="3"/>
      <c r="E64" s="3"/>
      <c r="F64" s="3"/>
      <c r="G64" s="3"/>
      <c r="H64" s="3"/>
      <c r="I64" s="3"/>
      <c r="J64" s="3"/>
      <c r="K64" s="3"/>
      <c r="L64" s="3"/>
      <c r="M64" s="19"/>
    </row>
    <row r="65" spans="1:16" x14ac:dyDescent="0.25">
      <c r="A65" s="13" t="s">
        <v>179</v>
      </c>
      <c r="B65" s="34"/>
      <c r="C65" s="34"/>
      <c r="D65" s="34"/>
      <c r="E65" s="34"/>
      <c r="F65" s="34"/>
      <c r="G65" s="34"/>
      <c r="H65" s="34"/>
      <c r="I65" s="34"/>
      <c r="J65" s="34"/>
      <c r="K65" s="34"/>
      <c r="L65" s="35"/>
      <c r="M65" s="35"/>
      <c r="O65" s="54" t="s">
        <v>133</v>
      </c>
      <c r="P65" s="55"/>
    </row>
    <row r="66" spans="1:16" x14ac:dyDescent="0.25">
      <c r="A66" s="38" t="s">
        <v>123</v>
      </c>
      <c r="B66" s="6" t="s">
        <v>112</v>
      </c>
      <c r="C66" s="6" t="s">
        <v>113</v>
      </c>
      <c r="D66" s="6" t="s">
        <v>114</v>
      </c>
      <c r="E66" s="6" t="s">
        <v>115</v>
      </c>
      <c r="F66" s="6" t="s">
        <v>116</v>
      </c>
      <c r="G66" s="6" t="s">
        <v>117</v>
      </c>
      <c r="H66" s="6" t="s">
        <v>118</v>
      </c>
      <c r="I66" s="6" t="s">
        <v>119</v>
      </c>
      <c r="J66" s="6" t="s">
        <v>120</v>
      </c>
      <c r="K66" s="6" t="s">
        <v>121</v>
      </c>
      <c r="L66" s="6" t="s">
        <v>134</v>
      </c>
      <c r="O66" s="39" t="s">
        <v>125</v>
      </c>
      <c r="P66" s="52">
        <f>L78</f>
        <v>0</v>
      </c>
    </row>
    <row r="67" spans="1:16" x14ac:dyDescent="0.25">
      <c r="A67" s="2" t="s">
        <v>106</v>
      </c>
      <c r="B67" s="3">
        <f>$C$3*1</f>
        <v>0</v>
      </c>
      <c r="C67" s="3">
        <f t="shared" ref="C67:K67" si="36">$C$3*1</f>
        <v>0</v>
      </c>
      <c r="D67" s="3">
        <f t="shared" si="36"/>
        <v>0</v>
      </c>
      <c r="E67" s="3">
        <f t="shared" si="36"/>
        <v>0</v>
      </c>
      <c r="F67" s="3">
        <f t="shared" si="36"/>
        <v>0</v>
      </c>
      <c r="G67" s="3">
        <f t="shared" si="36"/>
        <v>0</v>
      </c>
      <c r="H67" s="3">
        <f t="shared" si="36"/>
        <v>0</v>
      </c>
      <c r="I67" s="3">
        <f t="shared" si="36"/>
        <v>0</v>
      </c>
      <c r="J67" s="3">
        <f t="shared" si="36"/>
        <v>0</v>
      </c>
      <c r="K67" s="3">
        <f t="shared" si="36"/>
        <v>0</v>
      </c>
      <c r="L67" s="5">
        <f>SUM(B67:K67)</f>
        <v>0</v>
      </c>
      <c r="O67" s="39" t="s">
        <v>144</v>
      </c>
      <c r="P67" s="52">
        <f>SUM(P66+L93)</f>
        <v>0</v>
      </c>
    </row>
    <row r="68" spans="1:16" ht="16.5" thickBot="1" x14ac:dyDescent="0.3">
      <c r="A68" s="2" t="s">
        <v>107</v>
      </c>
      <c r="B68" s="5">
        <f>$C$4*10</f>
        <v>0</v>
      </c>
      <c r="C68" s="5">
        <f t="shared" ref="C68:K68" si="37">$C$4*10</f>
        <v>0</v>
      </c>
      <c r="D68" s="5">
        <f t="shared" si="37"/>
        <v>0</v>
      </c>
      <c r="E68" s="5">
        <f t="shared" si="37"/>
        <v>0</v>
      </c>
      <c r="F68" s="5">
        <f t="shared" si="37"/>
        <v>0</v>
      </c>
      <c r="G68" s="5">
        <f t="shared" si="37"/>
        <v>0</v>
      </c>
      <c r="H68" s="5">
        <f t="shared" si="37"/>
        <v>0</v>
      </c>
      <c r="I68" s="5">
        <f t="shared" si="37"/>
        <v>0</v>
      </c>
      <c r="J68" s="5">
        <f t="shared" si="37"/>
        <v>0</v>
      </c>
      <c r="K68" s="5">
        <f t="shared" si="37"/>
        <v>0</v>
      </c>
      <c r="L68" s="5">
        <f>SUM(B68:K68)</f>
        <v>0</v>
      </c>
      <c r="O68" s="159" t="s">
        <v>145</v>
      </c>
      <c r="P68" s="161">
        <f>SUM(P67+M93)</f>
        <v>0</v>
      </c>
    </row>
    <row r="69" spans="1:16" x14ac:dyDescent="0.25">
      <c r="A69" s="2" t="s">
        <v>108</v>
      </c>
      <c r="B69" s="5">
        <f>$C$5*9</f>
        <v>0</v>
      </c>
      <c r="C69" s="5">
        <f t="shared" ref="C69:K69" si="38">$C$5*9</f>
        <v>0</v>
      </c>
      <c r="D69" s="5">
        <f t="shared" si="38"/>
        <v>0</v>
      </c>
      <c r="E69" s="5">
        <f t="shared" si="38"/>
        <v>0</v>
      </c>
      <c r="F69" s="5">
        <f t="shared" si="38"/>
        <v>0</v>
      </c>
      <c r="G69" s="5">
        <f t="shared" si="38"/>
        <v>0</v>
      </c>
      <c r="H69" s="5">
        <f t="shared" si="38"/>
        <v>0</v>
      </c>
      <c r="I69" s="5">
        <f t="shared" si="38"/>
        <v>0</v>
      </c>
      <c r="J69" s="5">
        <f t="shared" si="38"/>
        <v>0</v>
      </c>
      <c r="K69" s="5">
        <f t="shared" si="38"/>
        <v>0</v>
      </c>
      <c r="L69" s="5">
        <f t="shared" ref="L69:L75" si="39">SUM(B69:K69)</f>
        <v>0</v>
      </c>
      <c r="O69" s="157"/>
      <c r="P69" s="24"/>
    </row>
    <row r="70" spans="1:16" x14ac:dyDescent="0.25">
      <c r="A70" s="2" t="s">
        <v>164</v>
      </c>
      <c r="B70" s="5">
        <f>$C$6*2</f>
        <v>0</v>
      </c>
      <c r="C70" s="5">
        <f t="shared" ref="C70:K70" si="40">$C$6*2</f>
        <v>0</v>
      </c>
      <c r="D70" s="5">
        <f t="shared" si="40"/>
        <v>0</v>
      </c>
      <c r="E70" s="5">
        <f t="shared" si="40"/>
        <v>0</v>
      </c>
      <c r="F70" s="5">
        <f t="shared" si="40"/>
        <v>0</v>
      </c>
      <c r="G70" s="5">
        <f t="shared" si="40"/>
        <v>0</v>
      </c>
      <c r="H70" s="5">
        <f t="shared" si="40"/>
        <v>0</v>
      </c>
      <c r="I70" s="5">
        <f t="shared" si="40"/>
        <v>0</v>
      </c>
      <c r="J70" s="5">
        <f t="shared" si="40"/>
        <v>0</v>
      </c>
      <c r="K70" s="5">
        <f t="shared" si="40"/>
        <v>0</v>
      </c>
      <c r="L70" s="5">
        <f t="shared" si="39"/>
        <v>0</v>
      </c>
      <c r="O70" s="157"/>
      <c r="P70" s="24"/>
    </row>
    <row r="71" spans="1:16" x14ac:dyDescent="0.25">
      <c r="A71" s="2" t="s">
        <v>165</v>
      </c>
      <c r="B71" s="5">
        <f>$C$7*2</f>
        <v>0</v>
      </c>
      <c r="C71" s="5">
        <f t="shared" ref="C71:K71" si="41">$C$7*2</f>
        <v>0</v>
      </c>
      <c r="D71" s="5">
        <f t="shared" si="41"/>
        <v>0</v>
      </c>
      <c r="E71" s="5">
        <f t="shared" si="41"/>
        <v>0</v>
      </c>
      <c r="F71" s="5">
        <f t="shared" si="41"/>
        <v>0</v>
      </c>
      <c r="G71" s="5">
        <f t="shared" si="41"/>
        <v>0</v>
      </c>
      <c r="H71" s="5">
        <f t="shared" si="41"/>
        <v>0</v>
      </c>
      <c r="I71" s="5">
        <f t="shared" si="41"/>
        <v>0</v>
      </c>
      <c r="J71" s="5">
        <f t="shared" si="41"/>
        <v>0</v>
      </c>
      <c r="K71" s="5">
        <f t="shared" si="41"/>
        <v>0</v>
      </c>
      <c r="L71" s="5">
        <f t="shared" si="39"/>
        <v>0</v>
      </c>
    </row>
    <row r="72" spans="1:16" x14ac:dyDescent="0.25">
      <c r="A72" s="2" t="s">
        <v>109</v>
      </c>
      <c r="B72" s="5">
        <f>$C$8*6</f>
        <v>0</v>
      </c>
      <c r="C72" s="5">
        <f t="shared" ref="C72:K72" si="42">$C$8*6</f>
        <v>0</v>
      </c>
      <c r="D72" s="5">
        <f t="shared" si="42"/>
        <v>0</v>
      </c>
      <c r="E72" s="5">
        <f t="shared" si="42"/>
        <v>0</v>
      </c>
      <c r="F72" s="5">
        <f t="shared" si="42"/>
        <v>0</v>
      </c>
      <c r="G72" s="5">
        <f t="shared" si="42"/>
        <v>0</v>
      </c>
      <c r="H72" s="5">
        <f t="shared" si="42"/>
        <v>0</v>
      </c>
      <c r="I72" s="5">
        <f t="shared" si="42"/>
        <v>0</v>
      </c>
      <c r="J72" s="5">
        <f t="shared" si="42"/>
        <v>0</v>
      </c>
      <c r="K72" s="5">
        <f t="shared" si="42"/>
        <v>0</v>
      </c>
      <c r="L72" s="5">
        <f t="shared" si="39"/>
        <v>0</v>
      </c>
    </row>
    <row r="73" spans="1:16" x14ac:dyDescent="0.25">
      <c r="A73" s="2" t="s">
        <v>110</v>
      </c>
      <c r="B73" s="5">
        <f>$C$9*10</f>
        <v>0</v>
      </c>
      <c r="C73" s="5">
        <f t="shared" ref="C73:K73" si="43">$C$9*10</f>
        <v>0</v>
      </c>
      <c r="D73" s="5">
        <f t="shared" si="43"/>
        <v>0</v>
      </c>
      <c r="E73" s="5">
        <f t="shared" si="43"/>
        <v>0</v>
      </c>
      <c r="F73" s="5">
        <f t="shared" si="43"/>
        <v>0</v>
      </c>
      <c r="G73" s="5">
        <f t="shared" si="43"/>
        <v>0</v>
      </c>
      <c r="H73" s="5">
        <f t="shared" si="43"/>
        <v>0</v>
      </c>
      <c r="I73" s="5">
        <f t="shared" si="43"/>
        <v>0</v>
      </c>
      <c r="J73" s="5">
        <f t="shared" si="43"/>
        <v>0</v>
      </c>
      <c r="K73" s="5">
        <f t="shared" si="43"/>
        <v>0</v>
      </c>
      <c r="L73" s="5">
        <f t="shared" si="39"/>
        <v>0</v>
      </c>
    </row>
    <row r="74" spans="1:16" x14ac:dyDescent="0.25">
      <c r="A74" s="16" t="s">
        <v>166</v>
      </c>
      <c r="B74" s="5">
        <f>$C$10*2</f>
        <v>0</v>
      </c>
      <c r="C74" s="5">
        <f t="shared" ref="C74:K74" si="44">$C$10*2</f>
        <v>0</v>
      </c>
      <c r="D74" s="5">
        <f t="shared" si="44"/>
        <v>0</v>
      </c>
      <c r="E74" s="5">
        <f t="shared" si="44"/>
        <v>0</v>
      </c>
      <c r="F74" s="5">
        <f t="shared" si="44"/>
        <v>0</v>
      </c>
      <c r="G74" s="5">
        <f t="shared" si="44"/>
        <v>0</v>
      </c>
      <c r="H74" s="5">
        <f t="shared" si="44"/>
        <v>0</v>
      </c>
      <c r="I74" s="5">
        <f t="shared" si="44"/>
        <v>0</v>
      </c>
      <c r="J74" s="5">
        <f t="shared" si="44"/>
        <v>0</v>
      </c>
      <c r="K74" s="5">
        <f t="shared" si="44"/>
        <v>0</v>
      </c>
      <c r="L74" s="5">
        <f t="shared" si="39"/>
        <v>0</v>
      </c>
    </row>
    <row r="75" spans="1:16" x14ac:dyDescent="0.25">
      <c r="A75" s="16" t="s">
        <v>167</v>
      </c>
      <c r="B75" s="5">
        <f>$C$11*27</f>
        <v>0</v>
      </c>
      <c r="C75" s="5">
        <f t="shared" ref="C75:K75" si="45">$C$11*27</f>
        <v>0</v>
      </c>
      <c r="D75" s="5">
        <f t="shared" si="45"/>
        <v>0</v>
      </c>
      <c r="E75" s="5">
        <f t="shared" si="45"/>
        <v>0</v>
      </c>
      <c r="F75" s="5">
        <f t="shared" si="45"/>
        <v>0</v>
      </c>
      <c r="G75" s="5">
        <f t="shared" si="45"/>
        <v>0</v>
      </c>
      <c r="H75" s="5">
        <f t="shared" si="45"/>
        <v>0</v>
      </c>
      <c r="I75" s="5">
        <f t="shared" si="45"/>
        <v>0</v>
      </c>
      <c r="J75" s="5">
        <f t="shared" si="45"/>
        <v>0</v>
      </c>
      <c r="K75" s="5">
        <f t="shared" si="45"/>
        <v>0</v>
      </c>
      <c r="L75" s="5">
        <f t="shared" si="39"/>
        <v>0</v>
      </c>
    </row>
    <row r="76" spans="1:16" x14ac:dyDescent="0.25">
      <c r="A76" s="16" t="s">
        <v>48</v>
      </c>
      <c r="B76" s="5">
        <f>$C$12*3</f>
        <v>0</v>
      </c>
      <c r="C76" s="5">
        <f t="shared" ref="C76:K76" si="46">$C$12*3</f>
        <v>0</v>
      </c>
      <c r="D76" s="5">
        <f t="shared" si="46"/>
        <v>0</v>
      </c>
      <c r="E76" s="5">
        <f t="shared" si="46"/>
        <v>0</v>
      </c>
      <c r="F76" s="5">
        <f t="shared" si="46"/>
        <v>0</v>
      </c>
      <c r="G76" s="5">
        <f t="shared" si="46"/>
        <v>0</v>
      </c>
      <c r="H76" s="5">
        <f t="shared" si="46"/>
        <v>0</v>
      </c>
      <c r="I76" s="5">
        <f t="shared" si="46"/>
        <v>0</v>
      </c>
      <c r="J76" s="5">
        <f t="shared" si="46"/>
        <v>0</v>
      </c>
      <c r="K76" s="5">
        <f t="shared" si="46"/>
        <v>0</v>
      </c>
      <c r="L76" s="5">
        <f t="shared" ref="L76" si="47">SUM(B76:K76)</f>
        <v>0</v>
      </c>
    </row>
    <row r="77" spans="1:16" x14ac:dyDescent="0.25">
      <c r="A77" s="16" t="s">
        <v>111</v>
      </c>
      <c r="B77" s="5">
        <f>$C$13*2</f>
        <v>0</v>
      </c>
      <c r="C77" s="5">
        <f t="shared" ref="C77:K77" si="48">$C$13*2</f>
        <v>0</v>
      </c>
      <c r="D77" s="5">
        <f t="shared" si="48"/>
        <v>0</v>
      </c>
      <c r="E77" s="5">
        <f t="shared" si="48"/>
        <v>0</v>
      </c>
      <c r="F77" s="5">
        <f t="shared" si="48"/>
        <v>0</v>
      </c>
      <c r="G77" s="5">
        <f t="shared" si="48"/>
        <v>0</v>
      </c>
      <c r="H77" s="5">
        <f t="shared" si="48"/>
        <v>0</v>
      </c>
      <c r="I77" s="5">
        <f t="shared" si="48"/>
        <v>0</v>
      </c>
      <c r="J77" s="5">
        <f t="shared" si="48"/>
        <v>0</v>
      </c>
      <c r="K77" s="5">
        <f t="shared" si="48"/>
        <v>0</v>
      </c>
      <c r="L77" s="5">
        <f t="shared" ref="L77" si="49">SUM(B77:K77)</f>
        <v>0</v>
      </c>
    </row>
    <row r="78" spans="1:16" x14ac:dyDescent="0.25">
      <c r="A78" s="21" t="s">
        <v>128</v>
      </c>
      <c r="B78" s="5">
        <f t="shared" ref="B78:K78" si="50">SUM(B67:B77)</f>
        <v>0</v>
      </c>
      <c r="C78" s="5">
        <f t="shared" si="50"/>
        <v>0</v>
      </c>
      <c r="D78" s="5">
        <f t="shared" si="50"/>
        <v>0</v>
      </c>
      <c r="E78" s="5">
        <f t="shared" si="50"/>
        <v>0</v>
      </c>
      <c r="F78" s="5">
        <f t="shared" si="50"/>
        <v>0</v>
      </c>
      <c r="G78" s="5">
        <f t="shared" si="50"/>
        <v>0</v>
      </c>
      <c r="H78" s="5">
        <f t="shared" si="50"/>
        <v>0</v>
      </c>
      <c r="I78" s="5">
        <f t="shared" si="50"/>
        <v>0</v>
      </c>
      <c r="J78" s="5">
        <f t="shared" si="50"/>
        <v>0</v>
      </c>
      <c r="K78" s="5">
        <f t="shared" si="50"/>
        <v>0</v>
      </c>
      <c r="L78" s="5">
        <f>SUM(L67:L77)</f>
        <v>0</v>
      </c>
    </row>
    <row r="79" spans="1:16" x14ac:dyDescent="0.25">
      <c r="A79" s="21"/>
      <c r="B79" s="5"/>
      <c r="C79" s="5"/>
      <c r="D79" s="5"/>
      <c r="E79" s="5"/>
      <c r="F79" s="5"/>
      <c r="G79" s="5"/>
      <c r="H79" s="5"/>
      <c r="I79" s="5"/>
      <c r="J79" s="5"/>
      <c r="K79" s="5"/>
      <c r="L79" s="23"/>
    </row>
    <row r="80" spans="1:16" x14ac:dyDescent="0.25">
      <c r="A80" s="2"/>
      <c r="B80" s="5"/>
      <c r="C80" s="5"/>
      <c r="D80" s="5"/>
      <c r="E80" s="5"/>
      <c r="F80" s="5"/>
      <c r="G80" s="5"/>
      <c r="H80" s="5"/>
      <c r="I80" s="5"/>
      <c r="J80" s="5"/>
      <c r="K80" s="5"/>
      <c r="L80" s="23"/>
    </row>
    <row r="81" spans="1:37" x14ac:dyDescent="0.25">
      <c r="A81" s="21"/>
      <c r="B81" s="316" t="s">
        <v>192</v>
      </c>
      <c r="C81" s="317"/>
      <c r="D81" s="317"/>
      <c r="E81" s="317"/>
      <c r="F81" s="317"/>
      <c r="G81" s="317"/>
      <c r="H81" s="317"/>
      <c r="I81" s="317"/>
      <c r="J81" s="317"/>
      <c r="K81" s="317"/>
      <c r="L81" s="318"/>
      <c r="M81" s="37" t="s">
        <v>193</v>
      </c>
      <c r="AK81" s="8"/>
    </row>
    <row r="82" spans="1:37" x14ac:dyDescent="0.25">
      <c r="A82" s="38" t="s">
        <v>130</v>
      </c>
      <c r="B82" s="6" t="s">
        <v>112</v>
      </c>
      <c r="C82" s="6" t="s">
        <v>113</v>
      </c>
      <c r="D82" s="6" t="s">
        <v>114</v>
      </c>
      <c r="E82" s="6" t="s">
        <v>115</v>
      </c>
      <c r="F82" s="6" t="s">
        <v>116</v>
      </c>
      <c r="G82" s="6" t="s">
        <v>117</v>
      </c>
      <c r="H82" s="6" t="s">
        <v>118</v>
      </c>
      <c r="I82" s="6" t="s">
        <v>119</v>
      </c>
      <c r="J82" s="6" t="s">
        <v>120</v>
      </c>
      <c r="K82" s="6" t="s">
        <v>121</v>
      </c>
      <c r="L82" s="6" t="s">
        <v>134</v>
      </c>
      <c r="M82" s="6" t="s">
        <v>194</v>
      </c>
    </row>
    <row r="83" spans="1:37" x14ac:dyDescent="0.25">
      <c r="A83" s="2" t="s">
        <v>107</v>
      </c>
      <c r="B83" s="5">
        <f>$C$4*3</f>
        <v>0</v>
      </c>
      <c r="C83" s="5">
        <f t="shared" ref="C83:K83" si="51">$C$4*3</f>
        <v>0</v>
      </c>
      <c r="D83" s="5">
        <f t="shared" si="51"/>
        <v>0</v>
      </c>
      <c r="E83" s="5">
        <f t="shared" si="51"/>
        <v>0</v>
      </c>
      <c r="F83" s="5">
        <f t="shared" si="51"/>
        <v>0</v>
      </c>
      <c r="G83" s="5">
        <f t="shared" si="51"/>
        <v>0</v>
      </c>
      <c r="H83" s="5">
        <f t="shared" si="51"/>
        <v>0</v>
      </c>
      <c r="I83" s="5">
        <f t="shared" si="51"/>
        <v>0</v>
      </c>
      <c r="J83" s="5">
        <f t="shared" si="51"/>
        <v>0</v>
      </c>
      <c r="K83" s="5">
        <f t="shared" si="51"/>
        <v>0</v>
      </c>
      <c r="L83" s="5">
        <f>SUM(B83:K83)</f>
        <v>0</v>
      </c>
      <c r="M83" s="5"/>
    </row>
    <row r="84" spans="1:37" x14ac:dyDescent="0.25">
      <c r="A84" s="2" t="s">
        <v>108</v>
      </c>
      <c r="B84" s="5">
        <f>$C$5*2</f>
        <v>0</v>
      </c>
      <c r="C84" s="5">
        <f t="shared" ref="C84:K84" si="52">$C$5*2</f>
        <v>0</v>
      </c>
      <c r="D84" s="5">
        <f t="shared" si="52"/>
        <v>0</v>
      </c>
      <c r="E84" s="5">
        <f t="shared" si="52"/>
        <v>0</v>
      </c>
      <c r="F84" s="5">
        <f t="shared" si="52"/>
        <v>0</v>
      </c>
      <c r="G84" s="5">
        <f t="shared" si="52"/>
        <v>0</v>
      </c>
      <c r="H84" s="5">
        <f t="shared" si="52"/>
        <v>0</v>
      </c>
      <c r="I84" s="5">
        <f t="shared" si="52"/>
        <v>0</v>
      </c>
      <c r="J84" s="5">
        <f t="shared" si="52"/>
        <v>0</v>
      </c>
      <c r="K84" s="5">
        <f t="shared" si="52"/>
        <v>0</v>
      </c>
      <c r="L84" s="5">
        <f>SUM(B84:K84)</f>
        <v>0</v>
      </c>
      <c r="M84" s="5"/>
    </row>
    <row r="85" spans="1:37" x14ac:dyDescent="0.25">
      <c r="A85" s="2" t="s">
        <v>164</v>
      </c>
      <c r="B85" s="5">
        <f>$C$6*0</f>
        <v>0</v>
      </c>
      <c r="C85" s="5">
        <f t="shared" ref="C85:K85" si="53">$C$6*0</f>
        <v>0</v>
      </c>
      <c r="D85" s="5">
        <f t="shared" si="53"/>
        <v>0</v>
      </c>
      <c r="E85" s="5">
        <f t="shared" si="53"/>
        <v>0</v>
      </c>
      <c r="F85" s="5">
        <f t="shared" si="53"/>
        <v>0</v>
      </c>
      <c r="G85" s="5">
        <f t="shared" si="53"/>
        <v>0</v>
      </c>
      <c r="H85" s="5">
        <f t="shared" si="53"/>
        <v>0</v>
      </c>
      <c r="I85" s="5">
        <f t="shared" si="53"/>
        <v>0</v>
      </c>
      <c r="J85" s="5">
        <f t="shared" si="53"/>
        <v>0</v>
      </c>
      <c r="K85" s="5">
        <f t="shared" si="53"/>
        <v>0</v>
      </c>
      <c r="L85" s="5">
        <f>SUM(B85:K85)</f>
        <v>0</v>
      </c>
      <c r="M85" s="5"/>
    </row>
    <row r="86" spans="1:37" x14ac:dyDescent="0.25">
      <c r="A86" s="2" t="s">
        <v>165</v>
      </c>
      <c r="B86" s="5">
        <f>$C$7*0</f>
        <v>0</v>
      </c>
      <c r="C86" s="5">
        <f t="shared" ref="C86:K86" si="54">$C$7*0</f>
        <v>0</v>
      </c>
      <c r="D86" s="5">
        <f t="shared" si="54"/>
        <v>0</v>
      </c>
      <c r="E86" s="5">
        <f t="shared" si="54"/>
        <v>0</v>
      </c>
      <c r="F86" s="5">
        <f t="shared" si="54"/>
        <v>0</v>
      </c>
      <c r="G86" s="5">
        <f t="shared" si="54"/>
        <v>0</v>
      </c>
      <c r="H86" s="5">
        <f t="shared" si="54"/>
        <v>0</v>
      </c>
      <c r="I86" s="5">
        <f t="shared" si="54"/>
        <v>0</v>
      </c>
      <c r="J86" s="5">
        <f t="shared" si="54"/>
        <v>0</v>
      </c>
      <c r="K86" s="5">
        <f t="shared" si="54"/>
        <v>0</v>
      </c>
      <c r="L86" s="5">
        <f t="shared" ref="L86:L92" si="55">SUM(B86:K86)</f>
        <v>0</v>
      </c>
    </row>
    <row r="87" spans="1:37" x14ac:dyDescent="0.25">
      <c r="A87" s="2" t="s">
        <v>109</v>
      </c>
      <c r="B87" s="5">
        <f>$C$8*1</f>
        <v>0</v>
      </c>
      <c r="C87" s="5">
        <f t="shared" ref="C87:K87" si="56">$C$8*1</f>
        <v>0</v>
      </c>
      <c r="D87" s="5">
        <f t="shared" si="56"/>
        <v>0</v>
      </c>
      <c r="E87" s="5">
        <f t="shared" si="56"/>
        <v>0</v>
      </c>
      <c r="F87" s="5">
        <f t="shared" si="56"/>
        <v>0</v>
      </c>
      <c r="G87" s="5">
        <f t="shared" si="56"/>
        <v>0</v>
      </c>
      <c r="H87" s="5">
        <f t="shared" si="56"/>
        <v>0</v>
      </c>
      <c r="I87" s="5">
        <f t="shared" si="56"/>
        <v>0</v>
      </c>
      <c r="J87" s="5">
        <f t="shared" si="56"/>
        <v>0</v>
      </c>
      <c r="K87" s="5">
        <f t="shared" si="56"/>
        <v>0</v>
      </c>
      <c r="L87" s="5">
        <f t="shared" si="55"/>
        <v>0</v>
      </c>
    </row>
    <row r="88" spans="1:37" x14ac:dyDescent="0.25">
      <c r="A88" s="2" t="s">
        <v>110</v>
      </c>
      <c r="B88" s="5">
        <f>$C$9*2</f>
        <v>0</v>
      </c>
      <c r="C88" s="5">
        <f t="shared" ref="C88:K88" si="57">$C$9*2</f>
        <v>0</v>
      </c>
      <c r="D88" s="5">
        <f t="shared" si="57"/>
        <v>0</v>
      </c>
      <c r="E88" s="5">
        <f t="shared" si="57"/>
        <v>0</v>
      </c>
      <c r="F88" s="5">
        <f t="shared" si="57"/>
        <v>0</v>
      </c>
      <c r="G88" s="5">
        <f t="shared" si="57"/>
        <v>0</v>
      </c>
      <c r="H88" s="5">
        <f t="shared" si="57"/>
        <v>0</v>
      </c>
      <c r="I88" s="5">
        <f t="shared" si="57"/>
        <v>0</v>
      </c>
      <c r="J88" s="5">
        <f t="shared" si="57"/>
        <v>0</v>
      </c>
      <c r="K88" s="5">
        <f t="shared" si="57"/>
        <v>0</v>
      </c>
      <c r="L88" s="5">
        <f t="shared" si="55"/>
        <v>0</v>
      </c>
    </row>
    <row r="89" spans="1:37" x14ac:dyDescent="0.25">
      <c r="A89" s="16" t="s">
        <v>166</v>
      </c>
      <c r="B89" s="5">
        <f>$C$10*1</f>
        <v>0</v>
      </c>
      <c r="C89" s="5">
        <f t="shared" ref="C89:K89" si="58">$C$10*1</f>
        <v>0</v>
      </c>
      <c r="D89" s="5">
        <f t="shared" si="58"/>
        <v>0</v>
      </c>
      <c r="E89" s="5">
        <f t="shared" si="58"/>
        <v>0</v>
      </c>
      <c r="F89" s="5">
        <f t="shared" si="58"/>
        <v>0</v>
      </c>
      <c r="G89" s="5">
        <f t="shared" si="58"/>
        <v>0</v>
      </c>
      <c r="H89" s="5">
        <f t="shared" si="58"/>
        <v>0</v>
      </c>
      <c r="I89" s="5">
        <f t="shared" si="58"/>
        <v>0</v>
      </c>
      <c r="J89" s="5">
        <f t="shared" si="58"/>
        <v>0</v>
      </c>
      <c r="K89" s="5">
        <f t="shared" si="58"/>
        <v>0</v>
      </c>
      <c r="L89" s="5">
        <f t="shared" si="55"/>
        <v>0</v>
      </c>
    </row>
    <row r="90" spans="1:37" x14ac:dyDescent="0.25">
      <c r="A90" s="16" t="s">
        <v>167</v>
      </c>
      <c r="B90" s="5">
        <f>$C$11*8</f>
        <v>0</v>
      </c>
      <c r="C90" s="5">
        <f t="shared" ref="C90:K90" si="59">$C$11*8</f>
        <v>0</v>
      </c>
      <c r="D90" s="5">
        <f t="shared" si="59"/>
        <v>0</v>
      </c>
      <c r="E90" s="5">
        <f t="shared" si="59"/>
        <v>0</v>
      </c>
      <c r="F90" s="5">
        <f t="shared" si="59"/>
        <v>0</v>
      </c>
      <c r="G90" s="5">
        <f t="shared" si="59"/>
        <v>0</v>
      </c>
      <c r="H90" s="5">
        <f t="shared" si="59"/>
        <v>0</v>
      </c>
      <c r="I90" s="5">
        <f t="shared" si="59"/>
        <v>0</v>
      </c>
      <c r="J90" s="5">
        <f t="shared" si="59"/>
        <v>0</v>
      </c>
      <c r="K90" s="5">
        <f t="shared" si="59"/>
        <v>0</v>
      </c>
      <c r="L90" s="5">
        <f t="shared" si="55"/>
        <v>0</v>
      </c>
    </row>
    <row r="91" spans="1:37" x14ac:dyDescent="0.25">
      <c r="A91" s="16" t="s">
        <v>48</v>
      </c>
      <c r="B91" s="5">
        <f>$C$12*1</f>
        <v>0</v>
      </c>
      <c r="C91" s="5">
        <f t="shared" ref="C91:K91" si="60">$C$12*1</f>
        <v>0</v>
      </c>
      <c r="D91" s="5">
        <f t="shared" si="60"/>
        <v>0</v>
      </c>
      <c r="E91" s="5">
        <f t="shared" si="60"/>
        <v>0</v>
      </c>
      <c r="F91" s="5">
        <f t="shared" si="60"/>
        <v>0</v>
      </c>
      <c r="G91" s="5">
        <f t="shared" si="60"/>
        <v>0</v>
      </c>
      <c r="H91" s="5">
        <f t="shared" si="60"/>
        <v>0</v>
      </c>
      <c r="I91" s="5">
        <f t="shared" si="60"/>
        <v>0</v>
      </c>
      <c r="J91" s="5">
        <f t="shared" si="60"/>
        <v>0</v>
      </c>
      <c r="K91" s="5">
        <f t="shared" si="60"/>
        <v>0</v>
      </c>
      <c r="L91" s="5">
        <f t="shared" si="55"/>
        <v>0</v>
      </c>
    </row>
    <row r="92" spans="1:37" x14ac:dyDescent="0.25">
      <c r="A92" s="16" t="s">
        <v>111</v>
      </c>
      <c r="B92" s="5">
        <f>$C$13*1</f>
        <v>0</v>
      </c>
      <c r="C92" s="5">
        <f t="shared" ref="C92:K92" si="61">$C$13*1</f>
        <v>0</v>
      </c>
      <c r="D92" s="5">
        <f t="shared" si="61"/>
        <v>0</v>
      </c>
      <c r="E92" s="5">
        <f t="shared" si="61"/>
        <v>0</v>
      </c>
      <c r="F92" s="5">
        <f t="shared" si="61"/>
        <v>0</v>
      </c>
      <c r="G92" s="5">
        <f t="shared" si="61"/>
        <v>0</v>
      </c>
      <c r="H92" s="5">
        <f t="shared" si="61"/>
        <v>0</v>
      </c>
      <c r="I92" s="5">
        <f t="shared" si="61"/>
        <v>0</v>
      </c>
      <c r="J92" s="5">
        <f t="shared" si="61"/>
        <v>0</v>
      </c>
      <c r="K92" s="5">
        <f t="shared" si="61"/>
        <v>0</v>
      </c>
      <c r="L92" s="5">
        <f t="shared" si="55"/>
        <v>0</v>
      </c>
    </row>
    <row r="93" spans="1:37" x14ac:dyDescent="0.25">
      <c r="A93" s="20" t="s">
        <v>132</v>
      </c>
      <c r="B93" s="5">
        <f t="shared" ref="B93:L93" si="62">SUM(B83:B92)</f>
        <v>0</v>
      </c>
      <c r="C93" s="5">
        <f t="shared" si="62"/>
        <v>0</v>
      </c>
      <c r="D93" s="5">
        <f t="shared" si="62"/>
        <v>0</v>
      </c>
      <c r="E93" s="5">
        <f t="shared" si="62"/>
        <v>0</v>
      </c>
      <c r="F93" s="5">
        <f t="shared" si="62"/>
        <v>0</v>
      </c>
      <c r="G93" s="5">
        <f t="shared" si="62"/>
        <v>0</v>
      </c>
      <c r="H93" s="5">
        <f t="shared" si="62"/>
        <v>0</v>
      </c>
      <c r="I93" s="5">
        <f t="shared" si="62"/>
        <v>0</v>
      </c>
      <c r="J93" s="5">
        <f t="shared" si="62"/>
        <v>0</v>
      </c>
      <c r="K93" s="5">
        <f t="shared" si="62"/>
        <v>0</v>
      </c>
      <c r="L93" s="5">
        <f t="shared" si="62"/>
        <v>0</v>
      </c>
      <c r="M93" s="5">
        <f>(K78+K93)*0.5</f>
        <v>0</v>
      </c>
      <c r="N93" s="22"/>
      <c r="O93" s="11"/>
    </row>
    <row r="94" spans="1:37" x14ac:dyDescent="0.25">
      <c r="A94" s="21"/>
      <c r="B94" s="23"/>
      <c r="C94" s="23"/>
      <c r="D94" s="23"/>
      <c r="E94" s="23"/>
      <c r="F94" s="23"/>
      <c r="G94" s="23"/>
      <c r="H94" s="23"/>
      <c r="I94" s="23"/>
      <c r="J94" s="23"/>
      <c r="K94" s="23"/>
      <c r="L94" s="23"/>
      <c r="M94" s="23"/>
    </row>
    <row r="95" spans="1:37" x14ac:dyDescent="0.25">
      <c r="A95" s="21"/>
      <c r="M95" s="24"/>
    </row>
    <row r="96" spans="1:37" x14ac:dyDescent="0.25">
      <c r="A96" s="21"/>
      <c r="B96" s="9"/>
      <c r="C96" s="9"/>
      <c r="M96" s="24"/>
    </row>
    <row r="97" spans="2:3" x14ac:dyDescent="0.25">
      <c r="B97" s="4"/>
      <c r="C97" s="11"/>
    </row>
    <row r="98" spans="2:3" x14ac:dyDescent="0.25">
      <c r="B98" s="115"/>
      <c r="C98" s="11"/>
    </row>
    <row r="99" spans="2:3" x14ac:dyDescent="0.25">
      <c r="B99" s="4"/>
      <c r="C99" s="11"/>
    </row>
    <row r="100" spans="2:3" x14ac:dyDescent="0.25">
      <c r="B100" s="4"/>
      <c r="C100" s="11"/>
    </row>
    <row r="101" spans="2:3" x14ac:dyDescent="0.25">
      <c r="B101" s="4"/>
      <c r="C101" s="11"/>
    </row>
    <row r="102" spans="2:3" x14ac:dyDescent="0.25">
      <c r="B102" s="4"/>
      <c r="C102" s="11"/>
    </row>
    <row r="103" spans="2:3" x14ac:dyDescent="0.25">
      <c r="B103" s="4"/>
      <c r="C103" s="11"/>
    </row>
    <row r="104" spans="2:3" x14ac:dyDescent="0.25">
      <c r="B104" s="4"/>
      <c r="C104" s="11"/>
    </row>
    <row r="105" spans="2:3" x14ac:dyDescent="0.25">
      <c r="B105" s="4"/>
      <c r="C105" s="11"/>
    </row>
    <row r="106" spans="2:3" x14ac:dyDescent="0.25">
      <c r="B106" s="4"/>
      <c r="C106" s="11"/>
    </row>
    <row r="107" spans="2:3" x14ac:dyDescent="0.25">
      <c r="B107" s="22"/>
      <c r="C107" s="25"/>
    </row>
  </sheetData>
  <mergeCells count="2">
    <mergeCell ref="B48:L48"/>
    <mergeCell ref="B81:L81"/>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0C8D6-A11B-4A68-BBD3-E9830D462EE4}">
  <dimension ref="A1:J44"/>
  <sheetViews>
    <sheetView workbookViewId="0">
      <selection activeCell="D9" sqref="D9"/>
    </sheetView>
  </sheetViews>
  <sheetFormatPr defaultColWidth="8.875" defaultRowHeight="15.75" x14ac:dyDescent="0.25"/>
  <cols>
    <col min="1" max="1" width="27.875" customWidth="1"/>
    <col min="2" max="2" width="15.875" customWidth="1"/>
    <col min="3" max="3" width="19.625" customWidth="1"/>
    <col min="4" max="4" width="15.875" style="104" customWidth="1"/>
    <col min="5" max="5" width="13.5" bestFit="1" customWidth="1"/>
    <col min="6" max="6" width="16" customWidth="1"/>
    <col min="7" max="7" width="15.875" style="104" customWidth="1"/>
    <col min="9" max="9" width="12.5" bestFit="1" customWidth="1"/>
    <col min="10" max="10" width="8.875" style="104"/>
  </cols>
  <sheetData>
    <row r="1" spans="1:10" x14ac:dyDescent="0.25">
      <c r="B1" s="319" t="s">
        <v>135</v>
      </c>
      <c r="C1" s="319"/>
      <c r="D1" s="319"/>
      <c r="E1" s="319" t="s">
        <v>195</v>
      </c>
      <c r="F1" s="319"/>
      <c r="G1" s="319"/>
      <c r="H1" s="319"/>
      <c r="I1" s="319"/>
      <c r="J1" s="319"/>
    </row>
    <row r="2" spans="1:10" x14ac:dyDescent="0.25">
      <c r="A2" s="26" t="s">
        <v>19</v>
      </c>
      <c r="B2" t="s">
        <v>136</v>
      </c>
      <c r="D2" s="104" t="s">
        <v>124</v>
      </c>
      <c r="E2" t="s">
        <v>136</v>
      </c>
      <c r="G2" s="104" t="s">
        <v>124</v>
      </c>
    </row>
    <row r="3" spans="1:10" x14ac:dyDescent="0.25">
      <c r="A3" s="29" t="s">
        <v>24</v>
      </c>
      <c r="B3">
        <f>SUM('Admin RO'!B5,('Sample RO I'!B5*10),('Sample RO II'!B5*9),('Sample RO III-Phase 1'!B5*2),('Sample RO III-Phase 2'!B5*2),('Sample RO IV'!B5*6),('Sample RO V'!B5*10),('Sample RO VI'!B5*2),('Sample RO VII'!B5*27),('Website maintenance'!B5*3),(Training!B5*2))</f>
        <v>0</v>
      </c>
      <c r="C3" s="221"/>
      <c r="D3" s="222">
        <f>SUM('Admin RO'!F5,('Sample RO I'!F5*10),('Sample RO II'!F5*9),('Sample RO III-Phase 1'!F5*2),('Sample RO III-Phase 2'!F5*2),('Sample RO IV'!F5*6),('Sample RO V'!F5*10),('Sample RO VI'!F5*2),('Sample RO VII'!F5*27),('Website maintenance'!F5*3),(Training!F5*2))</f>
        <v>0</v>
      </c>
      <c r="E3">
        <f>SUM(('Sample RO I'!B5*3),('Sample RO II'!B5*2),('Sample RO III-Phase 1'!B5*0),('Sample RO III-Phase 2'!B5*0),('Sample RO IV'!B5*1),('Sample RO V'!B5*2),('Sample RO VI'!B5*1),('Sample RO VII'!B5*8),('Website maintenance'!B5*1),(Training!B5*1))</f>
        <v>0</v>
      </c>
      <c r="F3" s="221"/>
      <c r="G3" s="222">
        <f>SUM(('Sample RO I'!M5*3),('Sample RO II'!M5*2),('Sample RO III-Phase 1'!IM5*0),('Sample RO III-Phase 2'!M5*0),('Sample RO IV'!M5*1),('Sample RO V'!M5*2),('Sample RO VI'!M5*1),('Sample RO VII'!M5*8),('Website maintenance'!M5*1),(Training!M5*1))</f>
        <v>0</v>
      </c>
    </row>
    <row r="4" spans="1:10" x14ac:dyDescent="0.25">
      <c r="A4" s="29" t="s">
        <v>26</v>
      </c>
      <c r="B4">
        <f>SUM('Admin RO'!B6,('Sample RO I'!B6*10),('Sample RO II'!B6*9),('Sample RO III-Phase 1'!B6*2),('Sample RO III-Phase 2'!B6*2),('Sample RO IV'!B6*6),('Sample RO V'!B6*10),('Sample RO VI'!B6*2),('Sample RO VII'!B6*27),('Website maintenance'!B6*3),(Training!B6*2))</f>
        <v>0</v>
      </c>
      <c r="C4" s="221"/>
      <c r="D4" s="222">
        <f>SUM('Admin RO'!F6,('Sample RO I'!F6*10),('Sample RO II'!F6*9),('Sample RO III-Phase 1'!F6*2),('Sample RO III-Phase 2'!F6*2),('Sample RO IV'!F6*6),('Sample RO V'!F6*10),('Sample RO VI'!F6*2),('Sample RO VII'!F6*27),('Website maintenance'!F6*3),(Training!F6*2))</f>
        <v>0</v>
      </c>
      <c r="E4">
        <f>SUM(,('Sample RO I'!B6*3),('Sample RO II'!B6*2),('Sample RO III-Phase 1'!B6*0),('Sample RO III-Phase 2'!B6*0),('Sample RO IV'!B6*1),('Sample RO V'!B6*2),('Sample RO VI'!B6*1),('Sample RO VII'!B6*8),('Website maintenance'!B6*1),(Training!B6*1))</f>
        <v>0</v>
      </c>
      <c r="F4" s="221"/>
      <c r="G4" s="222">
        <f>SUM(('Sample RO I'!M6*3),('Sample RO II'!M6*2),('Sample RO III-Phase 1'!IM6*0),('Sample RO III-Phase 2'!M6*0),('Sample RO IV'!M6*1),('Sample RO V'!M6*2),('Sample RO VI'!M6*1),('Sample RO VII'!M6*8),('Website maintenance'!M6*1),(Training!M6*1))</f>
        <v>0</v>
      </c>
    </row>
    <row r="5" spans="1:10" x14ac:dyDescent="0.25">
      <c r="A5" s="26" t="s">
        <v>137</v>
      </c>
      <c r="B5">
        <f>SUM(B3:B4)</f>
        <v>0</v>
      </c>
      <c r="D5" s="104">
        <f>SUM(D3:D4)</f>
        <v>0</v>
      </c>
      <c r="E5">
        <f>SUM(E3:E4)</f>
        <v>0</v>
      </c>
      <c r="G5" s="104">
        <f>SUM(G3:G4)</f>
        <v>0</v>
      </c>
    </row>
    <row r="6" spans="1:10" x14ac:dyDescent="0.25">
      <c r="A6" s="26"/>
    </row>
    <row r="7" spans="1:10" x14ac:dyDescent="0.25">
      <c r="A7" s="26" t="s">
        <v>184</v>
      </c>
      <c r="D7" s="104">
        <f>D5*Rates!$F$6</f>
        <v>0</v>
      </c>
      <c r="G7" s="104">
        <f>G5*Rates!$F$6</f>
        <v>0</v>
      </c>
    </row>
    <row r="8" spans="1:10" x14ac:dyDescent="0.25">
      <c r="A8" s="26" t="s">
        <v>185</v>
      </c>
      <c r="D8" s="104">
        <f>(D5+D7)*Rates!$F$7</f>
        <v>0</v>
      </c>
      <c r="G8" s="104">
        <f>(G5+G7)*Rates!$F$7</f>
        <v>0</v>
      </c>
    </row>
    <row r="9" spans="1:10" x14ac:dyDescent="0.25">
      <c r="A9" s="26" t="s">
        <v>30</v>
      </c>
      <c r="D9" s="225">
        <f>SUM('Admin RO'!F11,('Sample RO I'!F11*10),('Sample RO II'!F11*9),('Sample RO III-Phase 1'!F11*2),('Sample RO III-Phase 2'!F11*2),('Sample RO IV'!F11*6),('Sample RO V'!F11*10),('Sample RO VI'!F11*2),('Sample RO VII'!F11*27),('Website maintenance'!F11*3),(Training!F11*2),((SUMMARY!B43)/(1+Rates!$F$9))/(1+Rates!$F$8),((SUMMARY!B44)/(1+Rates!$F$9))/(1+Rates!$F$8))</f>
        <v>0</v>
      </c>
      <c r="G9" s="225">
        <f>SUM(('Sample RO I'!M11*3),('Sample RO II'!M11*2),('Sample RO III-Phase 1'!M11*0),('Sample RO III-Phase 2'!M11*0),('Sample RO IV'!M11*1),('Sample RO V'!M11*2),('Sample RO VI'!M11*1),('Sample RO VII'!M11*8),('Website maintenance'!M11*1),(Training!M11*1),((SUMMARY!B60)/(1+Rates!$F$9))/(1+Rates!$F$8),((SUMMARY!B61)/(1+Rates!$F$9))/(1+Rates!$F$8))</f>
        <v>0</v>
      </c>
    </row>
    <row r="10" spans="1:10" x14ac:dyDescent="0.25">
      <c r="A10" s="26" t="s">
        <v>197</v>
      </c>
      <c r="D10" s="225">
        <f>SUM('Admin RO'!F12,('Sample RO I'!F12*10),('Sample RO II'!F12*9),('Sample RO III-Phase 1'!F12*2),('Sample RO III-Phase 2'!F12*2),('Sample RO IV'!F12*6),('Sample RO V'!F12*10),('Sample RO VI'!F12*2),('Sample RO VII'!F12*27),('Website maintenance'!F12*3),(Training!F12*2))</f>
        <v>0</v>
      </c>
      <c r="G10" s="225">
        <f>SUM(('Sample RO I'!M12*3),('Sample RO II'!M12*2),('Sample RO III-Phase 1'!M12*0),('Sample RO III-Phase 2'!M12*0),('Sample RO IV'!M12*1),('Sample RO V'!M12*2),('Sample RO VI'!M12*1),('Sample RO VII'!M12*8),('Website maintenance'!M12*1),(Training!M12*1))</f>
        <v>0</v>
      </c>
    </row>
    <row r="11" spans="1:10" x14ac:dyDescent="0.25">
      <c r="A11" s="26" t="s">
        <v>31</v>
      </c>
      <c r="D11" s="104">
        <f>SUM('Admin RO'!F13,('Sample RO I'!F13*10),('Sample RO II'!F13*9),('Sample RO III-Phase 1'!F13*2),('Sample RO III-Phase 2'!F13*2),('Sample RO IV'!F13*6),('Sample RO V'!F13*10),('Sample RO VI'!F13*2),('Sample RO VII'!F13*27),('Website maintenance'!F13*3),(Training!F13*2))</f>
        <v>0</v>
      </c>
      <c r="E11" s="59"/>
      <c r="F11" s="59"/>
      <c r="G11" s="104">
        <f>SUM(('Sample RO I'!F13*3),('Sample RO II'!F13*2),('Sample RO III-Phase 1'!F13*0),('Sample RO III-Phase 2'!F13*0),('Sample RO IV'!F13*1),('Sample RO V'!F13*2),('Sample RO VI'!F13*1),('Sample RO VII'!F13*8),('Website maintenance'!F13*1),(Training!F13*1))</f>
        <v>0</v>
      </c>
    </row>
    <row r="12" spans="1:10" x14ac:dyDescent="0.25">
      <c r="A12" s="33" t="s">
        <v>32</v>
      </c>
      <c r="D12" s="104">
        <f>D5+SUM(D7:D11)</f>
        <v>0</v>
      </c>
      <c r="G12" s="104">
        <f>G5+SUM(G7:G11)</f>
        <v>0</v>
      </c>
    </row>
    <row r="13" spans="1:10" x14ac:dyDescent="0.25">
      <c r="A13" s="26"/>
    </row>
    <row r="14" spans="1:10" x14ac:dyDescent="0.25">
      <c r="A14" s="26" t="s">
        <v>180</v>
      </c>
      <c r="D14" s="112">
        <f>D12*Rates!$F$8</f>
        <v>0</v>
      </c>
      <c r="G14" s="112">
        <f>G12*Rates!$F$8</f>
        <v>0</v>
      </c>
    </row>
    <row r="15" spans="1:10" x14ac:dyDescent="0.25">
      <c r="A15" s="98" t="s">
        <v>34</v>
      </c>
      <c r="D15" s="104">
        <f>SUM(D12,D14)</f>
        <v>0</v>
      </c>
      <c r="G15" s="104">
        <f>SUM(G12,G14)</f>
        <v>0</v>
      </c>
    </row>
    <row r="16" spans="1:10" x14ac:dyDescent="0.25">
      <c r="A16" s="26"/>
    </row>
    <row r="17" spans="1:8" x14ac:dyDescent="0.25">
      <c r="A17" s="26" t="s">
        <v>181</v>
      </c>
      <c r="D17" s="112">
        <f>D15*Rates!$F$9</f>
        <v>0</v>
      </c>
      <c r="G17" s="112">
        <f>G15*Rates!$F$9</f>
        <v>0</v>
      </c>
    </row>
    <row r="18" spans="1:8" x14ac:dyDescent="0.25">
      <c r="A18" s="33" t="s">
        <v>138</v>
      </c>
      <c r="D18" s="104">
        <f>SUM(D15,D17)</f>
        <v>0</v>
      </c>
      <c r="G18" s="104">
        <f>SUM(G15,G17)</f>
        <v>0</v>
      </c>
    </row>
    <row r="19" spans="1:8" x14ac:dyDescent="0.25">
      <c r="C19" s="113"/>
      <c r="D19" s="53"/>
      <c r="G19" s="53"/>
      <c r="H19" s="114"/>
    </row>
    <row r="21" spans="1:8" x14ac:dyDescent="0.25">
      <c r="A21" t="s">
        <v>0</v>
      </c>
      <c r="D21" s="104">
        <f>D18</f>
        <v>0</v>
      </c>
      <c r="G21" s="104">
        <f>G18</f>
        <v>0</v>
      </c>
    </row>
    <row r="22" spans="1:8" x14ac:dyDescent="0.25">
      <c r="A22" t="s">
        <v>1</v>
      </c>
      <c r="D22" s="104">
        <f>D21*(1+Rates!$F$10)</f>
        <v>0</v>
      </c>
      <c r="G22" s="104">
        <f>G21*(1+Rates!$F$10)</f>
        <v>0</v>
      </c>
    </row>
    <row r="23" spans="1:8" x14ac:dyDescent="0.25">
      <c r="A23" t="s">
        <v>2</v>
      </c>
      <c r="D23" s="104">
        <f>D22*(1+Rates!$F$10)</f>
        <v>0</v>
      </c>
      <c r="G23" s="104">
        <f>G22*(1+Rates!$F$10)</f>
        <v>0</v>
      </c>
    </row>
    <row r="24" spans="1:8" x14ac:dyDescent="0.25">
      <c r="A24" t="s">
        <v>3</v>
      </c>
      <c r="D24" s="104">
        <f>D23*(1+Rates!$F$10)</f>
        <v>0</v>
      </c>
      <c r="G24" s="104">
        <f>G23*(1+Rates!$F$10)</f>
        <v>0</v>
      </c>
    </row>
    <row r="25" spans="1:8" x14ac:dyDescent="0.25">
      <c r="A25" t="s">
        <v>4</v>
      </c>
      <c r="D25" s="104">
        <f>D24*(1+Rates!$F$10)</f>
        <v>0</v>
      </c>
      <c r="G25" s="104">
        <f>G24*(1+Rates!$F$10)</f>
        <v>0</v>
      </c>
    </row>
    <row r="26" spans="1:8" x14ac:dyDescent="0.25">
      <c r="A26" t="s">
        <v>5</v>
      </c>
      <c r="D26" s="104">
        <f>D25*(1+Rates!$F$10)</f>
        <v>0</v>
      </c>
      <c r="G26" s="104">
        <f>G25*(1+Rates!$F$10)</f>
        <v>0</v>
      </c>
    </row>
    <row r="27" spans="1:8" x14ac:dyDescent="0.25">
      <c r="A27" t="s">
        <v>6</v>
      </c>
      <c r="D27" s="104">
        <f>D26*(1+Rates!$F$10)</f>
        <v>0</v>
      </c>
      <c r="G27" s="104">
        <f>G26*(1+Rates!$F$10)</f>
        <v>0</v>
      </c>
    </row>
    <row r="28" spans="1:8" x14ac:dyDescent="0.25">
      <c r="A28" t="s">
        <v>7</v>
      </c>
      <c r="D28" s="104">
        <f>D27*(1+Rates!$F$10)</f>
        <v>0</v>
      </c>
      <c r="G28" s="104">
        <f>G27*(1+Rates!$F$10)</f>
        <v>0</v>
      </c>
    </row>
    <row r="29" spans="1:8" x14ac:dyDescent="0.25">
      <c r="A29" t="s">
        <v>8</v>
      </c>
      <c r="D29" s="104">
        <f>D28*(1+Rates!$F$10)</f>
        <v>0</v>
      </c>
      <c r="G29" s="104">
        <f>G28*(1+Rates!$F$10)</f>
        <v>0</v>
      </c>
    </row>
    <row r="30" spans="1:8" ht="16.5" thickBot="1" x14ac:dyDescent="0.3">
      <c r="A30" t="s">
        <v>9</v>
      </c>
      <c r="D30" s="104">
        <f>D29*(1+Rates!$F$10)</f>
        <v>0</v>
      </c>
      <c r="G30" s="104">
        <f>G29*(1+Rates!$F$10)</f>
        <v>0</v>
      </c>
    </row>
    <row r="31" spans="1:8" x14ac:dyDescent="0.25">
      <c r="C31" s="43" t="s">
        <v>139</v>
      </c>
      <c r="D31" s="44">
        <f>SUM(B21:D30)</f>
        <v>0</v>
      </c>
      <c r="F31" s="41"/>
      <c r="G31" s="42"/>
    </row>
    <row r="32" spans="1:8" x14ac:dyDescent="0.25">
      <c r="C32" s="45" t="s">
        <v>140</v>
      </c>
      <c r="D32" s="46">
        <f>SUM(G21:G30)</f>
        <v>0</v>
      </c>
      <c r="E32" s="104"/>
    </row>
    <row r="33" spans="1:4" x14ac:dyDescent="0.25">
      <c r="C33" s="47" t="s">
        <v>129</v>
      </c>
      <c r="D33" s="48">
        <f>(D30+G30)/2</f>
        <v>0</v>
      </c>
    </row>
    <row r="34" spans="1:4" ht="16.5" thickBot="1" x14ac:dyDescent="0.3">
      <c r="C34" s="49" t="s">
        <v>141</v>
      </c>
      <c r="D34" s="50">
        <f>SUM(D31:D33)</f>
        <v>0</v>
      </c>
    </row>
    <row r="35" spans="1:4" x14ac:dyDescent="0.25">
      <c r="A35" s="12" t="s">
        <v>142</v>
      </c>
    </row>
    <row r="36" spans="1:4" x14ac:dyDescent="0.25">
      <c r="A36" s="31"/>
    </row>
    <row r="37" spans="1:4" x14ac:dyDescent="0.25">
      <c r="A37" s="31"/>
    </row>
    <row r="38" spans="1:4" x14ac:dyDescent="0.25">
      <c r="A38" s="31" t="s">
        <v>143</v>
      </c>
    </row>
    <row r="39" spans="1:4" x14ac:dyDescent="0.25">
      <c r="A39" s="31"/>
    </row>
    <row r="40" spans="1:4" x14ac:dyDescent="0.25">
      <c r="A40" s="31" t="s">
        <v>182</v>
      </c>
    </row>
    <row r="41" spans="1:4" x14ac:dyDescent="0.25">
      <c r="A41" s="31"/>
    </row>
    <row r="42" spans="1:4" x14ac:dyDescent="0.25">
      <c r="A42" s="31" t="s">
        <v>183</v>
      </c>
    </row>
    <row r="43" spans="1:4" x14ac:dyDescent="0.25">
      <c r="A43" s="31"/>
    </row>
    <row r="44" spans="1:4" x14ac:dyDescent="0.25">
      <c r="A44" s="31"/>
    </row>
  </sheetData>
  <mergeCells count="3">
    <mergeCell ref="E1:G1"/>
    <mergeCell ref="H1:J1"/>
    <mergeCell ref="B1:D1"/>
  </mergeCells>
  <phoneticPr fontId="9" type="noConversion"/>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5F4AA-D3C3-4371-8ECC-222CBB4C2BBD}">
  <dimension ref="A2:E25"/>
  <sheetViews>
    <sheetView topLeftCell="A10" workbookViewId="0">
      <selection activeCell="G24" sqref="G24"/>
    </sheetView>
  </sheetViews>
  <sheetFormatPr defaultColWidth="8.625" defaultRowHeight="15.75" x14ac:dyDescent="0.25"/>
  <cols>
    <col min="1" max="1" width="22.625" style="163" customWidth="1"/>
    <col min="2" max="2" width="17.875" style="163" customWidth="1"/>
    <col min="3" max="3" width="15.625" style="163" customWidth="1"/>
    <col min="4" max="4" width="29.375" style="163" customWidth="1"/>
    <col min="5" max="5" width="17.375" style="163" customWidth="1"/>
    <col min="6" max="16384" width="8.625" style="163"/>
  </cols>
  <sheetData>
    <row r="2" spans="1:5" x14ac:dyDescent="0.25">
      <c r="A2" s="162" t="s">
        <v>146</v>
      </c>
      <c r="B2" s="162" t="s">
        <v>147</v>
      </c>
      <c r="C2" s="162" t="s">
        <v>148</v>
      </c>
      <c r="D2" s="162" t="s">
        <v>149</v>
      </c>
      <c r="E2" s="162" t="s">
        <v>150</v>
      </c>
    </row>
    <row r="3" spans="1:5" x14ac:dyDescent="0.25">
      <c r="A3" s="163" t="s">
        <v>151</v>
      </c>
      <c r="B3" s="164">
        <f>'Exec Summary'!D15</f>
        <v>0</v>
      </c>
      <c r="C3" s="164">
        <f>B3*Rates!$F$9</f>
        <v>0</v>
      </c>
      <c r="D3" s="164">
        <f>SUM(B3:C3)</f>
        <v>0</v>
      </c>
      <c r="E3" s="224">
        <f>SUMMARY!$B$78</f>
        <v>0</v>
      </c>
    </row>
    <row r="4" spans="1:5" x14ac:dyDescent="0.25">
      <c r="A4" s="163" t="s">
        <v>152</v>
      </c>
      <c r="B4" s="164">
        <f>B3*(1+Rates!$F$10)</f>
        <v>0</v>
      </c>
      <c r="C4" s="164">
        <f>B4*Rates!$F$9</f>
        <v>0</v>
      </c>
      <c r="D4" s="164">
        <f t="shared" ref="D4:D13" si="0">SUM(B4:C4)</f>
        <v>0</v>
      </c>
      <c r="E4" s="224">
        <f>SUMMARY!$B$78</f>
        <v>0</v>
      </c>
    </row>
    <row r="5" spans="1:5" x14ac:dyDescent="0.25">
      <c r="A5" s="163" t="s">
        <v>153</v>
      </c>
      <c r="B5" s="164">
        <f>B4*(1+Rates!$F$10)</f>
        <v>0</v>
      </c>
      <c r="C5" s="164">
        <f>B5*Rates!$F$9</f>
        <v>0</v>
      </c>
      <c r="D5" s="164">
        <f t="shared" si="0"/>
        <v>0</v>
      </c>
      <c r="E5" s="224">
        <f>SUMMARY!$B$78</f>
        <v>0</v>
      </c>
    </row>
    <row r="6" spans="1:5" x14ac:dyDescent="0.25">
      <c r="A6" s="163" t="s">
        <v>154</v>
      </c>
      <c r="B6" s="164">
        <f>B5*(1+Rates!$F$10)</f>
        <v>0</v>
      </c>
      <c r="C6" s="164">
        <f>B6*Rates!$F$9</f>
        <v>0</v>
      </c>
      <c r="D6" s="164">
        <f t="shared" si="0"/>
        <v>0</v>
      </c>
      <c r="E6" s="224">
        <f>SUMMARY!$B$78</f>
        <v>0</v>
      </c>
    </row>
    <row r="7" spans="1:5" x14ac:dyDescent="0.25">
      <c r="A7" s="163" t="s">
        <v>155</v>
      </c>
      <c r="B7" s="164">
        <f>B6*(1+Rates!$F$10)</f>
        <v>0</v>
      </c>
      <c r="C7" s="164">
        <f>B7*Rates!$F$9</f>
        <v>0</v>
      </c>
      <c r="D7" s="164">
        <f t="shared" si="0"/>
        <v>0</v>
      </c>
      <c r="E7" s="224">
        <f>SUMMARY!$B$78</f>
        <v>0</v>
      </c>
    </row>
    <row r="8" spans="1:5" x14ac:dyDescent="0.25">
      <c r="A8" s="163" t="s">
        <v>156</v>
      </c>
      <c r="B8" s="164">
        <f>B7*(1+Rates!$F$10)</f>
        <v>0</v>
      </c>
      <c r="C8" s="164">
        <f>B8*Rates!$F$9</f>
        <v>0</v>
      </c>
      <c r="D8" s="164">
        <f t="shared" si="0"/>
        <v>0</v>
      </c>
      <c r="E8" s="224">
        <f>SUMMARY!$B$78</f>
        <v>0</v>
      </c>
    </row>
    <row r="9" spans="1:5" x14ac:dyDescent="0.25">
      <c r="A9" s="163" t="s">
        <v>157</v>
      </c>
      <c r="B9" s="164">
        <f>B8*(1+Rates!$F$10)</f>
        <v>0</v>
      </c>
      <c r="C9" s="164">
        <f>B9*Rates!$F$9</f>
        <v>0</v>
      </c>
      <c r="D9" s="164">
        <f t="shared" si="0"/>
        <v>0</v>
      </c>
      <c r="E9" s="224">
        <f>SUMMARY!$B$78</f>
        <v>0</v>
      </c>
    </row>
    <row r="10" spans="1:5" x14ac:dyDescent="0.25">
      <c r="A10" s="163" t="s">
        <v>158</v>
      </c>
      <c r="B10" s="164">
        <f>B9*(1+Rates!$F$10)</f>
        <v>0</v>
      </c>
      <c r="C10" s="164">
        <f>B10*Rates!$F$9</f>
        <v>0</v>
      </c>
      <c r="D10" s="164">
        <f t="shared" si="0"/>
        <v>0</v>
      </c>
      <c r="E10" s="224">
        <f>SUMMARY!$B$78</f>
        <v>0</v>
      </c>
    </row>
    <row r="11" spans="1:5" x14ac:dyDescent="0.25">
      <c r="A11" s="163" t="s">
        <v>159</v>
      </c>
      <c r="B11" s="164">
        <f>B10*(1+Rates!$F$10)</f>
        <v>0</v>
      </c>
      <c r="C11" s="164">
        <f>B11*Rates!$F$9</f>
        <v>0</v>
      </c>
      <c r="D11" s="164">
        <f t="shared" si="0"/>
        <v>0</v>
      </c>
      <c r="E11" s="224">
        <f>SUMMARY!$B$78</f>
        <v>0</v>
      </c>
    </row>
    <row r="12" spans="1:5" x14ac:dyDescent="0.25">
      <c r="A12" s="163" t="s">
        <v>160</v>
      </c>
      <c r="B12" s="164">
        <f>B11*(1+Rates!$F$10)</f>
        <v>0</v>
      </c>
      <c r="C12" s="164">
        <f>B12*Rates!$F$9</f>
        <v>0</v>
      </c>
      <c r="D12" s="164">
        <f t="shared" si="0"/>
        <v>0</v>
      </c>
      <c r="E12" s="224">
        <f>SUMMARY!$B$78</f>
        <v>0</v>
      </c>
    </row>
    <row r="13" spans="1:5" ht="47.25" x14ac:dyDescent="0.25">
      <c r="A13" s="165" t="s">
        <v>161</v>
      </c>
      <c r="B13" s="164">
        <f>SUM(B12+B24)*0.5</f>
        <v>0</v>
      </c>
      <c r="C13" s="164">
        <f>B13*Rates!$F$9</f>
        <v>0</v>
      </c>
      <c r="D13" s="164">
        <f t="shared" si="0"/>
        <v>0</v>
      </c>
      <c r="E13" s="166">
        <f>SUM(E12+E24)*0.5</f>
        <v>0</v>
      </c>
    </row>
    <row r="14" spans="1:5" ht="31.5" x14ac:dyDescent="0.25">
      <c r="A14" s="167" t="s">
        <v>162</v>
      </c>
      <c r="B14" s="162" t="s">
        <v>147</v>
      </c>
      <c r="C14" s="162" t="s">
        <v>148</v>
      </c>
      <c r="D14" s="162" t="s">
        <v>149</v>
      </c>
      <c r="E14" s="162" t="s">
        <v>150</v>
      </c>
    </row>
    <row r="15" spans="1:5" x14ac:dyDescent="0.25">
      <c r="A15" s="163" t="s">
        <v>151</v>
      </c>
      <c r="B15" s="164">
        <f>'Exec Summary'!G15</f>
        <v>0</v>
      </c>
      <c r="C15" s="164">
        <f>B15*Rates!$F$9</f>
        <v>0</v>
      </c>
      <c r="D15" s="164">
        <f>SUM(B15:C15)</f>
        <v>0</v>
      </c>
      <c r="E15" s="224">
        <f>SUMMARY!$B$93</f>
        <v>0</v>
      </c>
    </row>
    <row r="16" spans="1:5" x14ac:dyDescent="0.25">
      <c r="A16" s="163" t="s">
        <v>152</v>
      </c>
      <c r="B16" s="164">
        <f>B15*(1+Rates!$F$10)</f>
        <v>0</v>
      </c>
      <c r="C16" s="164">
        <f>B16*Rates!$F$9</f>
        <v>0</v>
      </c>
      <c r="D16" s="164">
        <f t="shared" ref="D16:D24" si="1">SUM(B16:C16)</f>
        <v>0</v>
      </c>
      <c r="E16" s="224">
        <f>SUMMARY!$B$93</f>
        <v>0</v>
      </c>
    </row>
    <row r="17" spans="1:5" x14ac:dyDescent="0.25">
      <c r="A17" s="163" t="s">
        <v>153</v>
      </c>
      <c r="B17" s="164">
        <f>B16*(1+Rates!$F$10)</f>
        <v>0</v>
      </c>
      <c r="C17" s="164">
        <f>B17*Rates!$F$9</f>
        <v>0</v>
      </c>
      <c r="D17" s="164">
        <f t="shared" si="1"/>
        <v>0</v>
      </c>
      <c r="E17" s="224">
        <f>SUMMARY!$B$93</f>
        <v>0</v>
      </c>
    </row>
    <row r="18" spans="1:5" x14ac:dyDescent="0.25">
      <c r="A18" s="163" t="s">
        <v>154</v>
      </c>
      <c r="B18" s="164">
        <f>B17*(1+Rates!$F$10)</f>
        <v>0</v>
      </c>
      <c r="C18" s="164">
        <f>B18*Rates!$F$9</f>
        <v>0</v>
      </c>
      <c r="D18" s="164">
        <f t="shared" si="1"/>
        <v>0</v>
      </c>
      <c r="E18" s="224">
        <f>SUMMARY!$B$93</f>
        <v>0</v>
      </c>
    </row>
    <row r="19" spans="1:5" x14ac:dyDescent="0.25">
      <c r="A19" s="163" t="s">
        <v>155</v>
      </c>
      <c r="B19" s="164">
        <f>B18*(1+Rates!$F$10)</f>
        <v>0</v>
      </c>
      <c r="C19" s="164">
        <f>B19*Rates!$F$9</f>
        <v>0</v>
      </c>
      <c r="D19" s="164">
        <f t="shared" si="1"/>
        <v>0</v>
      </c>
      <c r="E19" s="224">
        <f>SUMMARY!$B$93</f>
        <v>0</v>
      </c>
    </row>
    <row r="20" spans="1:5" x14ac:dyDescent="0.25">
      <c r="A20" s="163" t="s">
        <v>156</v>
      </c>
      <c r="B20" s="164">
        <f>B19*(1+Rates!$F$10)</f>
        <v>0</v>
      </c>
      <c r="C20" s="164">
        <f>B20*Rates!$F$9</f>
        <v>0</v>
      </c>
      <c r="D20" s="164">
        <f t="shared" si="1"/>
        <v>0</v>
      </c>
      <c r="E20" s="224">
        <f>SUMMARY!$B$93</f>
        <v>0</v>
      </c>
    </row>
    <row r="21" spans="1:5" x14ac:dyDescent="0.25">
      <c r="A21" s="163" t="s">
        <v>157</v>
      </c>
      <c r="B21" s="164">
        <f>B20*(1+Rates!$F$10)</f>
        <v>0</v>
      </c>
      <c r="C21" s="164">
        <f>B21*Rates!$F$9</f>
        <v>0</v>
      </c>
      <c r="D21" s="164">
        <f t="shared" si="1"/>
        <v>0</v>
      </c>
      <c r="E21" s="224">
        <f>SUMMARY!$B$93</f>
        <v>0</v>
      </c>
    </row>
    <row r="22" spans="1:5" x14ac:dyDescent="0.25">
      <c r="A22" s="163" t="s">
        <v>158</v>
      </c>
      <c r="B22" s="164">
        <f>B21*(1+Rates!$F$10)</f>
        <v>0</v>
      </c>
      <c r="C22" s="164">
        <f>B22*Rates!$F$9</f>
        <v>0</v>
      </c>
      <c r="D22" s="164">
        <f t="shared" si="1"/>
        <v>0</v>
      </c>
      <c r="E22" s="224">
        <f>SUMMARY!$B$93</f>
        <v>0</v>
      </c>
    </row>
    <row r="23" spans="1:5" x14ac:dyDescent="0.25">
      <c r="A23" s="163" t="s">
        <v>159</v>
      </c>
      <c r="B23" s="164">
        <f>B22*(1+Rates!$F$10)</f>
        <v>0</v>
      </c>
      <c r="C23" s="164">
        <f>B23*Rates!$F$9</f>
        <v>0</v>
      </c>
      <c r="D23" s="164">
        <f t="shared" si="1"/>
        <v>0</v>
      </c>
      <c r="E23" s="224">
        <f>SUMMARY!$B$93</f>
        <v>0</v>
      </c>
    </row>
    <row r="24" spans="1:5" x14ac:dyDescent="0.25">
      <c r="A24" s="163" t="s">
        <v>160</v>
      </c>
      <c r="B24" s="164">
        <f>B23*(1+Rates!$F$10)</f>
        <v>0</v>
      </c>
      <c r="C24" s="164">
        <f>B24*Rates!$F$9</f>
        <v>0</v>
      </c>
      <c r="D24" s="164">
        <f t="shared" si="1"/>
        <v>0</v>
      </c>
      <c r="E24" s="224">
        <f>SUMMARY!$B$93</f>
        <v>0</v>
      </c>
    </row>
    <row r="25" spans="1:5" ht="31.5" x14ac:dyDescent="0.25">
      <c r="A25" s="168" t="s">
        <v>163</v>
      </c>
      <c r="B25" s="169">
        <f>SUM(B3:B13,B15:B24)</f>
        <v>0</v>
      </c>
      <c r="C25" s="169">
        <f t="shared" ref="C25:E25" si="2">SUM(C3:C13,C15:C24)</f>
        <v>0</v>
      </c>
      <c r="D25" s="169">
        <f t="shared" si="2"/>
        <v>0</v>
      </c>
      <c r="E25" s="166">
        <f t="shared" si="2"/>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235553D40EA42419E0F14B6EE782833" ma:contentTypeVersion="4" ma:contentTypeDescription="Create a new document." ma:contentTypeScope="" ma:versionID="2a42977e20f412ab5d71c734f99d5d21">
  <xsd:schema xmlns:xsd="http://www.w3.org/2001/XMLSchema" xmlns:xs="http://www.w3.org/2001/XMLSchema" xmlns:p="http://schemas.microsoft.com/office/2006/metadata/properties" xmlns:ns2="58563e96-ce27-4dfe-a1b6-1e7bca2a6c63" xmlns:ns3="49bcb7c0-786c-48cf-898e-d484339343d7" targetNamespace="http://schemas.microsoft.com/office/2006/metadata/properties" ma:root="true" ma:fieldsID="6bc06bd75c2fe9b86d14519eaac53b0a" ns2:_="" ns3:_="">
    <xsd:import namespace="58563e96-ce27-4dfe-a1b6-1e7bca2a6c63"/>
    <xsd:import namespace="49bcb7c0-786c-48cf-898e-d484339343d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563e96-ce27-4dfe-a1b6-1e7bca2a6c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9bcb7c0-786c-48cf-898e-d484339343d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EC248F-2EE5-4CB2-BE03-12B63C4345A9}">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D770ED32-C23E-463D-8531-6B6B8C4401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563e96-ce27-4dfe-a1b6-1e7bca2a6c63"/>
    <ds:schemaRef ds:uri="49bcb7c0-786c-48cf-898e-d484339343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0C58F80-43CF-40AD-8C4D-214B6EF89BEF}">
  <ds:schemaRefs>
    <ds:schemaRef ds:uri="http://schemas.microsoft.com/sharepoint/v3/contenttype/forms"/>
  </ds:schemaRefs>
</ds:datastoreItem>
</file>

<file path=docMetadata/LabelInfo.xml><?xml version="1.0" encoding="utf-8"?>
<clbl:labelList xmlns:clbl="http://schemas.microsoft.com/office/2020/mipLabelMetadata">
  <clbl:label id="{14b77578-9773-42d5-8507-251ca2dc2b06}" enabled="0" method="" siteId="{14b77578-9773-42d5-8507-251ca2dc2b0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Instruction Tab</vt:lpstr>
      <vt:lpstr>Overall Summary</vt:lpstr>
      <vt:lpstr>Rates</vt:lpstr>
      <vt:lpstr>Admin RO</vt:lpstr>
      <vt:lpstr>Sample RO I</vt:lpstr>
      <vt:lpstr>Sample RO II</vt:lpstr>
      <vt:lpstr>Sample RO III-Phase 1</vt:lpstr>
      <vt:lpstr>Sample RO III-Phase 2</vt:lpstr>
      <vt:lpstr>Sample RO IV</vt:lpstr>
      <vt:lpstr>Sample RO V</vt:lpstr>
      <vt:lpstr>Sample RO VI</vt:lpstr>
      <vt:lpstr>Sample RO VII</vt:lpstr>
      <vt:lpstr>Website maintenance</vt:lpstr>
      <vt:lpstr>Training</vt:lpstr>
      <vt:lpstr>Expert Group</vt:lpstr>
      <vt:lpstr>Workshop</vt:lpstr>
      <vt:lpstr>Contractor Travel</vt:lpstr>
      <vt:lpstr>SUMMARY</vt:lpstr>
      <vt:lpstr>Exec Summary</vt:lpstr>
      <vt:lpstr>Total Estimate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Williams, Jason (NIH/NICHD) [E]</cp:lastModifiedBy>
  <cp:revision/>
  <dcterms:created xsi:type="dcterms:W3CDTF">2022-10-20T19:24:16Z</dcterms:created>
  <dcterms:modified xsi:type="dcterms:W3CDTF">2025-11-24T12:41:31Z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0x0101009235553D40EA42419E0F14B6EE782833</vt:lpwstr>
  </property>
</Properties>
</file>