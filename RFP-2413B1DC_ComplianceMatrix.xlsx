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mpliance Matrix" sheetId="2" state="visible" r:id="rId2"/>
    <sheet xmlns:r="http://schemas.openxmlformats.org/officeDocument/2006/relationships" name="High Priority" sheetId="3" state="visible" r:id="rId3"/>
    <sheet xmlns:r="http://schemas.openxmlformats.org/officeDocument/2006/relationships" name="By Section" sheetId="4" state="visible" r:id="rId4"/>
    <sheet xmlns:r="http://schemas.openxmlformats.org/officeDocument/2006/relationships" name="Graph Data"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8"/>
    </font>
    <font>
      <sz val="12"/>
    </font>
    <font>
      <b val="1"/>
      <sz val="14"/>
    </font>
    <font>
      <b val="1"/>
    </font>
    <font>
      <i val="1"/>
    </font>
    <font>
      <b val="1"/>
      <color rgb="00FFFFFF"/>
    </font>
    <font>
      <b val="1"/>
      <color rgb="00000000"/>
    </font>
  </fonts>
  <fills count="12">
    <fill>
      <patternFill/>
    </fill>
    <fill>
      <patternFill patternType="gray125"/>
    </fill>
    <fill>
      <patternFill patternType="solid">
        <fgColor rgb="00F4CCCC"/>
        <bgColor rgb="00F4CCCC"/>
      </patternFill>
    </fill>
    <fill>
      <patternFill patternType="solid">
        <fgColor rgb="00FFF2CC"/>
        <bgColor rgb="00FFF2CC"/>
      </patternFill>
    </fill>
    <fill>
      <patternFill patternType="solid">
        <fgColor rgb="00D9EAD3"/>
        <bgColor rgb="00D9EAD3"/>
      </patternFill>
    </fill>
    <fill>
      <patternFill patternType="solid">
        <fgColor rgb="00FADBD8"/>
        <bgColor rgb="00FADBD8"/>
      </patternFill>
    </fill>
    <fill>
      <patternFill patternType="solid">
        <fgColor rgb="00D4EFDF"/>
        <bgColor rgb="00D4EFDF"/>
      </patternFill>
    </fill>
    <fill>
      <patternFill patternType="solid">
        <fgColor rgb="001F4E79"/>
        <bgColor rgb="001F4E79"/>
      </patternFill>
    </fill>
    <fill>
      <patternFill patternType="solid">
        <fgColor rgb="007B3E19"/>
        <bgColor rgb="007B3E19"/>
      </patternFill>
    </fill>
    <fill>
      <patternFill patternType="solid">
        <fgColor rgb="00CFE2F3"/>
        <bgColor rgb="00CFE2F3"/>
      </patternFill>
    </fill>
    <fill>
      <patternFill patternType="solid">
        <fgColor rgb="00D9D2E9"/>
        <bgColor rgb="00D9D2E9"/>
      </patternFill>
    </fill>
    <fill>
      <patternFill patternType="solid">
        <fgColor rgb="00FCE5CD"/>
        <bgColor rgb="00FCE5CD"/>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5" fillId="0" borderId="0" pivotButton="0" quotePrefix="0" xfId="0"/>
    <xf numFmtId="0" fontId="6" fillId="7" borderId="1" applyAlignment="1" pivotButton="0" quotePrefix="0" xfId="0">
      <alignment horizontal="center" wrapText="1"/>
    </xf>
    <xf numFmtId="0" fontId="6" fillId="8" borderId="1" applyAlignment="1" pivotButton="0" quotePrefix="0" xfId="0">
      <alignment horizontal="center" wrapText="1"/>
    </xf>
    <xf numFmtId="0" fontId="0" fillId="0" borderId="0" applyAlignment="1" pivotButton="0" quotePrefix="0" xfId="0">
      <alignment vertical="top" wrapText="1"/>
    </xf>
    <xf numFmtId="0" fontId="7" fillId="2" borderId="0" pivotButton="0" quotePrefix="0" xfId="0"/>
    <xf numFmtId="0" fontId="3" fillId="9" borderId="0" pivotButton="0" quotePrefix="0" xfId="0"/>
    <xf numFmtId="0" fontId="3" fillId="10" borderId="0" pivotButton="0" quotePrefix="0" xfId="0"/>
    <xf numFmtId="0" fontId="3" fillId="11" borderId="0" pivotButton="0" quotePrefix="0" xfId="0"/>
    <xf numFmtId="0" fontId="6"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0" customWidth="1" min="1" max="1"/>
    <col width="20" customWidth="1" min="2" max="2"/>
  </cols>
  <sheetData>
    <row r="1">
      <c r="A1" s="1" t="inlineStr">
        <is>
          <t>PropelAI Compliance Matrix</t>
        </is>
      </c>
    </row>
    <row r="2">
      <c r="A2" s="2" t="inlineStr">
        <is>
          <t>Solicitation: [Not Specified]</t>
        </is>
      </c>
    </row>
    <row r="3">
      <c r="A3" t="inlineStr">
        <is>
          <t>Title: Attachment 5. Organizational Conflict of Interest Checklist</t>
        </is>
      </c>
    </row>
    <row r="4">
      <c r="A4" t="inlineStr">
        <is>
          <t>Generated: 2025-12-15 12:30</t>
        </is>
      </c>
    </row>
    <row r="5">
      <c r="A5" t="inlineStr"/>
    </row>
    <row r="7">
      <c r="A7" s="3" t="inlineStr">
        <is>
          <t>EXTRACTION STATISTICS</t>
        </is>
      </c>
    </row>
    <row r="8">
      <c r="A8" s="4" t="inlineStr">
        <is>
          <t>Total Requirements</t>
        </is>
      </c>
      <c r="B8" t="n">
        <v>0</v>
      </c>
    </row>
    <row r="9">
      <c r="A9" s="4" t="inlineStr">
        <is>
          <t>Cross-References</t>
        </is>
      </c>
      <c r="B9" t="n">
        <v>0</v>
      </c>
    </row>
    <row r="10">
      <c r="A10" s="4" t="inlineStr">
        <is>
          <t>Documents Processed</t>
        </is>
      </c>
      <c r="B10" t="n">
        <v>11</v>
      </c>
    </row>
    <row r="11">
      <c r="A11" s="4" t="inlineStr">
        <is>
          <t>Pages Analyzed</t>
        </is>
      </c>
      <c r="B11" t="n">
        <v>0</v>
      </c>
    </row>
    <row r="12">
      <c r="A12" s="4" t="inlineStr">
        <is>
          <t>Coverage Estimate</t>
        </is>
      </c>
      <c r="B12" t="inlineStr">
        <is>
          <t>70%</t>
        </is>
      </c>
    </row>
    <row r="13">
      <c r="A13" s="4" t="inlineStr">
        <is>
          <t>Processing Time</t>
        </is>
      </c>
      <c r="B13" t="inlineStr">
        <is>
          <t>7.5s</t>
        </is>
      </c>
    </row>
    <row r="16">
      <c r="A16" s="3" t="inlineStr">
        <is>
          <t>BY REQUIREMENT TYPE</t>
        </is>
      </c>
    </row>
    <row r="19">
      <c r="A19" s="3" t="inlineStr">
        <is>
          <t>BY PRIORITY</t>
        </is>
      </c>
    </row>
    <row r="20">
      <c r="A20" s="5" t="inlineStr">
        <is>
          <t>High</t>
        </is>
      </c>
      <c r="B20" t="n">
        <v>308</v>
      </c>
    </row>
    <row r="21">
      <c r="A21" s="6" t="inlineStr">
        <is>
          <t>Medium</t>
        </is>
      </c>
      <c r="B21" t="n">
        <v>550</v>
      </c>
    </row>
    <row r="22">
      <c r="A22" s="7" t="inlineStr">
        <is>
          <t>Low</t>
        </is>
      </c>
      <c r="B22" t="n">
        <v>54</v>
      </c>
    </row>
    <row r="25">
      <c r="A25" s="3" t="inlineStr">
        <is>
          <t>BY BINDING LEVEL</t>
        </is>
      </c>
    </row>
    <row r="26">
      <c r="A26" s="8" t="inlineStr">
        <is>
          <t>Mandatory (shall/must)</t>
        </is>
      </c>
      <c r="B26" t="n">
        <v>330</v>
      </c>
    </row>
    <row r="27">
      <c r="A27" s="9" t="inlineStr">
        <is>
          <t>Desirable (should/may)</t>
        </is>
      </c>
      <c r="B27" t="n">
        <v>582</v>
      </c>
    </row>
    <row r="30">
      <c r="A30" s="10" t="inlineStr">
        <is>
          <t>Valid Requirements (after filtering): 912</t>
        </is>
      </c>
    </row>
  </sheetData>
  <mergeCells count="3">
    <mergeCell ref="A3:F3"/>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9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8" customWidth="1" min="4" max="4"/>
    <col width="20" customWidth="1" min="5" max="5"/>
    <col width="15" customWidth="1" min="6" max="6"/>
    <col width="15" customWidth="1" min="7" max="7"/>
    <col width="10" customWidth="1" min="8" max="8"/>
    <col width="18" customWidth="1" min="9" max="9"/>
    <col width="15" customWidth="1" min="10" max="10"/>
    <col width="30" customWidth="1" min="11" max="11"/>
    <col width="25" customWidth="1" min="12" max="12"/>
    <col width="30" customWidth="1" min="13" max="13"/>
    <col width="25" customWidth="1" min="14" max="14"/>
    <col width="20" customWidth="1" min="15" max="15"/>
    <col width="15" customWidth="1" min="16" max="16"/>
    <col width="20" customWidth="1" min="17" max="17"/>
    <col width="20" customWidth="1" min="18" max="18"/>
    <col width="25" customWidth="1" min="19" max="19"/>
  </cols>
  <sheetData>
    <row r="1">
      <c r="A1" s="11" t="inlineStr">
        <is>
          <t>Req ID</t>
        </is>
      </c>
      <c r="B1" s="11" t="inlineStr">
        <is>
          <t>Requirement Text</t>
        </is>
      </c>
      <c r="C1" s="11" t="inlineStr">
        <is>
          <t>RFP Section</t>
        </is>
      </c>
      <c r="D1" s="11" t="inlineStr">
        <is>
          <t>Page</t>
        </is>
      </c>
      <c r="E1" s="11" t="inlineStr">
        <is>
          <t>Source Document</t>
        </is>
      </c>
      <c r="F1" s="11" t="inlineStr">
        <is>
          <t>Req Type</t>
        </is>
      </c>
      <c r="G1" s="11" t="inlineStr">
        <is>
          <t>Mandatory/Desirable</t>
        </is>
      </c>
      <c r="H1" s="11" t="inlineStr">
        <is>
          <t>Priority</t>
        </is>
      </c>
      <c r="I1" s="11" t="inlineStr">
        <is>
          <t>Proposal Section</t>
        </is>
      </c>
      <c r="J1" s="11" t="inlineStr">
        <is>
          <t>Compliance Status</t>
        </is>
      </c>
      <c r="K1" s="11" t="inlineStr">
        <is>
          <t>Response Strategy</t>
        </is>
      </c>
      <c r="L1" s="12" t="inlineStr">
        <is>
          <t>Win Theme</t>
        </is>
      </c>
      <c r="M1" s="12" t="inlineStr">
        <is>
          <t>Discriminator/Strength</t>
        </is>
      </c>
      <c r="N1" s="12" t="inlineStr">
        <is>
          <t>Proof Point</t>
        </is>
      </c>
      <c r="O1" s="12" t="inlineStr">
        <is>
          <t>Evidence Required</t>
        </is>
      </c>
      <c r="P1" s="11" t="inlineStr">
        <is>
          <t>Assigned Owner</t>
        </is>
      </c>
      <c r="Q1" s="11" t="inlineStr">
        <is>
          <t>Interdependencies</t>
        </is>
      </c>
      <c r="R1" s="11" t="inlineStr">
        <is>
          <t>Risk if Non-Compliant</t>
        </is>
      </c>
      <c r="S1" s="11" t="inlineStr">
        <is>
          <t>Notes</t>
        </is>
      </c>
    </row>
    <row r="2">
      <c r="A2" t="inlineStr">
        <is>
          <t>REQ-00001</t>
        </is>
      </c>
      <c r="B2" s="13" t="inlineStr">
        <is>
          <t>1 
SPACE SYSTEMS COMMAND 
ORGANIZATIONAL CONFLICTS OF INTEREST (OCI)  
MITIGATION PLAN CHECKLIST 
09 October 2024</t>
        </is>
      </c>
      <c r="C2" t="inlineStr">
        <is>
          <t>UNASSIGNED</t>
        </is>
      </c>
      <c r="D2" t="inlineStr"/>
      <c r="E2" t="inlineStr"/>
      <c r="F2" t="inlineStr">
        <is>
          <t>General</t>
        </is>
      </c>
      <c r="G2" s="9" t="inlineStr">
        <is>
          <t>Desirable</t>
        </is>
      </c>
      <c r="H2" s="6" t="inlineStr">
        <is>
          <t>Medium</t>
        </is>
      </c>
      <c r="I2" t="inlineStr"/>
      <c r="J2" t="inlineStr">
        <is>
          <t>Not Started</t>
        </is>
      </c>
      <c r="K2" t="inlineStr"/>
      <c r="L2" t="inlineStr"/>
      <c r="M2" t="inlineStr"/>
      <c r="N2" t="inlineStr"/>
      <c r="O2" t="inlineStr"/>
      <c r="P2" t="inlineStr"/>
      <c r="Q2" t="inlineStr"/>
      <c r="R2" t="inlineStr"/>
      <c r="S2" t="inlineStr"/>
    </row>
    <row r="3">
      <c r="A3" t="inlineStr">
        <is>
          <t>REQ-00002</t>
        </is>
      </c>
      <c r="B3" s="13" t="inlineStr">
        <is>
          <t>1.1 A clear statement of corporate commitment to continuously identify and avoid or 
mitigate OCI situations for this acquisition signed by senior corporate official 
(Vice President or above).</t>
        </is>
      </c>
      <c r="C3" t="inlineStr">
        <is>
          <t>UNASSIGNED</t>
        </is>
      </c>
      <c r="D3" t="inlineStr"/>
      <c r="E3" t="inlineStr"/>
      <c r="F3" t="inlineStr">
        <is>
          <t>General</t>
        </is>
      </c>
      <c r="G3" s="9" t="inlineStr">
        <is>
          <t>Desirable</t>
        </is>
      </c>
      <c r="H3" s="6" t="inlineStr">
        <is>
          <t>Medium</t>
        </is>
      </c>
      <c r="I3" t="inlineStr"/>
      <c r="J3" t="inlineStr">
        <is>
          <t>Not Started</t>
        </is>
      </c>
      <c r="K3" t="inlineStr"/>
      <c r="L3" t="inlineStr"/>
      <c r="M3" t="inlineStr"/>
      <c r="N3" t="inlineStr"/>
      <c r="O3" t="inlineStr"/>
      <c r="P3" t="inlineStr"/>
      <c r="Q3" t="inlineStr"/>
      <c r="R3" t="inlineStr"/>
      <c r="S3" t="inlineStr"/>
    </row>
    <row r="4">
      <c r="A4" t="inlineStr">
        <is>
          <t>REQ-00003</t>
        </is>
      </c>
      <c r="B4" s="13" t="inlineStr">
        <is>
          <t>1.2 Description of the position of the business unit performing this contract effort 
within the overall corporate structure.</t>
        </is>
      </c>
      <c r="C4" t="inlineStr">
        <is>
          <t>UNASSIGNED</t>
        </is>
      </c>
      <c r="D4" t="inlineStr"/>
      <c r="E4" t="inlineStr"/>
      <c r="F4" t="inlineStr">
        <is>
          <t>General</t>
        </is>
      </c>
      <c r="G4" s="9" t="inlineStr">
        <is>
          <t>Desirable</t>
        </is>
      </c>
      <c r="H4" s="6" t="inlineStr">
        <is>
          <t>Medium</t>
        </is>
      </c>
      <c r="I4" t="inlineStr"/>
      <c r="J4" t="inlineStr">
        <is>
          <t>Not Started</t>
        </is>
      </c>
      <c r="K4" t="inlineStr"/>
      <c r="L4" t="inlineStr"/>
      <c r="M4" t="inlineStr"/>
      <c r="N4" t="inlineStr"/>
      <c r="O4" t="inlineStr"/>
      <c r="P4" t="inlineStr"/>
      <c r="Q4" t="inlineStr"/>
      <c r="R4" t="inlineStr"/>
      <c r="S4" t="inlineStr"/>
    </row>
    <row r="5">
      <c r="A5" t="inlineStr">
        <is>
          <t>REQ-00004</t>
        </is>
      </c>
      <c r="B5" s="13" t="inlineStr">
        <is>
          <t>1.3 Organizational charts for the parent organization and the performing business 
unit (e.g., division, sector, subsidiary, affiliate).</t>
        </is>
      </c>
      <c r="C5" t="inlineStr">
        <is>
          <t>UNASSIGNED</t>
        </is>
      </c>
      <c r="D5" t="inlineStr"/>
      <c r="E5" t="inlineStr"/>
      <c r="F5" t="inlineStr">
        <is>
          <t>General</t>
        </is>
      </c>
      <c r="G5" s="9" t="inlineStr">
        <is>
          <t>Desirable</t>
        </is>
      </c>
      <c r="H5" s="6" t="inlineStr">
        <is>
          <t>Medium</t>
        </is>
      </c>
      <c r="I5" t="inlineStr"/>
      <c r="J5" t="inlineStr">
        <is>
          <t>Not Started</t>
        </is>
      </c>
      <c r="K5" t="inlineStr"/>
      <c r="L5" t="inlineStr"/>
      <c r="M5" t="inlineStr"/>
      <c r="N5" t="inlineStr"/>
      <c r="O5" t="inlineStr"/>
      <c r="P5" t="inlineStr"/>
      <c r="Q5" t="inlineStr"/>
      <c r="R5" t="inlineStr"/>
      <c r="S5" t="inlineStr"/>
    </row>
    <row r="6">
      <c r="A6" t="inlineStr">
        <is>
          <t>REQ-00005</t>
        </is>
      </c>
      <c r="B6" s="13" t="inlineStr">
        <is>
          <t>1.4 Letters of commitment to the prime contractor’s OCI Plan from all teammates 
and subcontractors or individual OCI Plans from all teammates and 
subcontractors attached to prime contractor’s OCI Plan.</t>
        </is>
      </c>
      <c r="C6" t="inlineStr">
        <is>
          <t>UNASSIGNED</t>
        </is>
      </c>
      <c r="D6" t="inlineStr"/>
      <c r="E6" t="inlineStr"/>
      <c r="F6" t="inlineStr">
        <is>
          <t>General</t>
        </is>
      </c>
      <c r="G6" s="9" t="inlineStr">
        <is>
          <t>Desirable</t>
        </is>
      </c>
      <c r="H6" s="6" t="inlineStr">
        <is>
          <t>Medium</t>
        </is>
      </c>
      <c r="I6" t="inlineStr"/>
      <c r="J6" t="inlineStr">
        <is>
          <t>Not Started</t>
        </is>
      </c>
      <c r="K6" t="inlineStr"/>
      <c r="L6" t="inlineStr"/>
      <c r="M6" t="inlineStr"/>
      <c r="N6" t="inlineStr"/>
      <c r="O6" t="inlineStr"/>
      <c r="P6" t="inlineStr"/>
      <c r="Q6" t="inlineStr"/>
      <c r="R6" t="inlineStr"/>
      <c r="S6" t="inlineStr"/>
    </row>
    <row r="7">
      <c r="A7" t="inlineStr">
        <is>
          <t>REQ-00006</t>
        </is>
      </c>
      <c r="B7" s="13" t="inlineStr">
        <is>
          <t>2.1 Definition of terms used in the OCI Plan.</t>
        </is>
      </c>
      <c r="C7" t="inlineStr">
        <is>
          <t>UNASSIGNED</t>
        </is>
      </c>
      <c r="D7" t="inlineStr"/>
      <c r="E7" t="inlineStr"/>
      <c r="F7" t="inlineStr">
        <is>
          <t>General</t>
        </is>
      </c>
      <c r="G7" s="9" t="inlineStr">
        <is>
          <t>Desirable</t>
        </is>
      </c>
      <c r="H7" s="6" t="inlineStr">
        <is>
          <t>Medium</t>
        </is>
      </c>
      <c r="I7" t="inlineStr"/>
      <c r="J7" t="inlineStr">
        <is>
          <t>Not Started</t>
        </is>
      </c>
      <c r="K7" t="inlineStr"/>
      <c r="L7" t="inlineStr"/>
      <c r="M7" t="inlineStr"/>
      <c r="N7" t="inlineStr"/>
      <c r="O7" t="inlineStr"/>
      <c r="P7" t="inlineStr"/>
      <c r="Q7" t="inlineStr"/>
      <c r="R7" t="inlineStr"/>
      <c r="S7" t="inlineStr"/>
    </row>
    <row r="8">
      <c r="A8" t="inlineStr">
        <is>
          <t>REQ-00007</t>
        </is>
      </c>
      <c r="B8" s="13" t="inlineStr">
        <is>
          <t>2.2 Definitions of acronyms used in the OCI Plan.  
3 Management of OCI Plan</t>
        </is>
      </c>
      <c r="C8" t="inlineStr">
        <is>
          <t>UNASSIGNED</t>
        </is>
      </c>
      <c r="D8" t="inlineStr"/>
      <c r="E8" t="inlineStr"/>
      <c r="F8" t="inlineStr">
        <is>
          <t>General</t>
        </is>
      </c>
      <c r="G8" s="9" t="inlineStr">
        <is>
          <t>Desirable</t>
        </is>
      </c>
      <c r="H8" s="6" t="inlineStr">
        <is>
          <t>Medium</t>
        </is>
      </c>
      <c r="I8" t="inlineStr"/>
      <c r="J8" t="inlineStr">
        <is>
          <t>Not Started</t>
        </is>
      </c>
      <c r="K8" t="inlineStr"/>
      <c r="L8" t="inlineStr"/>
      <c r="M8" t="inlineStr"/>
      <c r="N8" t="inlineStr"/>
      <c r="O8" t="inlineStr"/>
      <c r="P8" t="inlineStr"/>
      <c r="Q8" t="inlineStr"/>
      <c r="R8" t="inlineStr"/>
      <c r="S8" t="inlineStr"/>
    </row>
    <row r="9">
      <c r="A9" t="inlineStr">
        <is>
          <t>REQ-00008</t>
        </is>
      </c>
      <c r="B9" s="13" t="inlineStr">
        <is>
          <t>3.1 Identification of individual responsible for oversight and administration of the 
OCI Plan by position and place in company/business unit organizational 
structure.</t>
        </is>
      </c>
      <c r="C9" t="inlineStr">
        <is>
          <t>UNASSIGNED</t>
        </is>
      </c>
      <c r="D9" t="inlineStr"/>
      <c r="E9" t="inlineStr"/>
      <c r="F9" t="inlineStr">
        <is>
          <t>General</t>
        </is>
      </c>
      <c r="G9" s="9" t="inlineStr">
        <is>
          <t>Desirable</t>
        </is>
      </c>
      <c r="H9" s="6" t="inlineStr">
        <is>
          <t>Medium</t>
        </is>
      </c>
      <c r="I9" t="inlineStr"/>
      <c r="J9" t="inlineStr">
        <is>
          <t>Not Started</t>
        </is>
      </c>
      <c r="K9" t="inlineStr"/>
      <c r="L9" t="inlineStr"/>
      <c r="M9" t="inlineStr"/>
      <c r="N9" t="inlineStr"/>
      <c r="O9" t="inlineStr"/>
      <c r="P9" t="inlineStr"/>
      <c r="Q9" t="inlineStr"/>
      <c r="R9" t="inlineStr"/>
      <c r="S9" t="inlineStr"/>
    </row>
    <row r="10">
      <c r="A10" t="inlineStr">
        <is>
          <t>REQ-00009</t>
        </is>
      </c>
      <c r="B10" s="13" t="inlineStr">
        <is>
          <t>3.2 Identification of individual responsible for maintaining documentation related to 
OCI Plan by position and place in company/business unit organizational 
structure.</t>
        </is>
      </c>
      <c r="C10" t="inlineStr">
        <is>
          <t>UNASSIGNED</t>
        </is>
      </c>
      <c r="D10" t="inlineStr"/>
      <c r="E10" t="inlineStr"/>
      <c r="F10" t="inlineStr">
        <is>
          <t>General</t>
        </is>
      </c>
      <c r="G10" s="9" t="inlineStr">
        <is>
          <t>Desirable</t>
        </is>
      </c>
      <c r="H10" s="6" t="inlineStr">
        <is>
          <t>Medium</t>
        </is>
      </c>
      <c r="I10" t="inlineStr"/>
      <c r="J10" t="inlineStr">
        <is>
          <t>Not Started</t>
        </is>
      </c>
      <c r="K10" t="inlineStr"/>
      <c r="L10" t="inlineStr"/>
      <c r="M10" t="inlineStr"/>
      <c r="N10" t="inlineStr"/>
      <c r="O10" t="inlineStr"/>
      <c r="P10" t="inlineStr"/>
      <c r="Q10" t="inlineStr"/>
      <c r="R10" t="inlineStr"/>
      <c r="S10" t="inlineStr"/>
    </row>
    <row r="11">
      <c r="A11" t="inlineStr">
        <is>
          <t>REQ-00010</t>
        </is>
      </c>
      <c r="B11" s="13" t="inlineStr">
        <is>
          <t>3.3 Location where OCI Plan documentation will be maintained and commitment 
that the location will be easily accessible by Contracting Officer or Government 
auditor.</t>
        </is>
      </c>
      <c r="C11" t="inlineStr">
        <is>
          <t>UNASSIGNED</t>
        </is>
      </c>
      <c r="D11" t="inlineStr"/>
      <c r="E11" t="inlineStr"/>
      <c r="F11" t="inlineStr">
        <is>
          <t>General</t>
        </is>
      </c>
      <c r="G11" s="9" t="inlineStr">
        <is>
          <t>Desirable</t>
        </is>
      </c>
      <c r="H11" s="6" t="inlineStr">
        <is>
          <t>Medium</t>
        </is>
      </c>
      <c r="I11" t="inlineStr"/>
      <c r="J11" t="inlineStr">
        <is>
          <t>Not Started</t>
        </is>
      </c>
      <c r="K11" t="inlineStr"/>
      <c r="L11" t="inlineStr"/>
      <c r="M11" t="inlineStr"/>
      <c r="N11" t="inlineStr"/>
      <c r="O11" t="inlineStr"/>
      <c r="P11" t="inlineStr"/>
      <c r="Q11" t="inlineStr"/>
      <c r="R11" t="inlineStr"/>
      <c r="S11" t="inlineStr"/>
    </row>
    <row r="12">
      <c r="A12" t="inlineStr">
        <is>
          <t>REQ-00011</t>
        </is>
      </c>
      <c r="B12" s="13" t="inlineStr">
        <is>
          <t>3.4  Identification of corporate OCI-related policies and procedures (policies and 
procedures shall be attached to the OCI Plan).</t>
        </is>
      </c>
      <c r="C12" t="inlineStr">
        <is>
          <t>C</t>
        </is>
      </c>
      <c r="D12" t="inlineStr"/>
      <c r="E12" t="inlineStr"/>
      <c r="F12" t="inlineStr">
        <is>
          <t>Technical Requirement</t>
        </is>
      </c>
      <c r="G12" s="8" t="inlineStr">
        <is>
          <t>Mandatory</t>
        </is>
      </c>
      <c r="H12" s="5" t="inlineStr">
        <is>
          <t>High</t>
        </is>
      </c>
      <c r="I12" t="inlineStr"/>
      <c r="J12" t="inlineStr">
        <is>
          <t>Not Started</t>
        </is>
      </c>
      <c r="K12" t="inlineStr"/>
      <c r="L12" t="inlineStr"/>
      <c r="M12" t="inlineStr"/>
      <c r="N12" t="inlineStr"/>
      <c r="O12" t="inlineStr"/>
      <c r="P12" t="inlineStr"/>
      <c r="Q12" t="inlineStr"/>
      <c r="R12" t="inlineStr"/>
      <c r="S12" t="inlineStr"/>
    </row>
    <row r="13">
      <c r="A13" t="inlineStr">
        <is>
          <t>REQ-00012</t>
        </is>
      </c>
      <c r="B13" s="13" t="inlineStr">
        <is>
          <t>3.5 Description of processes and procedures implemented to execute the OCI Plan.</t>
        </is>
      </c>
      <c r="C13" t="inlineStr">
        <is>
          <t>UNASSIGNED</t>
        </is>
      </c>
      <c r="D13" t="inlineStr"/>
      <c r="E13" t="inlineStr"/>
      <c r="F13" t="inlineStr">
        <is>
          <t>General</t>
        </is>
      </c>
      <c r="G13" s="9" t="inlineStr">
        <is>
          <t>Desirable</t>
        </is>
      </c>
      <c r="H13" s="6" t="inlineStr">
        <is>
          <t>Medium</t>
        </is>
      </c>
      <c r="I13" t="inlineStr"/>
      <c r="J13" t="inlineStr">
        <is>
          <t>Not Started</t>
        </is>
      </c>
      <c r="K13" t="inlineStr"/>
      <c r="L13" t="inlineStr"/>
      <c r="M13" t="inlineStr"/>
      <c r="N13" t="inlineStr"/>
      <c r="O13" t="inlineStr"/>
      <c r="P13" t="inlineStr"/>
      <c r="Q13" t="inlineStr"/>
      <c r="R13" t="inlineStr"/>
      <c r="S13" t="inlineStr"/>
    </row>
    <row r="14">
      <c r="A14" t="inlineStr">
        <is>
          <t>REQ-00013</t>
        </is>
      </c>
      <c r="B14" s="13" t="inlineStr">
        <is>
          <t>3.6 Commitment to flow OCI Plan requirements down to all teammates and 
subcontractors.  Only those teammates and subcontractors who have committed to 
the Contractor’s OCI Plan in writing or provided an OCI Plan of their own shall 
be allowed to commence work on this contract.</t>
        </is>
      </c>
      <c r="C14" t="inlineStr">
        <is>
          <t>C</t>
        </is>
      </c>
      <c r="D14" t="inlineStr"/>
      <c r="E14" t="inlineStr"/>
      <c r="F14" t="inlineStr">
        <is>
          <t>Technical Requirement</t>
        </is>
      </c>
      <c r="G14" s="8" t="inlineStr">
        <is>
          <t>Mandatory</t>
        </is>
      </c>
      <c r="H14" s="5" t="inlineStr">
        <is>
          <t>High</t>
        </is>
      </c>
      <c r="I14" t="inlineStr"/>
      <c r="J14" t="inlineStr">
        <is>
          <t>Not Started</t>
        </is>
      </c>
      <c r="K14" t="inlineStr"/>
      <c r="L14" t="inlineStr"/>
      <c r="M14" t="inlineStr"/>
      <c r="N14" t="inlineStr"/>
      <c r="O14" t="inlineStr"/>
      <c r="P14" t="inlineStr"/>
      <c r="Q14" t="inlineStr"/>
      <c r="R14" t="inlineStr"/>
      <c r="S14" t="inlineStr"/>
    </row>
    <row r="15">
      <c r="A15" t="inlineStr">
        <is>
          <t>REQ-00014</t>
        </is>
      </c>
      <c r="B15" s="13"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C15" t="inlineStr">
        <is>
          <t>C</t>
        </is>
      </c>
      <c r="D15" t="inlineStr"/>
      <c r="E15" t="inlineStr"/>
      <c r="F15" t="inlineStr">
        <is>
          <t>Technical Requirement</t>
        </is>
      </c>
      <c r="G15" s="8" t="inlineStr">
        <is>
          <t>Mandatory</t>
        </is>
      </c>
      <c r="H15" s="5" t="inlineStr">
        <is>
          <t>High</t>
        </is>
      </c>
      <c r="I15" t="inlineStr"/>
      <c r="J15" t="inlineStr">
        <is>
          <t>Not Started</t>
        </is>
      </c>
      <c r="K15" t="inlineStr"/>
      <c r="L15" t="inlineStr"/>
      <c r="M15" t="inlineStr"/>
      <c r="N15" t="inlineStr"/>
      <c r="O15" t="inlineStr"/>
      <c r="P15" t="inlineStr"/>
      <c r="Q15" t="inlineStr"/>
      <c r="R15" t="inlineStr"/>
      <c r="S15" t="inlineStr"/>
    </row>
    <row r="16">
      <c r="A16" t="inlineStr">
        <is>
          <t>REQ-00015</t>
        </is>
      </c>
      <c r="B16" s="13"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C16" t="inlineStr">
        <is>
          <t>C</t>
        </is>
      </c>
      <c r="D16" t="inlineStr"/>
      <c r="E16" t="inlineStr"/>
      <c r="F16" t="inlineStr">
        <is>
          <t>Technical Requirement</t>
        </is>
      </c>
      <c r="G16" s="8" t="inlineStr">
        <is>
          <t>Mandatory</t>
        </is>
      </c>
      <c r="H16" s="5" t="inlineStr">
        <is>
          <t>High</t>
        </is>
      </c>
      <c r="I16" t="inlineStr"/>
      <c r="J16" t="inlineStr">
        <is>
          <t>Not Started</t>
        </is>
      </c>
      <c r="K16" t="inlineStr"/>
      <c r="L16" t="inlineStr"/>
      <c r="M16" t="inlineStr"/>
      <c r="N16" t="inlineStr"/>
      <c r="O16" t="inlineStr"/>
      <c r="P16" t="inlineStr"/>
      <c r="Q16" t="inlineStr"/>
      <c r="R16" t="inlineStr"/>
      <c r="S16" t="inlineStr"/>
    </row>
    <row r="17">
      <c r="A17" t="inlineStr">
        <is>
          <t>REQ-00016</t>
        </is>
      </c>
      <c r="B17" s="13" t="inlineStr">
        <is>
          <t>2 
violation.  After conducting further inquiries and discussions as may be necessary, 
the Contracting Officer and the contractor shall agree on appropriate corrective 
action, if any. 
4 OCI Training</t>
        </is>
      </c>
      <c r="C17" t="inlineStr">
        <is>
          <t>C</t>
        </is>
      </c>
      <c r="D17" t="inlineStr"/>
      <c r="E17" t="inlineStr"/>
      <c r="F17" t="inlineStr">
        <is>
          <t>Technical Requirement</t>
        </is>
      </c>
      <c r="G17" s="8" t="inlineStr">
        <is>
          <t>Mandatory</t>
        </is>
      </c>
      <c r="H17" s="5" t="inlineStr">
        <is>
          <t>High</t>
        </is>
      </c>
      <c r="I17" t="inlineStr"/>
      <c r="J17" t="inlineStr">
        <is>
          <t>Not Started</t>
        </is>
      </c>
      <c r="K17" t="inlineStr"/>
      <c r="L17" t="inlineStr"/>
      <c r="M17" t="inlineStr"/>
      <c r="N17" t="inlineStr"/>
      <c r="O17" t="inlineStr"/>
      <c r="P17" t="inlineStr"/>
      <c r="Q17" t="inlineStr"/>
      <c r="R17" t="inlineStr"/>
      <c r="S17" t="inlineStr"/>
    </row>
    <row r="18">
      <c r="A18" t="inlineStr">
        <is>
          <t>REQ-00017</t>
        </is>
      </c>
      <c r="B18" s="13" t="inlineStr">
        <is>
          <t>4.1 Plan for OCI training of all personnel working on the program.</t>
        </is>
      </c>
      <c r="C18" t="inlineStr">
        <is>
          <t>UNASSIGNED</t>
        </is>
      </c>
      <c r="D18" t="inlineStr"/>
      <c r="E18" t="inlineStr"/>
      <c r="F18" t="inlineStr">
        <is>
          <t>General</t>
        </is>
      </c>
      <c r="G18" s="9" t="inlineStr">
        <is>
          <t>Desirable</t>
        </is>
      </c>
      <c r="H18" s="6" t="inlineStr">
        <is>
          <t>Medium</t>
        </is>
      </c>
      <c r="I18" t="inlineStr"/>
      <c r="J18" t="inlineStr">
        <is>
          <t>Not Started</t>
        </is>
      </c>
      <c r="K18" t="inlineStr"/>
      <c r="L18" t="inlineStr"/>
      <c r="M18" t="inlineStr"/>
      <c r="N18" t="inlineStr"/>
      <c r="O18" t="inlineStr"/>
      <c r="P18" t="inlineStr"/>
      <c r="Q18" t="inlineStr"/>
      <c r="R18" t="inlineStr"/>
      <c r="S18" t="inlineStr"/>
    </row>
    <row r="19">
      <c r="A19" t="inlineStr">
        <is>
          <t>REQ-00018</t>
        </is>
      </c>
      <c r="B19" s="13" t="inlineStr">
        <is>
          <t>4.2 Identification of persons or classes of persons working on the program not subject 
to OCI training, including rationale and description of alternate OCI mitigation 
techniques.</t>
        </is>
      </c>
      <c r="C19" t="inlineStr">
        <is>
          <t>UNASSIGNED</t>
        </is>
      </c>
      <c r="D19" t="inlineStr"/>
      <c r="E19" t="inlineStr"/>
      <c r="F19" t="inlineStr">
        <is>
          <t>General</t>
        </is>
      </c>
      <c r="G19" s="9" t="inlineStr">
        <is>
          <t>Desirable</t>
        </is>
      </c>
      <c r="H19" s="6" t="inlineStr">
        <is>
          <t>Medium</t>
        </is>
      </c>
      <c r="I19" t="inlineStr"/>
      <c r="J19" t="inlineStr">
        <is>
          <t>Not Started</t>
        </is>
      </c>
      <c r="K19" t="inlineStr"/>
      <c r="L19" t="inlineStr"/>
      <c r="M19" t="inlineStr"/>
      <c r="N19" t="inlineStr"/>
      <c r="O19" t="inlineStr"/>
      <c r="P19" t="inlineStr"/>
      <c r="Q19" t="inlineStr"/>
      <c r="R19" t="inlineStr"/>
      <c r="S19" t="inlineStr"/>
    </row>
    <row r="20">
      <c r="A20" t="inlineStr">
        <is>
          <t>REQ-00019</t>
        </is>
      </c>
      <c r="B20" s="13" t="inlineStr">
        <is>
          <t>4.3 Statement of frequency of training (not less than annually).</t>
        </is>
      </c>
      <c r="C20" t="inlineStr">
        <is>
          <t>UNASSIGNED</t>
        </is>
      </c>
      <c r="D20" t="inlineStr"/>
      <c r="E20" t="inlineStr"/>
      <c r="F20" t="inlineStr">
        <is>
          <t>General</t>
        </is>
      </c>
      <c r="G20" s="9" t="inlineStr">
        <is>
          <t>Desirable</t>
        </is>
      </c>
      <c r="H20" s="6" t="inlineStr">
        <is>
          <t>Medium</t>
        </is>
      </c>
      <c r="I20" t="inlineStr"/>
      <c r="J20" t="inlineStr">
        <is>
          <t>Not Started</t>
        </is>
      </c>
      <c r="K20" t="inlineStr"/>
      <c r="L20" t="inlineStr"/>
      <c r="M20" t="inlineStr"/>
      <c r="N20" t="inlineStr"/>
      <c r="O20" t="inlineStr"/>
      <c r="P20" t="inlineStr"/>
      <c r="Q20" t="inlineStr"/>
      <c r="R20" t="inlineStr"/>
      <c r="S20" t="inlineStr"/>
    </row>
    <row r="21">
      <c r="A21" t="inlineStr">
        <is>
          <t>REQ-00020</t>
        </is>
      </c>
      <c r="B21" s="13" t="inlineStr">
        <is>
          <t>4.4 Description of how training completion is documented and where training 
documentation is maintained.</t>
        </is>
      </c>
      <c r="C21" t="inlineStr">
        <is>
          <t>UNASSIGNED</t>
        </is>
      </c>
      <c r="D21" t="inlineStr"/>
      <c r="E21" t="inlineStr"/>
      <c r="F21" t="inlineStr">
        <is>
          <t>General</t>
        </is>
      </c>
      <c r="G21" s="9" t="inlineStr">
        <is>
          <t>Desirable</t>
        </is>
      </c>
      <c r="H21" s="6" t="inlineStr">
        <is>
          <t>Medium</t>
        </is>
      </c>
      <c r="I21" t="inlineStr"/>
      <c r="J21" t="inlineStr">
        <is>
          <t>Not Started</t>
        </is>
      </c>
      <c r="K21" t="inlineStr"/>
      <c r="L21" t="inlineStr"/>
      <c r="M21" t="inlineStr"/>
      <c r="N21" t="inlineStr"/>
      <c r="O21" t="inlineStr"/>
      <c r="P21" t="inlineStr"/>
      <c r="Q21" t="inlineStr"/>
      <c r="R21" t="inlineStr"/>
      <c r="S21" t="inlineStr"/>
    </row>
    <row r="22">
      <c r="A22" t="inlineStr">
        <is>
          <t>REQ-00021</t>
        </is>
      </c>
      <c r="B22" s="13" t="inlineStr">
        <is>
          <t>4.5 Description of process for determining personal (individual) conflicts of interest.</t>
        </is>
      </c>
      <c r="C22" t="inlineStr">
        <is>
          <t>UNASSIGNED</t>
        </is>
      </c>
      <c r="D22" t="inlineStr"/>
      <c r="E22" t="inlineStr"/>
      <c r="F22" t="inlineStr">
        <is>
          <t>General</t>
        </is>
      </c>
      <c r="G22" s="9" t="inlineStr">
        <is>
          <t>Desirable</t>
        </is>
      </c>
      <c r="H22" s="6" t="inlineStr">
        <is>
          <t>Medium</t>
        </is>
      </c>
      <c r="I22" t="inlineStr"/>
      <c r="J22" t="inlineStr">
        <is>
          <t>Not Started</t>
        </is>
      </c>
      <c r="K22" t="inlineStr"/>
      <c r="L22" t="inlineStr"/>
      <c r="M22" t="inlineStr"/>
      <c r="N22" t="inlineStr"/>
      <c r="O22" t="inlineStr"/>
      <c r="P22" t="inlineStr"/>
      <c r="Q22" t="inlineStr"/>
      <c r="R22" t="inlineStr"/>
      <c r="S22" t="inlineStr"/>
    </row>
    <row r="23">
      <c r="A23" t="inlineStr">
        <is>
          <t>REQ-00022</t>
        </is>
      </c>
      <c r="B23" s="13" t="inlineStr">
        <is>
          <t>4.6 Description of personnel policies to limit employee transfers that might result in 
the inadvertent flow of sensitive information to other parts of the company where 
information could be used inappropriately.</t>
        </is>
      </c>
      <c r="C23" t="inlineStr">
        <is>
          <t>UNASSIGNED</t>
        </is>
      </c>
      <c r="D23" t="inlineStr"/>
      <c r="E23" t="inlineStr"/>
      <c r="F23" t="inlineStr">
        <is>
          <t>General</t>
        </is>
      </c>
      <c r="G23" s="9" t="inlineStr">
        <is>
          <t>Desirable</t>
        </is>
      </c>
      <c r="H23" s="6" t="inlineStr">
        <is>
          <t>Medium</t>
        </is>
      </c>
      <c r="I23" t="inlineStr"/>
      <c r="J23" t="inlineStr">
        <is>
          <t>Not Started</t>
        </is>
      </c>
      <c r="K23" t="inlineStr"/>
      <c r="L23" t="inlineStr"/>
      <c r="M23" t="inlineStr"/>
      <c r="N23" t="inlineStr"/>
      <c r="O23" t="inlineStr"/>
      <c r="P23" t="inlineStr"/>
      <c r="Q23" t="inlineStr"/>
      <c r="R23" t="inlineStr"/>
      <c r="S23" t="inlineStr"/>
    </row>
    <row r="24">
      <c r="A24" t="inlineStr">
        <is>
          <t>REQ-00023</t>
        </is>
      </c>
      <c r="B24" s="13" t="inlineStr">
        <is>
          <t>4.7 Statement that requirement is in place for program personnel to execute non-
disclosure agreements (NDA) to protect proprietary and other sensitive 
information.</t>
        </is>
      </c>
      <c r="C24" t="inlineStr">
        <is>
          <t>UNASSIGNED</t>
        </is>
      </c>
      <c r="D24" t="inlineStr"/>
      <c r="E24" t="inlineStr"/>
      <c r="F24" t="inlineStr">
        <is>
          <t>General</t>
        </is>
      </c>
      <c r="G24" s="9" t="inlineStr">
        <is>
          <t>Desirable</t>
        </is>
      </c>
      <c r="H24" s="6" t="inlineStr">
        <is>
          <t>Medium</t>
        </is>
      </c>
      <c r="I24" t="inlineStr"/>
      <c r="J24" t="inlineStr">
        <is>
          <t>Not Started</t>
        </is>
      </c>
      <c r="K24" t="inlineStr"/>
      <c r="L24" t="inlineStr"/>
      <c r="M24" t="inlineStr"/>
      <c r="N24" t="inlineStr"/>
      <c r="O24" t="inlineStr"/>
      <c r="P24" t="inlineStr"/>
      <c r="Q24" t="inlineStr"/>
      <c r="R24" t="inlineStr"/>
      <c r="S24" t="inlineStr"/>
    </row>
    <row r="25">
      <c r="A25" t="inlineStr">
        <is>
          <t>REQ-00024</t>
        </is>
      </c>
      <c r="B25" s="13" t="inlineStr">
        <is>
          <t>4.8 Statement that requirement is in place for debriefing personnel who executed 
NDAs upon their transfer, reassignment, resignation, or retirement.</t>
        </is>
      </c>
      <c r="C25" t="inlineStr">
        <is>
          <t>UNASSIGNED</t>
        </is>
      </c>
      <c r="D25" t="inlineStr"/>
      <c r="E25" t="inlineStr"/>
      <c r="F25" t="inlineStr">
        <is>
          <t>General</t>
        </is>
      </c>
      <c r="G25" s="9" t="inlineStr">
        <is>
          <t>Desirable</t>
        </is>
      </c>
      <c r="H25" s="6" t="inlineStr">
        <is>
          <t>Medium</t>
        </is>
      </c>
      <c r="I25" t="inlineStr"/>
      <c r="J25" t="inlineStr">
        <is>
          <t>Not Started</t>
        </is>
      </c>
      <c r="K25" t="inlineStr"/>
      <c r="L25" t="inlineStr"/>
      <c r="M25" t="inlineStr"/>
      <c r="N25" t="inlineStr"/>
      <c r="O25" t="inlineStr"/>
      <c r="P25" t="inlineStr"/>
      <c r="Q25" t="inlineStr"/>
      <c r="R25" t="inlineStr"/>
      <c r="S25" t="inlineStr"/>
    </row>
    <row r="26">
      <c r="A26" t="inlineStr">
        <is>
          <t>REQ-00025</t>
        </is>
      </c>
      <c r="B26" s="13" t="inlineStr">
        <is>
          <t>4.9 Statement of the length of time that NDAs require protection of information.</t>
        </is>
      </c>
      <c r="C26" t="inlineStr">
        <is>
          <t>UNASSIGNED</t>
        </is>
      </c>
      <c r="D26" t="inlineStr"/>
      <c r="E26" t="inlineStr"/>
      <c r="F26" t="inlineStr">
        <is>
          <t>General</t>
        </is>
      </c>
      <c r="G26" s="9" t="inlineStr">
        <is>
          <t>Desirable</t>
        </is>
      </c>
      <c r="H26" s="6" t="inlineStr">
        <is>
          <t>Medium</t>
        </is>
      </c>
      <c r="I26" t="inlineStr"/>
      <c r="J26" t="inlineStr">
        <is>
          <t>Not Started</t>
        </is>
      </c>
      <c r="K26" t="inlineStr"/>
      <c r="L26" t="inlineStr"/>
      <c r="M26" t="inlineStr"/>
      <c r="N26" t="inlineStr"/>
      <c r="O26" t="inlineStr"/>
      <c r="P26" t="inlineStr"/>
      <c r="Q26" t="inlineStr"/>
      <c r="R26" t="inlineStr"/>
      <c r="S26" t="inlineStr"/>
    </row>
    <row r="27">
      <c r="A27" t="inlineStr">
        <is>
          <t>REQ-00026</t>
        </is>
      </c>
      <c r="B27" s="13" t="inlineStr">
        <is>
          <t>4.10 Description disciplinary actions for non-compliance with the OCI Plan.</t>
        </is>
      </c>
      <c r="C27" t="inlineStr">
        <is>
          <t>UNASSIGNED</t>
        </is>
      </c>
      <c r="D27" t="inlineStr"/>
      <c r="E27" t="inlineStr"/>
      <c r="F27" t="inlineStr">
        <is>
          <t>General</t>
        </is>
      </c>
      <c r="G27" s="9" t="inlineStr">
        <is>
          <t>Desirable</t>
        </is>
      </c>
      <c r="H27" s="6" t="inlineStr">
        <is>
          <t>Medium</t>
        </is>
      </c>
      <c r="I27" t="inlineStr"/>
      <c r="J27" t="inlineStr">
        <is>
          <t>Not Started</t>
        </is>
      </c>
      <c r="K27" t="inlineStr"/>
      <c r="L27" t="inlineStr"/>
      <c r="M27" t="inlineStr"/>
      <c r="N27" t="inlineStr"/>
      <c r="O27" t="inlineStr"/>
      <c r="P27" t="inlineStr"/>
      <c r="Q27" t="inlineStr"/>
      <c r="R27" t="inlineStr"/>
      <c r="S27" t="inlineStr"/>
    </row>
    <row r="28">
      <c r="A28" t="inlineStr">
        <is>
          <t>REQ-00027</t>
        </is>
      </c>
      <c r="B28" s="13" t="inlineStr">
        <is>
          <t>4.11 Description of how and where disciplinary actions are documented.  
5 OCI Plan Reviews</t>
        </is>
      </c>
      <c r="C28" t="inlineStr">
        <is>
          <t>UNASSIGNED</t>
        </is>
      </c>
      <c r="D28" t="inlineStr"/>
      <c r="E28" t="inlineStr"/>
      <c r="F28" t="inlineStr">
        <is>
          <t>General</t>
        </is>
      </c>
      <c r="G28" s="9" t="inlineStr">
        <is>
          <t>Desirable</t>
        </is>
      </c>
      <c r="H28" s="6" t="inlineStr">
        <is>
          <t>Medium</t>
        </is>
      </c>
      <c r="I28" t="inlineStr"/>
      <c r="J28" t="inlineStr">
        <is>
          <t>Not Started</t>
        </is>
      </c>
      <c r="K28" t="inlineStr"/>
      <c r="L28" t="inlineStr"/>
      <c r="M28" t="inlineStr"/>
      <c r="N28" t="inlineStr"/>
      <c r="O28" t="inlineStr"/>
      <c r="P28" t="inlineStr"/>
      <c r="Q28" t="inlineStr"/>
      <c r="R28" t="inlineStr"/>
      <c r="S28" t="inlineStr"/>
    </row>
    <row r="29">
      <c r="A29" t="inlineStr">
        <is>
          <t>REQ-00028</t>
        </is>
      </c>
      <c r="B29" s="13" t="inlineStr">
        <is>
          <t>5.1 Description of how OCI processes and procedures are overseen and audited by 
the corporate organization.</t>
        </is>
      </c>
      <c r="C29" t="inlineStr">
        <is>
          <t>UNASSIGNED</t>
        </is>
      </c>
      <c r="D29" t="inlineStr"/>
      <c r="E29" t="inlineStr"/>
      <c r="F29" t="inlineStr">
        <is>
          <t>General</t>
        </is>
      </c>
      <c r="G29" s="9" t="inlineStr">
        <is>
          <t>Desirable</t>
        </is>
      </c>
      <c r="H29" s="6" t="inlineStr">
        <is>
          <t>Medium</t>
        </is>
      </c>
      <c r="I29" t="inlineStr"/>
      <c r="J29" t="inlineStr">
        <is>
          <t>Not Started</t>
        </is>
      </c>
      <c r="K29" t="inlineStr"/>
      <c r="L29" t="inlineStr"/>
      <c r="M29" t="inlineStr"/>
      <c r="N29" t="inlineStr"/>
      <c r="O29" t="inlineStr"/>
      <c r="P29" t="inlineStr"/>
      <c r="Q29" t="inlineStr"/>
      <c r="R29" t="inlineStr"/>
      <c r="S29" t="inlineStr"/>
    </row>
    <row r="30">
      <c r="A30" t="inlineStr">
        <is>
          <t>REQ-00029</t>
        </is>
      </c>
      <c r="B30" s="13" t="inlineStr">
        <is>
          <t>5.2 Statement of the frequency of corporate audits.  
6 Description of OCI Situation</t>
        </is>
      </c>
      <c r="C30" t="inlineStr">
        <is>
          <t>UNASSIGNED</t>
        </is>
      </c>
      <c r="D30" t="inlineStr"/>
      <c r="E30" t="inlineStr"/>
      <c r="F30" t="inlineStr">
        <is>
          <t>General</t>
        </is>
      </c>
      <c r="G30" s="9" t="inlineStr">
        <is>
          <t>Desirable</t>
        </is>
      </c>
      <c r="H30" s="6" t="inlineStr">
        <is>
          <t>Medium</t>
        </is>
      </c>
      <c r="I30" t="inlineStr"/>
      <c r="J30" t="inlineStr">
        <is>
          <t>Not Started</t>
        </is>
      </c>
      <c r="K30" t="inlineStr"/>
      <c r="L30" t="inlineStr"/>
      <c r="M30" t="inlineStr"/>
      <c r="N30" t="inlineStr"/>
      <c r="O30" t="inlineStr"/>
      <c r="P30" t="inlineStr"/>
      <c r="Q30" t="inlineStr"/>
      <c r="R30" t="inlineStr"/>
      <c r="S30" t="inlineStr"/>
    </row>
    <row r="31">
      <c r="A31" t="inlineStr">
        <is>
          <t>REQ-00030</t>
        </is>
      </c>
      <c r="B31" s="13" t="inlineStr">
        <is>
          <t>6.1 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t>
        </is>
      </c>
      <c r="C31" t="inlineStr">
        <is>
          <t>UNASSIGNED</t>
        </is>
      </c>
      <c r="D31" t="inlineStr"/>
      <c r="E31" t="inlineStr"/>
      <c r="F31" t="inlineStr">
        <is>
          <t>General</t>
        </is>
      </c>
      <c r="G31" s="9" t="inlineStr">
        <is>
          <t>Desirable</t>
        </is>
      </c>
      <c r="H31" s="6" t="inlineStr">
        <is>
          <t>Medium</t>
        </is>
      </c>
      <c r="I31" t="inlineStr"/>
      <c r="J31" t="inlineStr">
        <is>
          <t>Not Started</t>
        </is>
      </c>
      <c r="K31" t="inlineStr"/>
      <c r="L31" t="inlineStr"/>
      <c r="M31" t="inlineStr"/>
      <c r="N31" t="inlineStr"/>
      <c r="O31" t="inlineStr"/>
      <c r="P31" t="inlineStr"/>
      <c r="Q31" t="inlineStr"/>
      <c r="R31" t="inlineStr"/>
      <c r="S31" t="inlineStr"/>
    </row>
    <row r="32">
      <c r="A32" t="inlineStr">
        <is>
          <t>REQ-00031</t>
        </is>
      </c>
      <c r="B32" s="13" t="inlineStr">
        <is>
          <t>6.2 Explanation of factors that place the prime contractor, subcontractors, or 
teammates in an OCI situation.</t>
        </is>
      </c>
      <c r="C32" t="inlineStr">
        <is>
          <t>UNASSIGNED</t>
        </is>
      </c>
      <c r="D32" t="inlineStr"/>
      <c r="E32" t="inlineStr"/>
      <c r="F32" t="inlineStr">
        <is>
          <t>General</t>
        </is>
      </c>
      <c r="G32" s="9" t="inlineStr">
        <is>
          <t>Desirable</t>
        </is>
      </c>
      <c r="H32" s="6" t="inlineStr">
        <is>
          <t>Medium</t>
        </is>
      </c>
      <c r="I32" t="inlineStr"/>
      <c r="J32" t="inlineStr">
        <is>
          <t>Not Started</t>
        </is>
      </c>
      <c r="K32" t="inlineStr"/>
      <c r="L32" t="inlineStr"/>
      <c r="M32" t="inlineStr"/>
      <c r="N32" t="inlineStr"/>
      <c r="O32" t="inlineStr"/>
      <c r="P32" t="inlineStr"/>
      <c r="Q32" t="inlineStr"/>
      <c r="R32" t="inlineStr"/>
      <c r="S32" t="inlineStr"/>
    </row>
    <row r="33">
      <c r="A33" t="inlineStr">
        <is>
          <t>REQ-00032</t>
        </is>
      </c>
      <c r="B33" s="13" t="inlineStr">
        <is>
          <t>7.1 Description of avoidance or mitigation technique(s) proposed for each identified 
OCI situation in sufficient detail to evaluate efficacy of proposed technique.</t>
        </is>
      </c>
      <c r="C33" t="inlineStr">
        <is>
          <t>UNASSIGNED</t>
        </is>
      </c>
      <c r="D33" t="inlineStr"/>
      <c r="E33" t="inlineStr"/>
      <c r="F33" t="inlineStr">
        <is>
          <t>General</t>
        </is>
      </c>
      <c r="G33" s="9" t="inlineStr">
        <is>
          <t>Desirable</t>
        </is>
      </c>
      <c r="H33" s="6" t="inlineStr">
        <is>
          <t>Medium</t>
        </is>
      </c>
      <c r="I33" t="inlineStr"/>
      <c r="J33" t="inlineStr">
        <is>
          <t>Not Started</t>
        </is>
      </c>
      <c r="K33" t="inlineStr"/>
      <c r="L33" t="inlineStr"/>
      <c r="M33" t="inlineStr"/>
      <c r="N33" t="inlineStr"/>
      <c r="O33" t="inlineStr"/>
      <c r="P33" t="inlineStr"/>
      <c r="Q33" t="inlineStr"/>
      <c r="R33" t="inlineStr"/>
      <c r="S33" t="inlineStr"/>
    </row>
    <row r="34">
      <c r="A34" t="inlineStr">
        <is>
          <t>REQ-00033</t>
        </is>
      </c>
      <c r="B34" s="13" t="inlineStr">
        <is>
          <t>7.2 Identification of individuals (by position and place in company/business unit 
organizational structure) responsible for executing proposed technique(s).</t>
        </is>
      </c>
      <c r="C34" t="inlineStr">
        <is>
          <t>UNASSIGNED</t>
        </is>
      </c>
      <c r="D34" t="inlineStr"/>
      <c r="E34" t="inlineStr"/>
      <c r="F34" t="inlineStr">
        <is>
          <t>General</t>
        </is>
      </c>
      <c r="G34" s="9" t="inlineStr">
        <is>
          <t>Desirable</t>
        </is>
      </c>
      <c r="H34" s="6" t="inlineStr">
        <is>
          <t>Medium</t>
        </is>
      </c>
      <c r="I34" t="inlineStr"/>
      <c r="J34" t="inlineStr">
        <is>
          <t>Not Started</t>
        </is>
      </c>
      <c r="K34" t="inlineStr"/>
      <c r="L34" t="inlineStr"/>
      <c r="M34" t="inlineStr"/>
      <c r="N34" t="inlineStr"/>
      <c r="O34" t="inlineStr"/>
      <c r="P34" t="inlineStr"/>
      <c r="Q34" t="inlineStr"/>
      <c r="R34" t="inlineStr"/>
      <c r="S34" t="inlineStr"/>
    </row>
    <row r="35">
      <c r="A35" t="inlineStr">
        <is>
          <t>REQ-00034</t>
        </is>
      </c>
      <c r="B35" s="13" t="inlineStr">
        <is>
          <t>7.3 If OCI situation is one of biased ground rules or impaired objectivity, avoidance 
or mitigation techniques shall involve more than firewalls.</t>
        </is>
      </c>
      <c r="C35" t="inlineStr">
        <is>
          <t>C</t>
        </is>
      </c>
      <c r="D35" t="inlineStr"/>
      <c r="E35" t="inlineStr"/>
      <c r="F35" t="inlineStr">
        <is>
          <t>Technical Requirement</t>
        </is>
      </c>
      <c r="G35" s="8" t="inlineStr">
        <is>
          <t>Mandatory</t>
        </is>
      </c>
      <c r="H35" s="5" t="inlineStr">
        <is>
          <t>High</t>
        </is>
      </c>
      <c r="I35" t="inlineStr"/>
      <c r="J35" t="inlineStr">
        <is>
          <t>Not Started</t>
        </is>
      </c>
      <c r="K35" t="inlineStr"/>
      <c r="L35" t="inlineStr"/>
      <c r="M35" t="inlineStr"/>
      <c r="N35" t="inlineStr"/>
      <c r="O35" t="inlineStr"/>
      <c r="P35" t="inlineStr"/>
      <c r="Q35" t="inlineStr"/>
      <c r="R35" t="inlineStr"/>
      <c r="S35" t="inlineStr"/>
    </row>
    <row r="36">
      <c r="A36" t="inlineStr">
        <is>
          <t>REQ-00035</t>
        </is>
      </c>
      <c r="B36" s="13" t="inlineStr">
        <is>
          <t>DRAFT
Fair Opportunity Proposal Request Procedures 
24x7 Network Operations Center (NOC)  
Page 1 of 12</t>
        </is>
      </c>
      <c r="C36" t="inlineStr">
        <is>
          <t>UNASSIGNED</t>
        </is>
      </c>
      <c r="D36" t="inlineStr"/>
      <c r="E36" t="inlineStr"/>
      <c r="F36" t="inlineStr">
        <is>
          <t>General</t>
        </is>
      </c>
      <c r="G36" s="9" t="inlineStr">
        <is>
          <t>Desirable</t>
        </is>
      </c>
      <c r="H36" s="6" t="inlineStr">
        <is>
          <t>Medium</t>
        </is>
      </c>
      <c r="I36" t="inlineStr"/>
      <c r="J36" t="inlineStr">
        <is>
          <t>Not Started</t>
        </is>
      </c>
      <c r="K36" t="inlineStr"/>
      <c r="L36" t="inlineStr"/>
      <c r="M36" t="inlineStr"/>
      <c r="N36" t="inlineStr"/>
      <c r="O36" t="inlineStr"/>
      <c r="P36" t="inlineStr"/>
      <c r="Q36" t="inlineStr"/>
      <c r="R36" t="inlineStr"/>
      <c r="S36" t="inlineStr"/>
    </row>
    <row r="37">
      <c r="A37" t="inlineStr">
        <is>
          <t>REQ-00037</t>
        </is>
      </c>
      <c r="B37" s="13" t="inlineStr">
        <is>
          <t>Issued Under the Multiple Award Indefinite Delivery Indefinite Quantity Contract: 
24x7 Network Operations Center (NOC)</t>
        </is>
      </c>
      <c r="C37" t="inlineStr">
        <is>
          <t>UNASSIGNED</t>
        </is>
      </c>
      <c r="D37" t="inlineStr"/>
      <c r="E37" t="inlineStr"/>
      <c r="F37" t="inlineStr">
        <is>
          <t>General</t>
        </is>
      </c>
      <c r="G37" s="9" t="inlineStr">
        <is>
          <t>Desirable</t>
        </is>
      </c>
      <c r="H37" s="6" t="inlineStr">
        <is>
          <t>Medium</t>
        </is>
      </c>
      <c r="I37" t="inlineStr"/>
      <c r="J37" t="inlineStr">
        <is>
          <t>Not Started</t>
        </is>
      </c>
      <c r="K37" t="inlineStr"/>
      <c r="L37" t="inlineStr"/>
      <c r="M37" t="inlineStr"/>
      <c r="N37" t="inlineStr"/>
      <c r="O37" t="inlineStr"/>
      <c r="P37" t="inlineStr"/>
      <c r="Q37" t="inlineStr"/>
      <c r="R37" t="inlineStr"/>
      <c r="S37" t="inlineStr"/>
    </row>
    <row r="38">
      <c r="A38" t="inlineStr">
        <is>
          <t>REQ-00038</t>
        </is>
      </c>
      <c r="B38" s="13" t="inlineStr">
        <is>
          <t>SSC/BCC Operational Space C2 
Acquisition Delta</t>
        </is>
      </c>
      <c r="C38" t="inlineStr">
        <is>
          <t>UNASSIGNED</t>
        </is>
      </c>
      <c r="D38" t="inlineStr"/>
      <c r="E38" t="inlineStr"/>
      <c r="F38" t="inlineStr">
        <is>
          <t>General</t>
        </is>
      </c>
      <c r="G38" s="9" t="inlineStr">
        <is>
          <t>Desirable</t>
        </is>
      </c>
      <c r="H38" s="6" t="inlineStr">
        <is>
          <t>Medium</t>
        </is>
      </c>
      <c r="I38" t="inlineStr"/>
      <c r="J38" t="inlineStr">
        <is>
          <t>Not Started</t>
        </is>
      </c>
      <c r="K38" t="inlineStr"/>
      <c r="L38" t="inlineStr"/>
      <c r="M38" t="inlineStr"/>
      <c r="N38" t="inlineStr"/>
      <c r="O38" t="inlineStr"/>
      <c r="P38" t="inlineStr"/>
      <c r="Q38" t="inlineStr"/>
      <c r="R38" t="inlineStr"/>
      <c r="S38" t="inlineStr"/>
    </row>
    <row r="39">
      <c r="A39" t="inlineStr">
        <is>
          <t>REQ-00039</t>
        </is>
      </c>
      <c r="B39" s="13" t="inlineStr">
        <is>
          <t>DRAFT
Fair Opportunity Proposal Request Procedures 
24x7 Network Operations Center (NOC)  
Page 2 of 12</t>
        </is>
      </c>
      <c r="C39" t="inlineStr">
        <is>
          <t>UNASSIGNED</t>
        </is>
      </c>
      <c r="D39" t="inlineStr"/>
      <c r="E39" t="inlineStr"/>
      <c r="F39" t="inlineStr">
        <is>
          <t>General</t>
        </is>
      </c>
      <c r="G39" s="9" t="inlineStr">
        <is>
          <t>Desirable</t>
        </is>
      </c>
      <c r="H39" s="6" t="inlineStr">
        <is>
          <t>Medium</t>
        </is>
      </c>
      <c r="I39" t="inlineStr"/>
      <c r="J39" t="inlineStr">
        <is>
          <t>Not Started</t>
        </is>
      </c>
      <c r="K39" t="inlineStr"/>
      <c r="L39" t="inlineStr"/>
      <c r="M39" t="inlineStr"/>
      <c r="N39" t="inlineStr"/>
      <c r="O39" t="inlineStr"/>
      <c r="P39" t="inlineStr"/>
      <c r="Q39" t="inlineStr"/>
      <c r="R39" t="inlineStr"/>
      <c r="S39" t="inlineStr"/>
    </row>
    <row r="40">
      <c r="A40" t="inlineStr">
        <is>
          <t>REQ-00040</t>
        </is>
      </c>
      <c r="B40" s="13" t="inlineStr">
        <is>
          <t>DRAFT
Fair Opportunity Proposal Request Procedures 
24x7 Network Operations Center (NOC)  
Page 3 of 12</t>
        </is>
      </c>
      <c r="C40" t="inlineStr">
        <is>
          <t>UNASSIGNED</t>
        </is>
      </c>
      <c r="D40" t="inlineStr"/>
      <c r="E40" t="inlineStr"/>
      <c r="F40" t="inlineStr">
        <is>
          <t>General</t>
        </is>
      </c>
      <c r="G40" s="9" t="inlineStr">
        <is>
          <t>Desirable</t>
        </is>
      </c>
      <c r="H40" s="6" t="inlineStr">
        <is>
          <t>Medium</t>
        </is>
      </c>
      <c r="I40" t="inlineStr"/>
      <c r="J40" t="inlineStr">
        <is>
          <t>Not Started</t>
        </is>
      </c>
      <c r="K40" t="inlineStr"/>
      <c r="L40" t="inlineStr"/>
      <c r="M40" t="inlineStr"/>
      <c r="N40" t="inlineStr"/>
      <c r="O40" t="inlineStr"/>
      <c r="P40" t="inlineStr"/>
      <c r="Q40" t="inlineStr"/>
      <c r="R40" t="inlineStr"/>
      <c r="S40" t="inlineStr"/>
    </row>
    <row r="41">
      <c r="A41" t="inlineStr">
        <is>
          <t>REQ-00041</t>
        </is>
      </c>
      <c r="B41" s="13"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t>
        </is>
      </c>
      <c r="C41" t="inlineStr">
        <is>
          <t>M</t>
        </is>
      </c>
      <c r="D41" t="inlineStr"/>
      <c r="E41" t="inlineStr"/>
      <c r="F41" t="inlineStr">
        <is>
          <t>Evaluation Factor</t>
        </is>
      </c>
      <c r="G41" s="9" t="inlineStr">
        <is>
          <t>Desirable</t>
        </is>
      </c>
      <c r="H41" s="7" t="inlineStr">
        <is>
          <t>Low</t>
        </is>
      </c>
      <c r="I41" t="inlineStr"/>
      <c r="J41" t="inlineStr">
        <is>
          <t>Not Started</t>
        </is>
      </c>
      <c r="K41" t="inlineStr"/>
      <c r="L41" t="inlineStr"/>
      <c r="M41" t="inlineStr"/>
      <c r="N41" t="inlineStr"/>
      <c r="O41" t="inlineStr"/>
      <c r="P41" t="inlineStr"/>
      <c r="Q41" t="inlineStr"/>
      <c r="R41" t="inlineStr"/>
      <c r="S41" t="inlineStr"/>
    </row>
    <row r="42">
      <c r="A42" t="inlineStr">
        <is>
          <t>REQ-00042</t>
        </is>
      </c>
      <c r="B42" s="13" t="inlineStr">
        <is>
          <t>The Government fully anticipates expanding up to 100% within scope requirements during the 
period of performance.</t>
        </is>
      </c>
      <c r="C42" t="inlineStr">
        <is>
          <t>C</t>
        </is>
      </c>
      <c r="D42" t="inlineStr"/>
      <c r="E42" t="inlineStr"/>
      <c r="F42" t="inlineStr">
        <is>
          <t>Technical Requirement</t>
        </is>
      </c>
      <c r="G42" s="9" t="inlineStr">
        <is>
          <t>Desirable</t>
        </is>
      </c>
      <c r="H42" s="6" t="inlineStr">
        <is>
          <t>Medium</t>
        </is>
      </c>
      <c r="I42" t="inlineStr"/>
      <c r="J42" t="inlineStr">
        <is>
          <t>Not Started</t>
        </is>
      </c>
      <c r="K42" t="inlineStr"/>
      <c r="L42" t="inlineStr"/>
      <c r="M42" t="inlineStr"/>
      <c r="N42" t="inlineStr"/>
      <c r="O42" t="inlineStr"/>
      <c r="P42" t="inlineStr"/>
      <c r="Q42" t="inlineStr"/>
      <c r="R42" t="inlineStr"/>
      <c r="S42" t="inlineStr"/>
    </row>
    <row r="43">
      <c r="A43" t="inlineStr">
        <is>
          <t>REQ-00043</t>
        </is>
      </c>
      <c r="B43" s="13" t="inlineStr">
        <is>
          <t>This supply delivery order solicitation complies with Federal Acquisition Regulation Part</t>
        </is>
      </c>
      <c r="C43" t="inlineStr">
        <is>
          <t>UNASSIGNED</t>
        </is>
      </c>
      <c r="D43" t="inlineStr"/>
      <c r="E43" t="inlineStr"/>
      <c r="F43" t="inlineStr">
        <is>
          <t>General</t>
        </is>
      </c>
      <c r="G43" s="9" t="inlineStr">
        <is>
          <t>Desirable</t>
        </is>
      </c>
      <c r="H43" s="6" t="inlineStr">
        <is>
          <t>Medium</t>
        </is>
      </c>
      <c r="I43" t="inlineStr"/>
      <c r="J43" t="inlineStr">
        <is>
          <t>Not Started</t>
        </is>
      </c>
      <c r="K43" t="inlineStr"/>
      <c r="L43" t="inlineStr"/>
      <c r="M43" t="inlineStr"/>
      <c r="N43" t="inlineStr"/>
      <c r="O43" t="inlineStr"/>
      <c r="P43" t="inlineStr"/>
      <c r="Q43" t="inlineStr"/>
      <c r="R43" t="inlineStr"/>
      <c r="S43" t="inlineStr"/>
    </row>
    <row r="44">
      <c r="A44" t="inlineStr">
        <is>
          <t>REQ-00044</t>
        </is>
      </c>
      <c r="B44" s="13" t="inlineStr">
        <is>
          <t>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 
procedures.</t>
        </is>
      </c>
      <c r="C44" t="inlineStr">
        <is>
          <t>M</t>
        </is>
      </c>
      <c r="D44" t="inlineStr"/>
      <c r="E44" t="inlineStr"/>
      <c r="F44" t="inlineStr">
        <is>
          <t>Evaluation Factor</t>
        </is>
      </c>
      <c r="G44" s="9" t="inlineStr">
        <is>
          <t>Desirable</t>
        </is>
      </c>
      <c r="H44" s="6" t="inlineStr">
        <is>
          <t>Medium</t>
        </is>
      </c>
      <c r="I44" t="inlineStr"/>
      <c r="J44" t="inlineStr">
        <is>
          <t>Not Started</t>
        </is>
      </c>
      <c r="K44" t="inlineStr"/>
      <c r="L44" t="inlineStr"/>
      <c r="M44" t="inlineStr"/>
      <c r="N44" t="inlineStr"/>
      <c r="O44" t="inlineStr"/>
      <c r="P44" t="inlineStr"/>
      <c r="Q44" t="inlineStr"/>
      <c r="R44" t="inlineStr"/>
      <c r="S44" t="inlineStr"/>
    </row>
    <row r="45">
      <c r="A45" t="inlineStr">
        <is>
          <t>REQ-00045</t>
        </is>
      </c>
      <c r="B45" s="13"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t>
        </is>
      </c>
      <c r="C45" t="inlineStr">
        <is>
          <t>L</t>
        </is>
      </c>
      <c r="D45" t="inlineStr"/>
      <c r="E45" t="inlineStr"/>
      <c r="F45" t="inlineStr">
        <is>
          <t>Proposal Instruction</t>
        </is>
      </c>
      <c r="G45" s="8" t="inlineStr">
        <is>
          <t>Mandatory</t>
        </is>
      </c>
      <c r="H45" s="5" t="inlineStr">
        <is>
          <t>High</t>
        </is>
      </c>
      <c r="I45" t="inlineStr"/>
      <c r="J45" t="inlineStr">
        <is>
          <t>Not Started</t>
        </is>
      </c>
      <c r="K45" t="inlineStr"/>
      <c r="L45" t="inlineStr"/>
      <c r="M45" t="inlineStr"/>
      <c r="N45" t="inlineStr"/>
      <c r="O45" t="inlineStr"/>
      <c r="P45" t="inlineStr"/>
      <c r="Q45" t="inlineStr"/>
      <c r="R45" t="inlineStr"/>
      <c r="S45" t="inlineStr"/>
    </row>
    <row r="46">
      <c r="A46" t="inlineStr">
        <is>
          <t>REQ-00046</t>
        </is>
      </c>
      <c r="B46" s="13"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C46" t="inlineStr">
        <is>
          <t>UNASSIGNED</t>
        </is>
      </c>
      <c r="D46" t="inlineStr"/>
      <c r="E46" t="inlineStr"/>
      <c r="F46" t="inlineStr">
        <is>
          <t>General</t>
        </is>
      </c>
      <c r="G46" s="9" t="inlineStr">
        <is>
          <t>Desirable</t>
        </is>
      </c>
      <c r="H46" s="6" t="inlineStr">
        <is>
          <t>Medium</t>
        </is>
      </c>
      <c r="I46" t="inlineStr"/>
      <c r="J46" t="inlineStr">
        <is>
          <t>Not Started</t>
        </is>
      </c>
      <c r="K46" t="inlineStr"/>
      <c r="L46" t="inlineStr"/>
      <c r="M46" t="inlineStr"/>
      <c r="N46" t="inlineStr"/>
      <c r="O46" t="inlineStr"/>
      <c r="P46" t="inlineStr"/>
      <c r="Q46" t="inlineStr"/>
      <c r="R46" t="inlineStr"/>
      <c r="S46" t="inlineStr"/>
    </row>
    <row r="47">
      <c r="A47" t="inlineStr">
        <is>
          <t>REQ-00047</t>
        </is>
      </c>
      <c r="B47" s="13"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t>
        </is>
      </c>
      <c r="C47" t="inlineStr">
        <is>
          <t>L</t>
        </is>
      </c>
      <c r="D47" t="inlineStr"/>
      <c r="E47" t="inlineStr"/>
      <c r="F47" t="inlineStr">
        <is>
          <t>Proposal Instruction</t>
        </is>
      </c>
      <c r="G47" s="9" t="inlineStr">
        <is>
          <t>Desirable</t>
        </is>
      </c>
      <c r="H47" s="6" t="inlineStr">
        <is>
          <t>Medium</t>
        </is>
      </c>
      <c r="I47" t="inlineStr"/>
      <c r="J47" t="inlineStr">
        <is>
          <t>Not Started</t>
        </is>
      </c>
      <c r="K47" t="inlineStr"/>
      <c r="L47" t="inlineStr"/>
      <c r="M47" t="inlineStr"/>
      <c r="N47" t="inlineStr"/>
      <c r="O47" t="inlineStr"/>
      <c r="P47" t="inlineStr"/>
      <c r="Q47" t="inlineStr"/>
      <c r="R47" t="inlineStr"/>
      <c r="S47" t="inlineStr"/>
    </row>
    <row r="48">
      <c r="A48" t="inlineStr">
        <is>
          <t>REQ-00048</t>
        </is>
      </c>
      <c r="B48" s="13" t="inlineStr">
        <is>
          <t>Technical           Cost/Price   
Evaluation weighting formula:          SF1 &gt; SF2      &gt;&gt;           (Criteria 1 = Criteria 2 = Criteria 3)</t>
        </is>
      </c>
      <c r="C48" t="inlineStr">
        <is>
          <t>UNASSIGNED</t>
        </is>
      </c>
      <c r="D48" t="inlineStr"/>
      <c r="E48" t="inlineStr"/>
      <c r="F48" t="inlineStr">
        <is>
          <t>General</t>
        </is>
      </c>
      <c r="G48" s="9" t="inlineStr">
        <is>
          <t>Desirable</t>
        </is>
      </c>
      <c r="H48" s="6" t="inlineStr">
        <is>
          <t>Medium</t>
        </is>
      </c>
      <c r="I48" t="inlineStr"/>
      <c r="J48" t="inlineStr">
        <is>
          <t>Not Started</t>
        </is>
      </c>
      <c r="K48" t="inlineStr"/>
      <c r="L48" t="inlineStr"/>
      <c r="M48" t="inlineStr"/>
      <c r="N48" t="inlineStr"/>
      <c r="O48" t="inlineStr"/>
      <c r="P48" t="inlineStr"/>
      <c r="Q48" t="inlineStr"/>
      <c r="R48" t="inlineStr"/>
      <c r="S48" t="inlineStr"/>
    </row>
    <row r="49">
      <c r="A49" t="inlineStr">
        <is>
          <t>REQ-00049</t>
        </is>
      </c>
      <c r="B49" s="13"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49" t="inlineStr">
        <is>
          <t>UNASSIGNED</t>
        </is>
      </c>
      <c r="D49" t="inlineStr"/>
      <c r="E49" t="inlineStr"/>
      <c r="F49" t="inlineStr">
        <is>
          <t>General</t>
        </is>
      </c>
      <c r="G49" s="9" t="inlineStr">
        <is>
          <t>Desirable</t>
        </is>
      </c>
      <c r="H49" s="7" t="inlineStr">
        <is>
          <t>Low</t>
        </is>
      </c>
      <c r="I49" t="inlineStr"/>
      <c r="J49" t="inlineStr">
        <is>
          <t>Not Started</t>
        </is>
      </c>
      <c r="K49" t="inlineStr"/>
      <c r="L49" t="inlineStr"/>
      <c r="M49" t="inlineStr"/>
      <c r="N49" t="inlineStr"/>
      <c r="O49" t="inlineStr"/>
      <c r="P49" t="inlineStr"/>
      <c r="Q49" t="inlineStr"/>
      <c r="R49" t="inlineStr"/>
      <c r="S49" t="inlineStr"/>
    </row>
    <row r="50">
      <c r="A50" t="inlineStr">
        <is>
          <t>REQ-00050</t>
        </is>
      </c>
      <c r="B50" s="13"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50" t="inlineStr">
        <is>
          <t>L</t>
        </is>
      </c>
      <c r="D50" t="inlineStr"/>
      <c r="E50" t="inlineStr"/>
      <c r="F50" t="inlineStr">
        <is>
          <t>Proposal Instruction</t>
        </is>
      </c>
      <c r="G50" s="8" t="inlineStr">
        <is>
          <t>Mandatory</t>
        </is>
      </c>
      <c r="H50" s="5" t="inlineStr">
        <is>
          <t>High</t>
        </is>
      </c>
      <c r="I50" t="inlineStr"/>
      <c r="J50" t="inlineStr">
        <is>
          <t>Not Started</t>
        </is>
      </c>
      <c r="K50" t="inlineStr"/>
      <c r="L50" t="inlineStr"/>
      <c r="M50" t="inlineStr"/>
      <c r="N50" t="inlineStr"/>
      <c r="O50" t="inlineStr"/>
      <c r="P50" t="inlineStr"/>
      <c r="Q50" t="inlineStr"/>
      <c r="R50" t="inlineStr"/>
      <c r="S50" t="inlineStr"/>
    </row>
    <row r="51">
      <c r="A51" t="inlineStr">
        <is>
          <t>REQ-00051</t>
        </is>
      </c>
      <c r="B51" s="13" t="inlineStr">
        <is>
          <t>DRAFT
Fair Opportunity Proposal Request Procedures 
24x7 Network Operations Center (NOC)  
Page 4 of 12</t>
        </is>
      </c>
      <c r="C51" t="inlineStr">
        <is>
          <t>UNASSIGNED</t>
        </is>
      </c>
      <c r="D51" t="inlineStr"/>
      <c r="E51" t="inlineStr"/>
      <c r="F51" t="inlineStr">
        <is>
          <t>General</t>
        </is>
      </c>
      <c r="G51" s="9" t="inlineStr">
        <is>
          <t>Desirable</t>
        </is>
      </c>
      <c r="H51" s="6" t="inlineStr">
        <is>
          <t>Medium</t>
        </is>
      </c>
      <c r="I51" t="inlineStr"/>
      <c r="J51" t="inlineStr">
        <is>
          <t>Not Started</t>
        </is>
      </c>
      <c r="K51" t="inlineStr"/>
      <c r="L51" t="inlineStr"/>
      <c r="M51" t="inlineStr"/>
      <c r="N51" t="inlineStr"/>
      <c r="O51" t="inlineStr"/>
      <c r="P51" t="inlineStr"/>
      <c r="Q51" t="inlineStr"/>
      <c r="R51" t="inlineStr"/>
      <c r="S51" t="inlineStr"/>
    </row>
    <row r="52">
      <c r="A52" t="inlineStr">
        <is>
          <t>REQ-00052</t>
        </is>
      </c>
      <c r="B52" s="13"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52" t="inlineStr">
        <is>
          <t>L</t>
        </is>
      </c>
      <c r="D52" t="inlineStr"/>
      <c r="E52" t="inlineStr"/>
      <c r="F52" t="inlineStr">
        <is>
          <t>Proposal Instruction</t>
        </is>
      </c>
      <c r="G52" s="8" t="inlineStr">
        <is>
          <t>Mandatory</t>
        </is>
      </c>
      <c r="H52" s="5" t="inlineStr">
        <is>
          <t>High</t>
        </is>
      </c>
      <c r="I52" t="inlineStr"/>
      <c r="J52" t="inlineStr">
        <is>
          <t>Not Started</t>
        </is>
      </c>
      <c r="K52" t="inlineStr"/>
      <c r="L52" t="inlineStr"/>
      <c r="M52" t="inlineStr"/>
      <c r="N52" t="inlineStr"/>
      <c r="O52" t="inlineStr"/>
      <c r="P52" t="inlineStr"/>
      <c r="Q52" t="inlineStr"/>
      <c r="R52" t="inlineStr"/>
      <c r="S52" t="inlineStr"/>
    </row>
    <row r="53">
      <c r="A53" t="inlineStr">
        <is>
          <t>REQ-00053</t>
        </is>
      </c>
      <c r="B53" s="13"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t>
        </is>
      </c>
      <c r="C53" t="inlineStr">
        <is>
          <t>L</t>
        </is>
      </c>
      <c r="D53" t="inlineStr"/>
      <c r="E53" t="inlineStr"/>
      <c r="F53" t="inlineStr">
        <is>
          <t>Proposal Instruction</t>
        </is>
      </c>
      <c r="G53" s="8" t="inlineStr">
        <is>
          <t>Mandatory</t>
        </is>
      </c>
      <c r="H53" s="5" t="inlineStr">
        <is>
          <t>High</t>
        </is>
      </c>
      <c r="I53" t="inlineStr"/>
      <c r="J53" t="inlineStr">
        <is>
          <t>Not Started</t>
        </is>
      </c>
      <c r="K53" t="inlineStr"/>
      <c r="L53" t="inlineStr"/>
      <c r="M53" t="inlineStr"/>
      <c r="N53" t="inlineStr"/>
      <c r="O53" t="inlineStr"/>
      <c r="P53" t="inlineStr"/>
      <c r="Q53" t="inlineStr"/>
      <c r="R53" t="inlineStr"/>
      <c r="S53" t="inlineStr"/>
    </row>
    <row r="54">
      <c r="A54" t="inlineStr">
        <is>
          <t>REQ-00054</t>
        </is>
      </c>
      <c r="B54" s="13" t="inlineStr">
        <is>
          <t>mailto: rodrigo.laguna_lagos.3@spaceforce.mil and alfonso.tojino@spaceforce.mil</t>
        </is>
      </c>
      <c r="C54" t="inlineStr">
        <is>
          <t>UNASSIGNED</t>
        </is>
      </c>
      <c r="D54" t="inlineStr"/>
      <c r="E54" t="inlineStr"/>
      <c r="F54" t="inlineStr">
        <is>
          <t>General</t>
        </is>
      </c>
      <c r="G54" s="9" t="inlineStr">
        <is>
          <t>Desirable</t>
        </is>
      </c>
      <c r="H54" s="6" t="inlineStr">
        <is>
          <t>Medium</t>
        </is>
      </c>
      <c r="I54" t="inlineStr"/>
      <c r="J54" t="inlineStr">
        <is>
          <t>Not Started</t>
        </is>
      </c>
      <c r="K54" t="inlineStr"/>
      <c r="L54" t="inlineStr"/>
      <c r="M54" t="inlineStr"/>
      <c r="N54" t="inlineStr"/>
      <c r="O54" t="inlineStr"/>
      <c r="P54" t="inlineStr"/>
      <c r="Q54" t="inlineStr"/>
      <c r="R54" t="inlineStr"/>
      <c r="S54" t="inlineStr"/>
    </row>
    <row r="55">
      <c r="A55" t="inlineStr">
        <is>
          <t>REQ-00055</t>
        </is>
      </c>
      <c r="B55" s="13"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55" t="inlineStr">
        <is>
          <t>L</t>
        </is>
      </c>
      <c r="D55" t="inlineStr"/>
      <c r="E55" t="inlineStr"/>
      <c r="F55" t="inlineStr">
        <is>
          <t>Proposal Instruction</t>
        </is>
      </c>
      <c r="G55" s="8" t="inlineStr">
        <is>
          <t>Mandatory</t>
        </is>
      </c>
      <c r="H55" s="5" t="inlineStr">
        <is>
          <t>High</t>
        </is>
      </c>
      <c r="I55" t="inlineStr"/>
      <c r="J55" t="inlineStr">
        <is>
          <t>Not Started</t>
        </is>
      </c>
      <c r="K55" t="inlineStr"/>
      <c r="L55" t="inlineStr"/>
      <c r="M55" t="inlineStr"/>
      <c r="N55" t="inlineStr"/>
      <c r="O55" t="inlineStr"/>
      <c r="P55" t="inlineStr"/>
      <c r="Q55" t="inlineStr"/>
      <c r="R55" t="inlineStr"/>
      <c r="S55" t="inlineStr"/>
    </row>
    <row r="56">
      <c r="A56" t="inlineStr">
        <is>
          <t>REQ-00056</t>
        </is>
      </c>
      <c r="B56" s="13"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t>
        </is>
      </c>
      <c r="C56" t="inlineStr">
        <is>
          <t>M</t>
        </is>
      </c>
      <c r="D56" t="inlineStr"/>
      <c r="E56" t="inlineStr"/>
      <c r="F56" t="inlineStr">
        <is>
          <t>Evaluation Factor</t>
        </is>
      </c>
      <c r="G56" s="9" t="inlineStr">
        <is>
          <t>Desirable</t>
        </is>
      </c>
      <c r="H56" s="6" t="inlineStr">
        <is>
          <t>Medium</t>
        </is>
      </c>
      <c r="I56" t="inlineStr"/>
      <c r="J56" t="inlineStr">
        <is>
          <t>Not Started</t>
        </is>
      </c>
      <c r="K56" t="inlineStr"/>
      <c r="L56" t="inlineStr"/>
      <c r="M56" t="inlineStr"/>
      <c r="N56" t="inlineStr"/>
      <c r="O56" t="inlineStr"/>
      <c r="P56" t="inlineStr"/>
      <c r="Q56" t="inlineStr"/>
      <c r="R56" t="inlineStr"/>
      <c r="S56" t="inlineStr"/>
    </row>
    <row r="57">
      <c r="A57" t="inlineStr">
        <is>
          <t>REQ-00057</t>
        </is>
      </c>
      <c r="B57" s="13"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t>
        </is>
      </c>
      <c r="C57" t="inlineStr">
        <is>
          <t>C</t>
        </is>
      </c>
      <c r="D57" t="inlineStr"/>
      <c r="E57" t="inlineStr"/>
      <c r="F57" t="inlineStr">
        <is>
          <t>Technical Requirement</t>
        </is>
      </c>
      <c r="G57" s="8" t="inlineStr">
        <is>
          <t>Mandatory</t>
        </is>
      </c>
      <c r="H57" s="5" t="inlineStr">
        <is>
          <t>High</t>
        </is>
      </c>
      <c r="I57" t="inlineStr"/>
      <c r="J57" t="inlineStr">
        <is>
          <t>Not Started</t>
        </is>
      </c>
      <c r="K57" t="inlineStr"/>
      <c r="L57" t="inlineStr"/>
      <c r="M57" t="inlineStr"/>
      <c r="N57" t="inlineStr"/>
      <c r="O57" t="inlineStr"/>
      <c r="P57" t="inlineStr"/>
      <c r="Q57" t="inlineStr"/>
      <c r="R57" t="inlineStr"/>
      <c r="S57" t="inlineStr"/>
    </row>
    <row r="58">
      <c r="A58" t="inlineStr">
        <is>
          <t>REQ-00058</t>
        </is>
      </c>
      <c r="B58" s="13" t="inlineStr">
        <is>
          <t>At this time, the Government intends to make award based on the initial proposal submissions 
without conducting interchanges, Therefore, each offer should contain the Offeror’s best terms 
from a price and technical standpoint.</t>
        </is>
      </c>
      <c r="C58" t="inlineStr">
        <is>
          <t>C</t>
        </is>
      </c>
      <c r="D58" t="inlineStr"/>
      <c r="E58" t="inlineStr"/>
      <c r="F58" t="inlineStr">
        <is>
          <t>Technical Requirement</t>
        </is>
      </c>
      <c r="G58" s="9" t="inlineStr">
        <is>
          <t>Desirable</t>
        </is>
      </c>
      <c r="H58" s="6" t="inlineStr">
        <is>
          <t>Medium</t>
        </is>
      </c>
      <c r="I58" t="inlineStr"/>
      <c r="J58" t="inlineStr">
        <is>
          <t>Not Started</t>
        </is>
      </c>
      <c r="K58" t="inlineStr"/>
      <c r="L58" t="inlineStr"/>
      <c r="M58" t="inlineStr"/>
      <c r="N58" t="inlineStr"/>
      <c r="O58" t="inlineStr"/>
      <c r="P58" t="inlineStr"/>
      <c r="Q58" t="inlineStr"/>
      <c r="R58" t="inlineStr"/>
      <c r="S58" t="inlineStr"/>
    </row>
    <row r="59">
      <c r="A59" t="inlineStr">
        <is>
          <t>REQ-00059</t>
        </is>
      </c>
      <c r="B59" s="13" t="inlineStr">
        <is>
          <t>Proposal Format 
Proposals shall be submitted to the Government in separate volumes as set forth below.</t>
        </is>
      </c>
      <c r="C59" t="inlineStr">
        <is>
          <t>L</t>
        </is>
      </c>
      <c r="D59" t="inlineStr"/>
      <c r="E59" t="inlineStr"/>
      <c r="F59" t="inlineStr">
        <is>
          <t>Proposal Instruction</t>
        </is>
      </c>
      <c r="G59" s="8" t="inlineStr">
        <is>
          <t>Mandatory</t>
        </is>
      </c>
      <c r="H59" s="5" t="inlineStr">
        <is>
          <t>High</t>
        </is>
      </c>
      <c r="I59" t="inlineStr"/>
      <c r="J59" t="inlineStr">
        <is>
          <t>Not Started</t>
        </is>
      </c>
      <c r="K59" t="inlineStr"/>
      <c r="L59" t="inlineStr"/>
      <c r="M59" t="inlineStr"/>
      <c r="N59" t="inlineStr"/>
      <c r="O59" t="inlineStr"/>
      <c r="P59" t="inlineStr"/>
      <c r="Q59" t="inlineStr"/>
      <c r="R59" t="inlineStr"/>
      <c r="S59" t="inlineStr"/>
    </row>
    <row r="60">
      <c r="A60" t="inlineStr">
        <is>
          <t>REQ-00060</t>
        </is>
      </c>
      <c r="B60" s="13" t="inlineStr">
        <is>
          <t>Volume Title 
Description 
Page Limit Included in Page 
Count (Y/N/NA)</t>
        </is>
      </c>
      <c r="C60" t="inlineStr">
        <is>
          <t>L</t>
        </is>
      </c>
      <c r="D60" t="inlineStr"/>
      <c r="E60" t="inlineStr"/>
      <c r="F60" t="inlineStr">
        <is>
          <t>Proposal Instruction</t>
        </is>
      </c>
      <c r="G60" s="9" t="inlineStr">
        <is>
          <t>Desirable</t>
        </is>
      </c>
      <c r="H60" s="6" t="inlineStr">
        <is>
          <t>Medium</t>
        </is>
      </c>
      <c r="I60" t="inlineStr"/>
      <c r="J60" t="inlineStr">
        <is>
          <t>Not Started</t>
        </is>
      </c>
      <c r="K60" t="inlineStr"/>
      <c r="L60" t="inlineStr"/>
      <c r="M60" t="inlineStr"/>
      <c r="N60" t="inlineStr"/>
      <c r="O60" t="inlineStr"/>
      <c r="P60" t="inlineStr"/>
      <c r="Q60" t="inlineStr"/>
      <c r="R60" t="inlineStr"/>
      <c r="S60" t="inlineStr"/>
    </row>
    <row r="61">
      <c r="A61" t="inlineStr">
        <is>
          <t>REQ-00061</t>
        </is>
      </c>
      <c r="B61" s="13" t="inlineStr">
        <is>
          <t>DRAFT
Fair Opportunity Proposal Request Procedures 
24x7 Network Operations Center (NOC)  
Page 5 of 12</t>
        </is>
      </c>
      <c r="C61" t="inlineStr">
        <is>
          <t>UNASSIGNED</t>
        </is>
      </c>
      <c r="D61" t="inlineStr"/>
      <c r="E61" t="inlineStr"/>
      <c r="F61" t="inlineStr">
        <is>
          <t>General</t>
        </is>
      </c>
      <c r="G61" s="9" t="inlineStr">
        <is>
          <t>Desirable</t>
        </is>
      </c>
      <c r="H61" s="6" t="inlineStr">
        <is>
          <t>Medium</t>
        </is>
      </c>
      <c r="I61" t="inlineStr"/>
      <c r="J61" t="inlineStr">
        <is>
          <t>Not Started</t>
        </is>
      </c>
      <c r="K61" t="inlineStr"/>
      <c r="L61" t="inlineStr"/>
      <c r="M61" t="inlineStr"/>
      <c r="N61" t="inlineStr"/>
      <c r="O61" t="inlineStr"/>
      <c r="P61" t="inlineStr"/>
      <c r="Q61" t="inlineStr"/>
      <c r="R61" t="inlineStr"/>
      <c r="S61" t="inlineStr"/>
    </row>
    <row r="62">
      <c r="A62" t="inlineStr">
        <is>
          <t>REQ-00062</t>
        </is>
      </c>
      <c r="B62" s="13"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C62" t="inlineStr">
        <is>
          <t>UNASSIGNED</t>
        </is>
      </c>
      <c r="D62" t="inlineStr"/>
      <c r="E62" t="inlineStr"/>
      <c r="F62" t="inlineStr">
        <is>
          <t>General</t>
        </is>
      </c>
      <c r="G62" s="9" t="inlineStr">
        <is>
          <t>Desirable</t>
        </is>
      </c>
      <c r="H62" s="6" t="inlineStr">
        <is>
          <t>Medium</t>
        </is>
      </c>
      <c r="I62" t="inlineStr"/>
      <c r="J62" t="inlineStr">
        <is>
          <t>Not Started</t>
        </is>
      </c>
      <c r="K62" t="inlineStr"/>
      <c r="L62" t="inlineStr"/>
      <c r="M62" t="inlineStr"/>
      <c r="N62" t="inlineStr"/>
      <c r="O62" t="inlineStr"/>
      <c r="P62" t="inlineStr"/>
      <c r="Q62" t="inlineStr"/>
      <c r="R62" t="inlineStr"/>
      <c r="S62" t="inlineStr"/>
    </row>
    <row r="63">
      <c r="A63" t="inlineStr">
        <is>
          <t>REQ-00063</t>
        </is>
      </c>
      <c r="B63" s="13"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63" t="inlineStr">
        <is>
          <t>L</t>
        </is>
      </c>
      <c r="D63" t="inlineStr"/>
      <c r="E63" t="inlineStr"/>
      <c r="F63" t="inlineStr">
        <is>
          <t>Proposal Instruction</t>
        </is>
      </c>
      <c r="G63" s="8" t="inlineStr">
        <is>
          <t>Mandatory</t>
        </is>
      </c>
      <c r="H63" s="5" t="inlineStr">
        <is>
          <t>High</t>
        </is>
      </c>
      <c r="I63" t="inlineStr"/>
      <c r="J63" t="inlineStr">
        <is>
          <t>Not Started</t>
        </is>
      </c>
      <c r="K63" t="inlineStr"/>
      <c r="L63" t="inlineStr"/>
      <c r="M63" t="inlineStr"/>
      <c r="N63" t="inlineStr"/>
      <c r="O63" t="inlineStr"/>
      <c r="P63" t="inlineStr"/>
      <c r="Q63" t="inlineStr"/>
      <c r="R63" t="inlineStr"/>
      <c r="S63" t="inlineStr"/>
    </row>
    <row r="64">
      <c r="A64" t="inlineStr">
        <is>
          <t>REQ-00064</t>
        </is>
      </c>
      <c r="B64" s="13"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t>
        </is>
      </c>
      <c r="C64" t="inlineStr">
        <is>
          <t>C</t>
        </is>
      </c>
      <c r="D64" t="inlineStr"/>
      <c r="E64" t="inlineStr"/>
      <c r="F64" t="inlineStr">
        <is>
          <t>Technical Requirement</t>
        </is>
      </c>
      <c r="G64" s="8" t="inlineStr">
        <is>
          <t>Mandatory</t>
        </is>
      </c>
      <c r="H64" s="5" t="inlineStr">
        <is>
          <t>High</t>
        </is>
      </c>
      <c r="I64" t="inlineStr"/>
      <c r="J64" t="inlineStr">
        <is>
          <t>Not Started</t>
        </is>
      </c>
      <c r="K64" t="inlineStr"/>
      <c r="L64" t="inlineStr"/>
      <c r="M64" t="inlineStr"/>
      <c r="N64" t="inlineStr"/>
      <c r="O64" t="inlineStr"/>
      <c r="P64" t="inlineStr"/>
      <c r="Q64" t="inlineStr"/>
      <c r="R64" t="inlineStr"/>
      <c r="S64" t="inlineStr"/>
    </row>
    <row r="65">
      <c r="A65" t="inlineStr">
        <is>
          <t>REQ-00065</t>
        </is>
      </c>
      <c r="B65" s="13"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65" t="inlineStr">
        <is>
          <t>C</t>
        </is>
      </c>
      <c r="D65" t="inlineStr"/>
      <c r="E65" t="inlineStr"/>
      <c r="F65" t="inlineStr">
        <is>
          <t>Technical Requirement</t>
        </is>
      </c>
      <c r="G65" s="8" t="inlineStr">
        <is>
          <t>Mandatory</t>
        </is>
      </c>
      <c r="H65" s="5" t="inlineStr">
        <is>
          <t>High</t>
        </is>
      </c>
      <c r="I65" t="inlineStr"/>
      <c r="J65" t="inlineStr">
        <is>
          <t>Not Started</t>
        </is>
      </c>
      <c r="K65" t="inlineStr"/>
      <c r="L65" t="inlineStr"/>
      <c r="M65" t="inlineStr"/>
      <c r="N65" t="inlineStr"/>
      <c r="O65" t="inlineStr"/>
      <c r="P65" t="inlineStr"/>
      <c r="Q65" t="inlineStr"/>
      <c r="R65" t="inlineStr"/>
      <c r="S65" t="inlineStr"/>
    </row>
    <row r="66">
      <c r="A66" t="inlineStr">
        <is>
          <t>REQ-00066</t>
        </is>
      </c>
      <c r="B66" s="13" t="inlineStr">
        <is>
          <t>The Offeror shall apply all appropriate security markings and markings prescribed in accordance 
with FAR 3.104-4, Disclosure, Protection, and Marking of Offeror Bid or Proposal Information 
and Source Selection Information.</t>
        </is>
      </c>
      <c r="C66" t="inlineStr">
        <is>
          <t>L</t>
        </is>
      </c>
      <c r="D66" t="inlineStr"/>
      <c r="E66" t="inlineStr"/>
      <c r="F66" t="inlineStr">
        <is>
          <t>Proposal Instruction</t>
        </is>
      </c>
      <c r="G66" s="8" t="inlineStr">
        <is>
          <t>Mandatory</t>
        </is>
      </c>
      <c r="H66" s="5" t="inlineStr">
        <is>
          <t>High</t>
        </is>
      </c>
      <c r="I66" t="inlineStr"/>
      <c r="J66" t="inlineStr">
        <is>
          <t>Not Started</t>
        </is>
      </c>
      <c r="K66" t="inlineStr"/>
      <c r="L66" t="inlineStr"/>
      <c r="M66" t="inlineStr"/>
      <c r="N66" t="inlineStr"/>
      <c r="O66" t="inlineStr"/>
      <c r="P66" t="inlineStr"/>
      <c r="Q66" t="inlineStr"/>
      <c r="R66" t="inlineStr"/>
      <c r="S66" t="inlineStr"/>
    </row>
    <row r="67">
      <c r="A67" t="inlineStr">
        <is>
          <t>REQ-00067</t>
        </is>
      </c>
      <c r="B67" s="13"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67" t="inlineStr">
        <is>
          <t>L</t>
        </is>
      </c>
      <c r="D67" t="inlineStr"/>
      <c r="E67" t="inlineStr"/>
      <c r="F67" t="inlineStr">
        <is>
          <t>Proposal Instruction</t>
        </is>
      </c>
      <c r="G67" s="8" t="inlineStr">
        <is>
          <t>Mandatory</t>
        </is>
      </c>
      <c r="H67" s="5" t="inlineStr">
        <is>
          <t>High</t>
        </is>
      </c>
      <c r="I67" t="inlineStr"/>
      <c r="J67" t="inlineStr">
        <is>
          <t>Not Started</t>
        </is>
      </c>
      <c r="K67" t="inlineStr"/>
      <c r="L67" t="inlineStr"/>
      <c r="M67" t="inlineStr"/>
      <c r="N67" t="inlineStr"/>
      <c r="O67" t="inlineStr"/>
      <c r="P67" t="inlineStr"/>
      <c r="Q67" t="inlineStr"/>
      <c r="R67" t="inlineStr"/>
      <c r="S67" t="inlineStr"/>
    </row>
    <row r="68">
      <c r="A68" t="inlineStr">
        <is>
          <t>REQ-00068</t>
        </is>
      </c>
      <c r="B68" s="13" t="inlineStr">
        <is>
          <t>The Offeror is reminded that, in accordance with FAR 16.505, the Government intends to award 
a contract without interchanges with Offerors. However, the Government reserves the right to 
conduct interchanges with all, some, or none if necessary.</t>
        </is>
      </c>
      <c r="C68" t="inlineStr">
        <is>
          <t>UNASSIGNED</t>
        </is>
      </c>
      <c r="D68" t="inlineStr"/>
      <c r="E68" t="inlineStr"/>
      <c r="F68" t="inlineStr">
        <is>
          <t>General</t>
        </is>
      </c>
      <c r="G68" s="9" t="inlineStr">
        <is>
          <t>Desirable</t>
        </is>
      </c>
      <c r="H68" s="6" t="inlineStr">
        <is>
          <t>Medium</t>
        </is>
      </c>
      <c r="I68" t="inlineStr"/>
      <c r="J68" t="inlineStr">
        <is>
          <t>Not Started</t>
        </is>
      </c>
      <c r="K68" t="inlineStr"/>
      <c r="L68" t="inlineStr"/>
      <c r="M68" t="inlineStr"/>
      <c r="N68" t="inlineStr"/>
      <c r="O68" t="inlineStr"/>
      <c r="P68" t="inlineStr"/>
      <c r="Q68" t="inlineStr"/>
      <c r="R68" t="inlineStr"/>
      <c r="S68" t="inlineStr"/>
    </row>
    <row r="69">
      <c r="A69" t="inlineStr">
        <is>
          <t>REQ-00069</t>
        </is>
      </c>
      <c r="B69" s="13" t="inlineStr">
        <is>
          <t>DRAFT
Fair Opportunity Proposal Request Procedures 
24x7 Network Operations Center (NOC)  
Page 6 of 12</t>
        </is>
      </c>
      <c r="C69" t="inlineStr">
        <is>
          <t>UNASSIGNED</t>
        </is>
      </c>
      <c r="D69" t="inlineStr"/>
      <c r="E69" t="inlineStr"/>
      <c r="F69" t="inlineStr">
        <is>
          <t>General</t>
        </is>
      </c>
      <c r="G69" s="9" t="inlineStr">
        <is>
          <t>Desirable</t>
        </is>
      </c>
      <c r="H69" s="6" t="inlineStr">
        <is>
          <t>Medium</t>
        </is>
      </c>
      <c r="I69" t="inlineStr"/>
      <c r="J69" t="inlineStr">
        <is>
          <t>Not Started</t>
        </is>
      </c>
      <c r="K69" t="inlineStr"/>
      <c r="L69" t="inlineStr"/>
      <c r="M69" t="inlineStr"/>
      <c r="N69" t="inlineStr"/>
      <c r="O69" t="inlineStr"/>
      <c r="P69" t="inlineStr"/>
      <c r="Q69" t="inlineStr"/>
      <c r="R69" t="inlineStr"/>
      <c r="S69" t="inlineStr"/>
    </row>
    <row r="70">
      <c r="A70" t="inlineStr">
        <is>
          <t>REQ-00070</t>
        </is>
      </c>
      <c r="B70" s="13"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
        </is>
      </c>
      <c r="C70" t="inlineStr">
        <is>
          <t>L</t>
        </is>
      </c>
      <c r="D70" t="inlineStr"/>
      <c r="E70" t="inlineStr"/>
      <c r="F70" t="inlineStr">
        <is>
          <t>Proposal Instruction</t>
        </is>
      </c>
      <c r="G70" s="8" t="inlineStr">
        <is>
          <t>Mandatory</t>
        </is>
      </c>
      <c r="H70" s="5" t="inlineStr">
        <is>
          <t>High</t>
        </is>
      </c>
      <c r="I70" t="inlineStr"/>
      <c r="J70" t="inlineStr">
        <is>
          <t>Not Started</t>
        </is>
      </c>
      <c r="K70" t="inlineStr"/>
      <c r="L70" t="inlineStr"/>
      <c r="M70" t="inlineStr"/>
      <c r="N70" t="inlineStr"/>
      <c r="O70" t="inlineStr"/>
      <c r="P70" t="inlineStr"/>
      <c r="Q70" t="inlineStr"/>
      <c r="R70" t="inlineStr"/>
      <c r="S70" t="inlineStr"/>
    </row>
    <row r="71">
      <c r="A71" t="inlineStr">
        <is>
          <t>REQ-00071</t>
        </is>
      </c>
      <c r="B71" s="13" t="inlineStr">
        <is>
          <t>1. Executive Summary and Technical Volume</t>
        </is>
      </c>
      <c r="C71" t="inlineStr">
        <is>
          <t>L</t>
        </is>
      </c>
      <c r="D71" t="inlineStr"/>
      <c r="E71" t="inlineStr"/>
      <c r="F71" t="inlineStr">
        <is>
          <t>Proposal Instruction</t>
        </is>
      </c>
      <c r="G71" s="9" t="inlineStr">
        <is>
          <t>Desirable</t>
        </is>
      </c>
      <c r="H71" s="6" t="inlineStr">
        <is>
          <t>Medium</t>
        </is>
      </c>
      <c r="I71" t="inlineStr"/>
      <c r="J71" t="inlineStr">
        <is>
          <t>Not Started</t>
        </is>
      </c>
      <c r="K71" t="inlineStr"/>
      <c r="L71" t="inlineStr"/>
      <c r="M71" t="inlineStr"/>
      <c r="N71" t="inlineStr"/>
      <c r="O71" t="inlineStr"/>
      <c r="P71" t="inlineStr"/>
      <c r="Q71" t="inlineStr"/>
      <c r="R71" t="inlineStr"/>
      <c r="S71" t="inlineStr"/>
    </row>
    <row r="72">
      <c r="A72" t="inlineStr">
        <is>
          <t>REQ-00072</t>
        </is>
      </c>
      <c r="B72" s="13"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 
subfactors. All...</t>
        </is>
      </c>
      <c r="C72" t="inlineStr">
        <is>
          <t>M</t>
        </is>
      </c>
      <c r="D72" t="inlineStr"/>
      <c r="E72" t="inlineStr"/>
      <c r="F72" t="inlineStr">
        <is>
          <t>Evaluation Factor</t>
        </is>
      </c>
      <c r="G72" s="8" t="inlineStr">
        <is>
          <t>Mandatory</t>
        </is>
      </c>
      <c r="H72" s="5" t="inlineStr">
        <is>
          <t>High</t>
        </is>
      </c>
      <c r="I72" t="inlineStr"/>
      <c r="J72" t="inlineStr">
        <is>
          <t>Not Started</t>
        </is>
      </c>
      <c r="K72" t="inlineStr"/>
      <c r="L72" t="inlineStr"/>
      <c r="M72" t="inlineStr"/>
      <c r="N72" t="inlineStr"/>
      <c r="O72" t="inlineStr"/>
      <c r="P72" t="inlineStr"/>
      <c r="Q72" t="inlineStr"/>
      <c r="R72" t="inlineStr"/>
      <c r="S72" t="inlineStr"/>
    </row>
    <row r="73">
      <c r="A73" t="inlineStr">
        <is>
          <t>REQ-00073</t>
        </is>
      </c>
      <c r="B73" s="13" t="inlineStr">
        <is>
          <t>The Government will evaluate proposals based on the technical sub factors identified 
below.  Offerors shall comply with all sub factor instructions.</t>
        </is>
      </c>
      <c r="C73" t="inlineStr">
        <is>
          <t>L</t>
        </is>
      </c>
      <c r="D73" t="inlineStr"/>
      <c r="E73" t="inlineStr"/>
      <c r="F73" t="inlineStr">
        <is>
          <t>Proposal Instruction</t>
        </is>
      </c>
      <c r="G73" s="8" t="inlineStr">
        <is>
          <t>Mandatory</t>
        </is>
      </c>
      <c r="H73" s="5" t="inlineStr">
        <is>
          <t>High</t>
        </is>
      </c>
      <c r="I73" t="inlineStr"/>
      <c r="J73" t="inlineStr">
        <is>
          <t>Not Started</t>
        </is>
      </c>
      <c r="K73" t="inlineStr"/>
      <c r="L73" t="inlineStr"/>
      <c r="M73" t="inlineStr"/>
      <c r="N73" t="inlineStr"/>
      <c r="O73" t="inlineStr"/>
      <c r="P73" t="inlineStr"/>
      <c r="Q73" t="inlineStr"/>
      <c r="R73" t="inlineStr"/>
      <c r="S73" t="inlineStr"/>
    </row>
    <row r="74">
      <c r="A74" t="inlineStr">
        <is>
          <t>REQ-00074</t>
        </is>
      </c>
      <c r="B74" s="13" t="inlineStr">
        <is>
          <t>Technical Factor 
Sub Factor 1 Management Approach 
Exceptional/Very 
Good/Good/Unacceptable; 
Strength; Risk 
Sub Factor 2 Infrastructure Approach 
Exceptional/Very 
Good/Good/Unacceptable; 
Strength; Risk</t>
        </is>
      </c>
      <c r="C74" t="inlineStr">
        <is>
          <t>M</t>
        </is>
      </c>
      <c r="D74" t="inlineStr"/>
      <c r="E74" t="inlineStr"/>
      <c r="F74" t="inlineStr">
        <is>
          <t>Evaluation Factor</t>
        </is>
      </c>
      <c r="G74" s="9" t="inlineStr">
        <is>
          <t>Desirable</t>
        </is>
      </c>
      <c r="H74" s="6" t="inlineStr">
        <is>
          <t>Medium</t>
        </is>
      </c>
      <c r="I74" t="inlineStr"/>
      <c r="J74" t="inlineStr">
        <is>
          <t>Not Started</t>
        </is>
      </c>
      <c r="K74" t="inlineStr"/>
      <c r="L74" t="inlineStr"/>
      <c r="M74" t="inlineStr"/>
      <c r="N74" t="inlineStr"/>
      <c r="O74" t="inlineStr"/>
      <c r="P74" t="inlineStr"/>
      <c r="Q74" t="inlineStr"/>
      <c r="R74" t="inlineStr"/>
      <c r="S74" t="inlineStr"/>
    </row>
    <row r="75">
      <c r="A75" t="inlineStr">
        <is>
          <t>REQ-00075</t>
        </is>
      </c>
      <c r="B75" s="13" t="inlineStr">
        <is>
          <t>DRAFT
Fair Opportunity Proposal Request Procedures 
24x7 Network Operations Center (NOC)  
Page 7 of 12</t>
        </is>
      </c>
      <c r="C75" t="inlineStr">
        <is>
          <t>UNASSIGNED</t>
        </is>
      </c>
      <c r="D75" t="inlineStr"/>
      <c r="E75" t="inlineStr"/>
      <c r="F75" t="inlineStr">
        <is>
          <t>General</t>
        </is>
      </c>
      <c r="G75" s="9" t="inlineStr">
        <is>
          <t>Desirable</t>
        </is>
      </c>
      <c r="H75" s="6" t="inlineStr">
        <is>
          <t>Medium</t>
        </is>
      </c>
      <c r="I75" t="inlineStr"/>
      <c r="J75" t="inlineStr">
        <is>
          <t>Not Started</t>
        </is>
      </c>
      <c r="K75" t="inlineStr"/>
      <c r="L75" t="inlineStr"/>
      <c r="M75" t="inlineStr"/>
      <c r="N75" t="inlineStr"/>
      <c r="O75" t="inlineStr"/>
      <c r="P75" t="inlineStr"/>
      <c r="Q75" t="inlineStr"/>
      <c r="R75" t="inlineStr"/>
      <c r="S75" t="inlineStr"/>
    </row>
    <row r="76">
      <c r="A76" t="inlineStr">
        <is>
          <t>REQ-00076</t>
        </is>
      </c>
      <c r="B76" s="13" t="inlineStr">
        <is>
          <t>Technical Rating: 
Exceptional – Proposal clearly exceeds minimum requirements, contains multiple strengths and raises 
government confidence that the Offeror is capable of exceeding expectations.</t>
        </is>
      </c>
      <c r="C76" t="inlineStr">
        <is>
          <t>UNASSIGNED</t>
        </is>
      </c>
      <c r="D76" t="inlineStr"/>
      <c r="E76" t="inlineStr"/>
      <c r="F76" t="inlineStr">
        <is>
          <t>General</t>
        </is>
      </c>
      <c r="G76" s="9" t="inlineStr">
        <is>
          <t>Desirable</t>
        </is>
      </c>
      <c r="H76" s="6" t="inlineStr">
        <is>
          <t>Medium</t>
        </is>
      </c>
      <c r="I76" t="inlineStr"/>
      <c r="J76" t="inlineStr">
        <is>
          <t>Not Started</t>
        </is>
      </c>
      <c r="K76" t="inlineStr"/>
      <c r="L76" t="inlineStr"/>
      <c r="M76" t="inlineStr"/>
      <c r="N76" t="inlineStr"/>
      <c r="O76" t="inlineStr"/>
      <c r="P76" t="inlineStr"/>
      <c r="Q76" t="inlineStr"/>
      <c r="R76" t="inlineStr"/>
      <c r="S76" t="inlineStr"/>
    </row>
    <row r="77">
      <c r="A77" t="inlineStr">
        <is>
          <t>REQ-00077</t>
        </is>
      </c>
      <c r="B77" s="13" t="inlineStr">
        <is>
          <t>Very Good – Proposal clearly exceeds minimum requirements, contains at least one strength and raises 
government confidence that the Offeror is capable of exceeding expectations.</t>
        </is>
      </c>
      <c r="C77" t="inlineStr">
        <is>
          <t>M</t>
        </is>
      </c>
      <c r="D77" t="inlineStr"/>
      <c r="E77" t="inlineStr"/>
      <c r="F77" t="inlineStr">
        <is>
          <t>Evaluation Factor</t>
        </is>
      </c>
      <c r="G77" s="9" t="inlineStr">
        <is>
          <t>Desirable</t>
        </is>
      </c>
      <c r="H77" s="6" t="inlineStr">
        <is>
          <t>Medium</t>
        </is>
      </c>
      <c r="I77" t="inlineStr"/>
      <c r="J77" t="inlineStr">
        <is>
          <t>Not Started</t>
        </is>
      </c>
      <c r="K77" t="inlineStr"/>
      <c r="L77" t="inlineStr"/>
      <c r="M77" t="inlineStr"/>
      <c r="N77" t="inlineStr"/>
      <c r="O77" t="inlineStr"/>
      <c r="P77" t="inlineStr"/>
      <c r="Q77" t="inlineStr"/>
      <c r="R77" t="inlineStr"/>
      <c r="S77" t="inlineStr"/>
    </row>
    <row r="78">
      <c r="A78" t="inlineStr">
        <is>
          <t>REQ-00078</t>
        </is>
      </c>
      <c r="B78" s="13" t="inlineStr">
        <is>
          <t>Good – Proposal clearly meets the minimum requirements of the solicitation and/or raises government 
confidence that the Offeror is capable of meeting expectations.</t>
        </is>
      </c>
      <c r="C78" t="inlineStr">
        <is>
          <t>M</t>
        </is>
      </c>
      <c r="D78" t="inlineStr"/>
      <c r="E78" t="inlineStr"/>
      <c r="F78" t="inlineStr">
        <is>
          <t>Evaluation Factor</t>
        </is>
      </c>
      <c r="G78" s="9" t="inlineStr">
        <is>
          <t>Desirable</t>
        </is>
      </c>
      <c r="H78" s="6" t="inlineStr">
        <is>
          <t>Medium</t>
        </is>
      </c>
      <c r="I78" t="inlineStr"/>
      <c r="J78" t="inlineStr">
        <is>
          <t>Not Started</t>
        </is>
      </c>
      <c r="K78" t="inlineStr"/>
      <c r="L78" t="inlineStr"/>
      <c r="M78" t="inlineStr"/>
      <c r="N78" t="inlineStr"/>
      <c r="O78" t="inlineStr"/>
      <c r="P78" t="inlineStr"/>
      <c r="Q78" t="inlineStr"/>
      <c r="R78" t="inlineStr"/>
      <c r="S78" t="inlineStr"/>
    </row>
    <row r="79">
      <c r="A79" t="inlineStr">
        <is>
          <t>REQ-00079</t>
        </is>
      </c>
      <c r="B79" s="13" t="inlineStr">
        <is>
          <t>Unacceptable – Proposal does not clearly meet the minimum requirements of the solicitation and/or 
lowers government confidence that the Offeror is capable of meeting expectations.</t>
        </is>
      </c>
      <c r="C79" t="inlineStr">
        <is>
          <t>M</t>
        </is>
      </c>
      <c r="D79" t="inlineStr"/>
      <c r="E79" t="inlineStr"/>
      <c r="F79" t="inlineStr">
        <is>
          <t>Evaluation Factor</t>
        </is>
      </c>
      <c r="G79" s="9" t="inlineStr">
        <is>
          <t>Desirable</t>
        </is>
      </c>
      <c r="H79" s="6" t="inlineStr">
        <is>
          <t>Medium</t>
        </is>
      </c>
      <c r="I79" t="inlineStr"/>
      <c r="J79" t="inlineStr">
        <is>
          <t>Not Started</t>
        </is>
      </c>
      <c r="K79" t="inlineStr"/>
      <c r="L79" t="inlineStr"/>
      <c r="M79" t="inlineStr"/>
      <c r="N79" t="inlineStr"/>
      <c r="O79" t="inlineStr"/>
      <c r="P79" t="inlineStr"/>
      <c r="Q79" t="inlineStr"/>
      <c r="R79" t="inlineStr"/>
      <c r="S79" t="inlineStr"/>
    </row>
    <row r="80">
      <c r="A80" t="inlineStr">
        <is>
          <t>REQ-00080</t>
        </is>
      </c>
      <c r="B80" s="13" t="inlineStr">
        <is>
          <t>Strength: 
An aspect of the Offeror’s proposal that has merit in a way that will be advantageous to the 
Government during contract performance.</t>
        </is>
      </c>
      <c r="C80" t="inlineStr">
        <is>
          <t>UNASSIGNED</t>
        </is>
      </c>
      <c r="D80" t="inlineStr"/>
      <c r="E80" t="inlineStr"/>
      <c r="F80" t="inlineStr">
        <is>
          <t>General</t>
        </is>
      </c>
      <c r="G80" s="9" t="inlineStr">
        <is>
          <t>Desirable</t>
        </is>
      </c>
      <c r="H80" s="6" t="inlineStr">
        <is>
          <t>Medium</t>
        </is>
      </c>
      <c r="I80" t="inlineStr"/>
      <c r="J80" t="inlineStr">
        <is>
          <t>Not Started</t>
        </is>
      </c>
      <c r="K80" t="inlineStr"/>
      <c r="L80" t="inlineStr"/>
      <c r="M80" t="inlineStr"/>
      <c r="N80" t="inlineStr"/>
      <c r="O80" t="inlineStr"/>
      <c r="P80" t="inlineStr"/>
      <c r="Q80" t="inlineStr"/>
      <c r="R80" t="inlineStr"/>
      <c r="S80" t="inlineStr"/>
    </row>
    <row r="81">
      <c r="A81" t="inlineStr">
        <is>
          <t>REQ-00081</t>
        </is>
      </c>
      <c r="B81" s="13" t="inlineStr">
        <is>
          <t>Risk:  
An aspect of the Offeror’s proposal that has an identified risk which may affect contract performance.</t>
        </is>
      </c>
      <c r="C81" t="inlineStr">
        <is>
          <t>UNASSIGNED</t>
        </is>
      </c>
      <c r="D81" t="inlineStr"/>
      <c r="E81" t="inlineStr"/>
      <c r="F81" t="inlineStr">
        <is>
          <t>General</t>
        </is>
      </c>
      <c r="G81" s="9" t="inlineStr">
        <is>
          <t>Desirable</t>
        </is>
      </c>
      <c r="H81" s="7" t="inlineStr">
        <is>
          <t>Low</t>
        </is>
      </c>
      <c r="I81" t="inlineStr"/>
      <c r="J81" t="inlineStr">
        <is>
          <t>Not Started</t>
        </is>
      </c>
      <c r="K81" t="inlineStr"/>
      <c r="L81" t="inlineStr"/>
      <c r="M81" t="inlineStr"/>
      <c r="N81" t="inlineStr"/>
      <c r="O81" t="inlineStr"/>
      <c r="P81" t="inlineStr"/>
      <c r="Q81" t="inlineStr"/>
      <c r="R81" t="inlineStr"/>
      <c r="S81" t="inlineStr"/>
    </row>
    <row r="82">
      <c r="A82" t="inlineStr">
        <is>
          <t>REQ-00082</t>
        </is>
      </c>
      <c r="B82" s="13" t="inlineStr">
        <is>
          <t>Instruction:  A concise narrative summary of the entire proposal, including significant risks, and 
a highlight of any key or unique features, excluding cost/price. The salient features should tie in 
with the above factors/subfactors.</t>
        </is>
      </c>
      <c r="C82" t="inlineStr">
        <is>
          <t>C</t>
        </is>
      </c>
      <c r="D82" t="inlineStr"/>
      <c r="E82" t="inlineStr"/>
      <c r="F82" t="inlineStr">
        <is>
          <t>Technical Requirement</t>
        </is>
      </c>
      <c r="G82" s="9" t="inlineStr">
        <is>
          <t>Desirable</t>
        </is>
      </c>
      <c r="H82" s="6" t="inlineStr">
        <is>
          <t>Medium</t>
        </is>
      </c>
      <c r="I82" t="inlineStr"/>
      <c r="J82" t="inlineStr">
        <is>
          <t>Not Started</t>
        </is>
      </c>
      <c r="K82" t="inlineStr"/>
      <c r="L82" t="inlineStr"/>
      <c r="M82" t="inlineStr"/>
      <c r="N82" t="inlineStr"/>
      <c r="O82" t="inlineStr"/>
      <c r="P82" t="inlineStr"/>
      <c r="Q82" t="inlineStr"/>
      <c r="R82" t="inlineStr"/>
      <c r="S82" t="inlineStr"/>
    </row>
    <row r="83">
      <c r="A83" t="inlineStr">
        <is>
          <t>REQ-00083</t>
        </is>
      </c>
      <c r="B83" s="13" t="inlineStr">
        <is>
          <t>Evaluation: Any summary material presented here shall not be considered as meeting the 
requirements for any portions of other volumes of the proposal.</t>
        </is>
      </c>
      <c r="C83" t="inlineStr">
        <is>
          <t>L</t>
        </is>
      </c>
      <c r="D83" t="inlineStr"/>
      <c r="E83" t="inlineStr"/>
      <c r="F83" t="inlineStr">
        <is>
          <t>Proposal Instruction</t>
        </is>
      </c>
      <c r="G83" s="8" t="inlineStr">
        <is>
          <t>Mandatory</t>
        </is>
      </c>
      <c r="H83" s="5" t="inlineStr">
        <is>
          <t>High</t>
        </is>
      </c>
      <c r="I83" t="inlineStr"/>
      <c r="J83" t="inlineStr">
        <is>
          <t>Not Started</t>
        </is>
      </c>
      <c r="K83" t="inlineStr"/>
      <c r="L83" t="inlineStr"/>
      <c r="M83" t="inlineStr"/>
      <c r="N83" t="inlineStr"/>
      <c r="O83" t="inlineStr"/>
      <c r="P83" t="inlineStr"/>
      <c r="Q83" t="inlineStr"/>
      <c r="R83" t="inlineStr"/>
      <c r="S83" t="inlineStr"/>
    </row>
    <row r="84">
      <c r="A84" t="inlineStr">
        <is>
          <t>REQ-00084</t>
        </is>
      </c>
      <c r="B84" s="13"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t>
        </is>
      </c>
      <c r="C84" t="inlineStr">
        <is>
          <t>L</t>
        </is>
      </c>
      <c r="D84" t="inlineStr"/>
      <c r="E84" t="inlineStr"/>
      <c r="F84" t="inlineStr">
        <is>
          <t>Proposal Instruction</t>
        </is>
      </c>
      <c r="G84" s="8" t="inlineStr">
        <is>
          <t>Mandatory</t>
        </is>
      </c>
      <c r="H84" s="5" t="inlineStr">
        <is>
          <t>High</t>
        </is>
      </c>
      <c r="I84" t="inlineStr"/>
      <c r="J84" t="inlineStr">
        <is>
          <t>Not Started</t>
        </is>
      </c>
      <c r="K84" t="inlineStr"/>
      <c r="L84" t="inlineStr"/>
      <c r="M84" t="inlineStr"/>
      <c r="N84" t="inlineStr"/>
      <c r="O84" t="inlineStr"/>
      <c r="P84" t="inlineStr"/>
      <c r="Q84" t="inlineStr"/>
      <c r="R84" t="inlineStr"/>
      <c r="S84" t="inlineStr"/>
    </row>
    <row r="85">
      <c r="A85" t="inlineStr">
        <is>
          <t>REQ-00085</t>
        </is>
      </c>
      <c r="B85" s="13"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t>
        </is>
      </c>
      <c r="C85" t="inlineStr">
        <is>
          <t>M</t>
        </is>
      </c>
      <c r="D85" t="inlineStr"/>
      <c r="E85" t="inlineStr"/>
      <c r="F85" t="inlineStr">
        <is>
          <t>Evaluation Factor</t>
        </is>
      </c>
      <c r="G85" s="9" t="inlineStr">
        <is>
          <t>Desirable</t>
        </is>
      </c>
      <c r="H85" s="7" t="inlineStr">
        <is>
          <t>Low</t>
        </is>
      </c>
      <c r="I85" t="inlineStr"/>
      <c r="J85" t="inlineStr">
        <is>
          <t>Not Started</t>
        </is>
      </c>
      <c r="K85" t="inlineStr"/>
      <c r="L85" t="inlineStr"/>
      <c r="M85" t="inlineStr"/>
      <c r="N85" t="inlineStr"/>
      <c r="O85" t="inlineStr"/>
      <c r="P85" t="inlineStr"/>
      <c r="Q85" t="inlineStr"/>
      <c r="R85" t="inlineStr"/>
      <c r="S85" t="inlineStr"/>
    </row>
    <row r="86">
      <c r="A86" t="inlineStr">
        <is>
          <t>REQ-00086</t>
        </is>
      </c>
      <c r="B86" s="13" t="inlineStr">
        <is>
          <t>DRAFT
Fair Opportunity Proposal Request Procedures 
24x7 Network Operations Center (NOC)  
Page 8 of 12</t>
        </is>
      </c>
      <c r="C86" t="inlineStr">
        <is>
          <t>UNASSIGNED</t>
        </is>
      </c>
      <c r="D86" t="inlineStr"/>
      <c r="E86" t="inlineStr"/>
      <c r="F86" t="inlineStr">
        <is>
          <t>General</t>
        </is>
      </c>
      <c r="G86" s="9" t="inlineStr">
        <is>
          <t>Desirable</t>
        </is>
      </c>
      <c r="H86" s="6" t="inlineStr">
        <is>
          <t>Medium</t>
        </is>
      </c>
      <c r="I86" t="inlineStr"/>
      <c r="J86" t="inlineStr">
        <is>
          <t>Not Started</t>
        </is>
      </c>
      <c r="K86" t="inlineStr"/>
      <c r="L86" t="inlineStr"/>
      <c r="M86" t="inlineStr"/>
      <c r="N86" t="inlineStr"/>
      <c r="O86" t="inlineStr"/>
      <c r="P86" t="inlineStr"/>
      <c r="Q86" t="inlineStr"/>
      <c r="R86" t="inlineStr"/>
      <c r="S86" t="inlineStr"/>
    </row>
    <row r="87">
      <c r="A87" t="inlineStr">
        <is>
          <t>REQ-00087</t>
        </is>
      </c>
      <c r="B87" s="13"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 
library. The approach should address how the offeror will ex...</t>
        </is>
      </c>
      <c r="C87" t="inlineStr">
        <is>
          <t>L</t>
        </is>
      </c>
      <c r="D87" t="inlineStr"/>
      <c r="E87" t="inlineStr"/>
      <c r="F87" t="inlineStr">
        <is>
          <t>Proposal Instruction</t>
        </is>
      </c>
      <c r="G87" s="8" t="inlineStr">
        <is>
          <t>Mandatory</t>
        </is>
      </c>
      <c r="H87" s="5" t="inlineStr">
        <is>
          <t>High</t>
        </is>
      </c>
      <c r="I87" t="inlineStr"/>
      <c r="J87" t="inlineStr">
        <is>
          <t>Not Started</t>
        </is>
      </c>
      <c r="K87" t="inlineStr"/>
      <c r="L87" t="inlineStr"/>
      <c r="M87" t="inlineStr"/>
      <c r="N87" t="inlineStr"/>
      <c r="O87" t="inlineStr"/>
      <c r="P87" t="inlineStr"/>
      <c r="Q87" t="inlineStr"/>
      <c r="R87" t="inlineStr"/>
      <c r="S87" t="inlineStr"/>
    </row>
    <row r="88">
      <c r="A88" t="inlineStr">
        <is>
          <t>REQ-00088</t>
        </is>
      </c>
      <c r="B88" s="13"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t>
        </is>
      </c>
      <c r="C88" t="inlineStr">
        <is>
          <t>M</t>
        </is>
      </c>
      <c r="D88" t="inlineStr"/>
      <c r="E88" t="inlineStr"/>
      <c r="F88" t="inlineStr">
        <is>
          <t>Evaluation Factor</t>
        </is>
      </c>
      <c r="G88" s="9" t="inlineStr">
        <is>
          <t>Desirable</t>
        </is>
      </c>
      <c r="H88" s="6" t="inlineStr">
        <is>
          <t>Medium</t>
        </is>
      </c>
      <c r="I88" t="inlineStr"/>
      <c r="J88" t="inlineStr">
        <is>
          <t>Not Started</t>
        </is>
      </c>
      <c r="K88" t="inlineStr"/>
      <c r="L88" t="inlineStr"/>
      <c r="M88" t="inlineStr"/>
      <c r="N88" t="inlineStr"/>
      <c r="O88" t="inlineStr"/>
      <c r="P88" t="inlineStr"/>
      <c r="Q88" t="inlineStr"/>
      <c r="R88" t="inlineStr"/>
      <c r="S88" t="inlineStr"/>
    </row>
    <row r="89">
      <c r="A89" t="inlineStr">
        <is>
          <t>REQ-00089</t>
        </is>
      </c>
      <c r="B89" s="13" t="inlineStr">
        <is>
          <t>2. 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t>
        </is>
      </c>
      <c r="C89" t="inlineStr">
        <is>
          <t>M</t>
        </is>
      </c>
      <c r="D89" t="inlineStr"/>
      <c r="E89" t="inlineStr"/>
      <c r="F89" t="inlineStr">
        <is>
          <t>Evaluation Factor</t>
        </is>
      </c>
      <c r="G89" s="8" t="inlineStr">
        <is>
          <t>Mandatory</t>
        </is>
      </c>
      <c r="H89" s="5" t="inlineStr">
        <is>
          <t>High</t>
        </is>
      </c>
      <c r="I89" t="inlineStr"/>
      <c r="J89" t="inlineStr">
        <is>
          <t>Not Started</t>
        </is>
      </c>
      <c r="K89" t="inlineStr"/>
      <c r="L89" t="inlineStr"/>
      <c r="M89" t="inlineStr"/>
      <c r="N89" t="inlineStr"/>
      <c r="O89" t="inlineStr"/>
      <c r="P89" t="inlineStr"/>
      <c r="Q89" t="inlineStr"/>
      <c r="R89" t="inlineStr"/>
      <c r="S89" t="inlineStr"/>
    </row>
    <row r="90">
      <c r="A90" t="inlineStr">
        <is>
          <t>REQ-00090</t>
        </is>
      </c>
      <c r="B90" s="13"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90" t="inlineStr">
        <is>
          <t>L</t>
        </is>
      </c>
      <c r="D90" t="inlineStr"/>
      <c r="E90" t="inlineStr"/>
      <c r="F90" t="inlineStr">
        <is>
          <t>Proposal Instruction</t>
        </is>
      </c>
      <c r="G90" s="8" t="inlineStr">
        <is>
          <t>Mandatory</t>
        </is>
      </c>
      <c r="H90" s="5" t="inlineStr">
        <is>
          <t>High</t>
        </is>
      </c>
      <c r="I90" t="inlineStr"/>
      <c r="J90" t="inlineStr">
        <is>
          <t>Not Started</t>
        </is>
      </c>
      <c r="K90" t="inlineStr"/>
      <c r="L90" t="inlineStr"/>
      <c r="M90" t="inlineStr"/>
      <c r="N90" t="inlineStr"/>
      <c r="O90" t="inlineStr"/>
      <c r="P90" t="inlineStr"/>
      <c r="Q90" t="inlineStr"/>
      <c r="R90" t="inlineStr"/>
      <c r="S90" t="inlineStr"/>
    </row>
    <row r="91">
      <c r="A91" t="inlineStr">
        <is>
          <t>REQ-00091</t>
        </is>
      </c>
      <c r="B91" s="13" t="inlineStr">
        <is>
          <t>DRAFT
Fair Opportunity Proposal Request Procedures 
24x7 Network Operations Center (NOC)  
Page 9 of 12</t>
        </is>
      </c>
      <c r="C91" t="inlineStr">
        <is>
          <t>UNASSIGNED</t>
        </is>
      </c>
      <c r="D91" t="inlineStr"/>
      <c r="E91" t="inlineStr"/>
      <c r="F91" t="inlineStr">
        <is>
          <t>General</t>
        </is>
      </c>
      <c r="G91" s="9" t="inlineStr">
        <is>
          <t>Desirable</t>
        </is>
      </c>
      <c r="H91" s="6" t="inlineStr">
        <is>
          <t>Medium</t>
        </is>
      </c>
      <c r="I91" t="inlineStr"/>
      <c r="J91" t="inlineStr">
        <is>
          <t>Not Started</t>
        </is>
      </c>
      <c r="K91" t="inlineStr"/>
      <c r="L91" t="inlineStr"/>
      <c r="M91" t="inlineStr"/>
      <c r="N91" t="inlineStr"/>
      <c r="O91" t="inlineStr"/>
      <c r="P91" t="inlineStr"/>
      <c r="Q91" t="inlineStr"/>
      <c r="R91" t="inlineStr"/>
      <c r="S91" t="inlineStr"/>
    </row>
    <row r="92">
      <c r="A92" t="inlineStr">
        <is>
          <t>REQ-00092</t>
        </is>
      </c>
      <c r="B92" s="13" t="inlineStr">
        <is>
          <t>Compliant: 
Proposal clearly meets the minimum requirements of the solicitation.</t>
        </is>
      </c>
      <c r="C92" t="inlineStr">
        <is>
          <t>UNASSIGNED</t>
        </is>
      </c>
      <c r="D92" t="inlineStr"/>
      <c r="E92" t="inlineStr"/>
      <c r="F92" t="inlineStr">
        <is>
          <t>General</t>
        </is>
      </c>
      <c r="G92" s="9" t="inlineStr">
        <is>
          <t>Desirable</t>
        </is>
      </c>
      <c r="H92" s="6" t="inlineStr">
        <is>
          <t>Medium</t>
        </is>
      </c>
      <c r="I92" t="inlineStr"/>
      <c r="J92" t="inlineStr">
        <is>
          <t>Not Started</t>
        </is>
      </c>
      <c r="K92" t="inlineStr"/>
      <c r="L92" t="inlineStr"/>
      <c r="M92" t="inlineStr"/>
      <c r="N92" t="inlineStr"/>
      <c r="O92" t="inlineStr"/>
      <c r="P92" t="inlineStr"/>
      <c r="Q92" t="inlineStr"/>
      <c r="R92" t="inlineStr"/>
      <c r="S92" t="inlineStr"/>
    </row>
    <row r="93">
      <c r="A93" t="inlineStr">
        <is>
          <t>REQ-00093</t>
        </is>
      </c>
      <c r="B93" s="13" t="inlineStr">
        <is>
          <t>Non-compliant: 
Proposal does not clearly meet the minimum requirements of the solicitation.</t>
        </is>
      </c>
      <c r="C93" t="inlineStr">
        <is>
          <t>UNASSIGNED</t>
        </is>
      </c>
      <c r="D93" t="inlineStr"/>
      <c r="E93" t="inlineStr"/>
      <c r="F93" t="inlineStr">
        <is>
          <t>General</t>
        </is>
      </c>
      <c r="G93" s="9" t="inlineStr">
        <is>
          <t>Desirable</t>
        </is>
      </c>
      <c r="H93" s="6" t="inlineStr">
        <is>
          <t>Medium</t>
        </is>
      </c>
      <c r="I93" t="inlineStr"/>
      <c r="J93" t="inlineStr">
        <is>
          <t>Not Started</t>
        </is>
      </c>
      <c r="K93" t="inlineStr"/>
      <c r="L93" t="inlineStr"/>
      <c r="M93" t="inlineStr"/>
      <c r="N93" t="inlineStr"/>
      <c r="O93" t="inlineStr"/>
      <c r="P93" t="inlineStr"/>
      <c r="Q93" t="inlineStr"/>
      <c r="R93" t="inlineStr"/>
      <c r="S93" t="inlineStr"/>
    </row>
    <row r="94">
      <c r="A94" t="inlineStr">
        <is>
          <t>REQ-00094</t>
        </is>
      </c>
      <c r="B94" s="13" t="inlineStr">
        <is>
          <t>Risk:  
An aspect of the Offeror’s proposal that has an identified risk which may affect contract 
performance. 
Table 3</t>
        </is>
      </c>
      <c r="C94" t="inlineStr">
        <is>
          <t>UNASSIGNED</t>
        </is>
      </c>
      <c r="D94" t="inlineStr"/>
      <c r="E94" t="inlineStr"/>
      <c r="F94" t="inlineStr">
        <is>
          <t>General</t>
        </is>
      </c>
      <c r="G94" s="9" t="inlineStr">
        <is>
          <t>Desirable</t>
        </is>
      </c>
      <c r="H94" s="7" t="inlineStr">
        <is>
          <t>Low</t>
        </is>
      </c>
      <c r="I94" t="inlineStr"/>
      <c r="J94" t="inlineStr">
        <is>
          <t>Not Started</t>
        </is>
      </c>
      <c r="K94" t="inlineStr"/>
      <c r="L94" t="inlineStr"/>
      <c r="M94" t="inlineStr"/>
      <c r="N94" t="inlineStr"/>
      <c r="O94" t="inlineStr"/>
      <c r="P94" t="inlineStr"/>
      <c r="Q94" t="inlineStr"/>
      <c r="R94" t="inlineStr"/>
      <c r="S94" t="inlineStr"/>
    </row>
    <row r="95">
      <c r="A95" t="inlineStr">
        <is>
          <t>REQ-00095</t>
        </is>
      </c>
      <c r="B95" s="13" t="inlineStr">
        <is>
          <t>2.1 Criteria 1: Supply Pricing for 24x7 Network Operations Center</t>
        </is>
      </c>
      <c r="C95" t="inlineStr">
        <is>
          <t>UNASSIGNED</t>
        </is>
      </c>
      <c r="D95" t="inlineStr"/>
      <c r="E95" t="inlineStr"/>
      <c r="F95" t="inlineStr">
        <is>
          <t>General</t>
        </is>
      </c>
      <c r="G95" s="9" t="inlineStr">
        <is>
          <t>Desirable</t>
        </is>
      </c>
      <c r="H95" s="6" t="inlineStr">
        <is>
          <t>Medium</t>
        </is>
      </c>
      <c r="I95" t="inlineStr"/>
      <c r="J95" t="inlineStr">
        <is>
          <t>Not Started</t>
        </is>
      </c>
      <c r="K95" t="inlineStr"/>
      <c r="L95" t="inlineStr"/>
      <c r="M95" t="inlineStr"/>
      <c r="N95" t="inlineStr"/>
      <c r="O95" t="inlineStr"/>
      <c r="P95" t="inlineStr"/>
      <c r="Q95" t="inlineStr"/>
      <c r="R95" t="inlineStr"/>
      <c r="S95" t="inlineStr"/>
    </row>
    <row r="96">
      <c r="A96" t="inlineStr">
        <is>
          <t>REQ-00096</t>
        </is>
      </c>
      <c r="B96" s="13"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t>
        </is>
      </c>
      <c r="C96" t="inlineStr">
        <is>
          <t>L</t>
        </is>
      </c>
      <c r="D96" t="inlineStr"/>
      <c r="E96" t="inlineStr"/>
      <c r="F96" t="inlineStr">
        <is>
          <t>Proposal Instruction</t>
        </is>
      </c>
      <c r="G96" s="8" t="inlineStr">
        <is>
          <t>Mandatory</t>
        </is>
      </c>
      <c r="H96" s="5" t="inlineStr">
        <is>
          <t>High</t>
        </is>
      </c>
      <c r="I96" t="inlineStr"/>
      <c r="J96" t="inlineStr">
        <is>
          <t>Not Started</t>
        </is>
      </c>
      <c r="K96" t="inlineStr"/>
      <c r="L96" t="inlineStr"/>
      <c r="M96" t="inlineStr"/>
      <c r="N96" t="inlineStr"/>
      <c r="O96" t="inlineStr"/>
      <c r="P96" t="inlineStr"/>
      <c r="Q96" t="inlineStr"/>
      <c r="R96" t="inlineStr"/>
      <c r="S96" t="inlineStr"/>
    </row>
    <row r="97">
      <c r="A97" t="inlineStr">
        <is>
          <t>REQ-00097</t>
        </is>
      </c>
      <c r="B97" s="13"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C97" t="inlineStr">
        <is>
          <t>L</t>
        </is>
      </c>
      <c r="D97" t="inlineStr"/>
      <c r="E97" t="inlineStr"/>
      <c r="F97" t="inlineStr">
        <is>
          <t>Proposal Instruction</t>
        </is>
      </c>
      <c r="G97" s="9" t="inlineStr">
        <is>
          <t>Desirable</t>
        </is>
      </c>
      <c r="H97" s="6" t="inlineStr">
        <is>
          <t>Medium</t>
        </is>
      </c>
      <c r="I97" t="inlineStr"/>
      <c r="J97" t="inlineStr">
        <is>
          <t>Not Started</t>
        </is>
      </c>
      <c r="K97" t="inlineStr"/>
      <c r="L97" t="inlineStr"/>
      <c r="M97" t="inlineStr"/>
      <c r="N97" t="inlineStr"/>
      <c r="O97" t="inlineStr"/>
      <c r="P97" t="inlineStr"/>
      <c r="Q97" t="inlineStr"/>
      <c r="R97" t="inlineStr"/>
      <c r="S97" t="inlineStr"/>
    </row>
    <row r="98">
      <c r="A98" t="inlineStr">
        <is>
          <t>REQ-00099</t>
        </is>
      </c>
      <c r="B98" s="13"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98" t="inlineStr">
        <is>
          <t>L</t>
        </is>
      </c>
      <c r="D98" t="inlineStr"/>
      <c r="E98" t="inlineStr"/>
      <c r="F98" t="inlineStr">
        <is>
          <t>Proposal Instruction</t>
        </is>
      </c>
      <c r="G98" s="8" t="inlineStr">
        <is>
          <t>Mandatory</t>
        </is>
      </c>
      <c r="H98" s="5" t="inlineStr">
        <is>
          <t>High</t>
        </is>
      </c>
      <c r="I98" t="inlineStr"/>
      <c r="J98" t="inlineStr">
        <is>
          <t>Not Started</t>
        </is>
      </c>
      <c r="K98" t="inlineStr"/>
      <c r="L98" t="inlineStr"/>
      <c r="M98" t="inlineStr"/>
      <c r="N98" t="inlineStr"/>
      <c r="O98" t="inlineStr"/>
      <c r="P98" t="inlineStr"/>
      <c r="Q98" t="inlineStr"/>
      <c r="R98" t="inlineStr"/>
      <c r="S98" t="inlineStr"/>
    </row>
    <row r="99">
      <c r="A99" t="inlineStr">
        <is>
          <t>REQ-00100</t>
        </is>
      </c>
      <c r="B99" s="13" t="inlineStr">
        <is>
          <t>DRAFT
Fair Opportunity Proposal Request Procedures 
24x7 Network Operations Center (NOC)  
Page 10 of 12</t>
        </is>
      </c>
      <c r="C99" t="inlineStr">
        <is>
          <t>UNASSIGNED</t>
        </is>
      </c>
      <c r="D99" t="inlineStr"/>
      <c r="E99" t="inlineStr"/>
      <c r="F99" t="inlineStr">
        <is>
          <t>General</t>
        </is>
      </c>
      <c r="G99" s="9" t="inlineStr">
        <is>
          <t>Desirable</t>
        </is>
      </c>
      <c r="H99" s="6" t="inlineStr">
        <is>
          <t>Medium</t>
        </is>
      </c>
      <c r="I99" t="inlineStr"/>
      <c r="J99" t="inlineStr">
        <is>
          <t>Not Started</t>
        </is>
      </c>
      <c r="K99" t="inlineStr"/>
      <c r="L99" t="inlineStr"/>
      <c r="M99" t="inlineStr"/>
      <c r="N99" t="inlineStr"/>
      <c r="O99" t="inlineStr"/>
      <c r="P99" t="inlineStr"/>
      <c r="Q99" t="inlineStr"/>
      <c r="R99" t="inlineStr"/>
      <c r="S99" t="inlineStr"/>
    </row>
    <row r="100">
      <c r="A100" t="inlineStr">
        <is>
          <t>REQ-00101</t>
        </is>
      </c>
      <c r="B100" s="13" t="inlineStr">
        <is>
          <t>Evaluation: The proposed basis of cost/price provides adequate explanation for each proposed 
cost element (Compliant/Non-Compliant, Risk, Strength).</t>
        </is>
      </c>
      <c r="C100" t="inlineStr">
        <is>
          <t>UNASSIGNED</t>
        </is>
      </c>
      <c r="D100" t="inlineStr"/>
      <c r="E100" t="inlineStr"/>
      <c r="F100" t="inlineStr">
        <is>
          <t>General</t>
        </is>
      </c>
      <c r="G100" s="9" t="inlineStr">
        <is>
          <t>Desirable</t>
        </is>
      </c>
      <c r="H100" s="6" t="inlineStr">
        <is>
          <t>Medium</t>
        </is>
      </c>
      <c r="I100" t="inlineStr"/>
      <c r="J100" t="inlineStr">
        <is>
          <t>Not Started</t>
        </is>
      </c>
      <c r="K100" t="inlineStr"/>
      <c r="L100" t="inlineStr"/>
      <c r="M100" t="inlineStr"/>
      <c r="N100" t="inlineStr"/>
      <c r="O100" t="inlineStr"/>
      <c r="P100" t="inlineStr"/>
      <c r="Q100" t="inlineStr"/>
      <c r="R100" t="inlineStr"/>
      <c r="S100" t="inlineStr"/>
    </row>
    <row r="101">
      <c r="A101" t="inlineStr">
        <is>
          <t>REQ-00102</t>
        </is>
      </c>
      <c r="B101" s="13"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t>
        </is>
      </c>
      <c r="C101" t="inlineStr">
        <is>
          <t>L</t>
        </is>
      </c>
      <c r="D101" t="inlineStr"/>
      <c r="E101" t="inlineStr"/>
      <c r="F101" t="inlineStr">
        <is>
          <t>Proposal Instruction</t>
        </is>
      </c>
      <c r="G101" s="8" t="inlineStr">
        <is>
          <t>Mandatory</t>
        </is>
      </c>
      <c r="H101" s="5" t="inlineStr">
        <is>
          <t>High</t>
        </is>
      </c>
      <c r="I101" t="inlineStr"/>
      <c r="J101" t="inlineStr">
        <is>
          <t>Not Started</t>
        </is>
      </c>
      <c r="K101" t="inlineStr"/>
      <c r="L101" t="inlineStr"/>
      <c r="M101" t="inlineStr"/>
      <c r="N101" t="inlineStr"/>
      <c r="O101" t="inlineStr"/>
      <c r="P101" t="inlineStr"/>
      <c r="Q101" t="inlineStr"/>
      <c r="R101" t="inlineStr"/>
      <c r="S101" t="inlineStr"/>
    </row>
    <row r="102">
      <c r="A102" t="inlineStr">
        <is>
          <t>REQ-00103</t>
        </is>
      </c>
      <c r="B102" s="13"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C102" t="inlineStr">
        <is>
          <t>L</t>
        </is>
      </c>
      <c r="D102" t="inlineStr"/>
      <c r="E102" t="inlineStr"/>
      <c r="F102" t="inlineStr">
        <is>
          <t>Proposal Instruction</t>
        </is>
      </c>
      <c r="G102" s="9" t="inlineStr">
        <is>
          <t>Desirable</t>
        </is>
      </c>
      <c r="H102" s="6" t="inlineStr">
        <is>
          <t>Medium</t>
        </is>
      </c>
      <c r="I102" t="inlineStr"/>
      <c r="J102" t="inlineStr">
        <is>
          <t>Not Started</t>
        </is>
      </c>
      <c r="K102" t="inlineStr"/>
      <c r="L102" t="inlineStr"/>
      <c r="M102" t="inlineStr"/>
      <c r="N102" t="inlineStr"/>
      <c r="O102" t="inlineStr"/>
      <c r="P102" t="inlineStr"/>
      <c r="Q102" t="inlineStr"/>
      <c r="R102" t="inlineStr"/>
      <c r="S102" t="inlineStr"/>
    </row>
    <row r="103">
      <c r="A103" t="inlineStr">
        <is>
          <t>REQ-00104</t>
        </is>
      </c>
      <c r="B103" s="13"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t>
        </is>
      </c>
      <c r="C103" t="inlineStr">
        <is>
          <t>L</t>
        </is>
      </c>
      <c r="D103" t="inlineStr"/>
      <c r="E103" t="inlineStr"/>
      <c r="F103" t="inlineStr">
        <is>
          <t>Proposal Instruction</t>
        </is>
      </c>
      <c r="G103" s="8" t="inlineStr">
        <is>
          <t>Mandatory</t>
        </is>
      </c>
      <c r="H103" s="5" t="inlineStr">
        <is>
          <t>High</t>
        </is>
      </c>
      <c r="I103" t="inlineStr"/>
      <c r="J103" t="inlineStr">
        <is>
          <t>Not Started</t>
        </is>
      </c>
      <c r="K103" t="inlineStr"/>
      <c r="L103" t="inlineStr"/>
      <c r="M103" t="inlineStr"/>
      <c r="N103" t="inlineStr"/>
      <c r="O103" t="inlineStr"/>
      <c r="P103" t="inlineStr"/>
      <c r="Q103" t="inlineStr"/>
      <c r="R103" t="inlineStr"/>
      <c r="S103" t="inlineStr"/>
    </row>
    <row r="104">
      <c r="A104" t="inlineStr">
        <is>
          <t>REQ-00105</t>
        </is>
      </c>
      <c r="B104" s="13" t="inlineStr">
        <is>
          <t>Composite Rates (if applicable): Provide the basis/rationale and breakout showing how the 
composite rates were developed (i.e., cost element summary showing the labor categories, rates, 
and other costs that went into the development of the composite rates.)</t>
        </is>
      </c>
      <c r="C104" t="inlineStr">
        <is>
          <t>UNASSIGNED</t>
        </is>
      </c>
      <c r="D104" t="inlineStr"/>
      <c r="E104" t="inlineStr"/>
      <c r="F104" t="inlineStr">
        <is>
          <t>General</t>
        </is>
      </c>
      <c r="G104" s="9" t="inlineStr">
        <is>
          <t>Desirable</t>
        </is>
      </c>
      <c r="H104" s="6" t="inlineStr">
        <is>
          <t>Medium</t>
        </is>
      </c>
      <c r="I104" t="inlineStr"/>
      <c r="J104" t="inlineStr">
        <is>
          <t>Not Started</t>
        </is>
      </c>
      <c r="K104" t="inlineStr"/>
      <c r="L104" t="inlineStr"/>
      <c r="M104" t="inlineStr"/>
      <c r="N104" t="inlineStr"/>
      <c r="O104" t="inlineStr"/>
      <c r="P104" t="inlineStr"/>
      <c r="Q104" t="inlineStr"/>
      <c r="R104" t="inlineStr"/>
      <c r="S104" t="inlineStr"/>
    </row>
    <row r="105">
      <c r="A105" t="inlineStr">
        <is>
          <t>REQ-00106</t>
        </is>
      </c>
      <c r="B105" s="13"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C105" t="inlineStr">
        <is>
          <t>L</t>
        </is>
      </c>
      <c r="D105" t="inlineStr"/>
      <c r="E105" t="inlineStr"/>
      <c r="F105" t="inlineStr">
        <is>
          <t>Proposal Instruction</t>
        </is>
      </c>
      <c r="G105" s="9" t="inlineStr">
        <is>
          <t>Desirable</t>
        </is>
      </c>
      <c r="H105" s="6" t="inlineStr">
        <is>
          <t>Medium</t>
        </is>
      </c>
      <c r="I105" t="inlineStr"/>
      <c r="J105" t="inlineStr">
        <is>
          <t>Not Started</t>
        </is>
      </c>
      <c r="K105" t="inlineStr"/>
      <c r="L105" t="inlineStr"/>
      <c r="M105" t="inlineStr"/>
      <c r="N105" t="inlineStr"/>
      <c r="O105" t="inlineStr"/>
      <c r="P105" t="inlineStr"/>
      <c r="Q105" t="inlineStr"/>
      <c r="R105" t="inlineStr"/>
      <c r="S105" t="inlineStr"/>
    </row>
    <row r="106">
      <c r="A106" t="inlineStr">
        <is>
          <t>REQ-00107</t>
        </is>
      </c>
      <c r="B106" s="13" t="inlineStr">
        <is>
          <t>Evaluation:  The proposed labor categories and rates are compliant with to OASIS+ and provide 
an adequate basis for the rates.</t>
        </is>
      </c>
      <c r="C106" t="inlineStr">
        <is>
          <t>UNASSIGNED</t>
        </is>
      </c>
      <c r="D106" t="inlineStr"/>
      <c r="E106" t="inlineStr"/>
      <c r="F106" t="inlineStr">
        <is>
          <t>General</t>
        </is>
      </c>
      <c r="G106" s="9" t="inlineStr">
        <is>
          <t>Desirable</t>
        </is>
      </c>
      <c r="H106" s="6" t="inlineStr">
        <is>
          <t>Medium</t>
        </is>
      </c>
      <c r="I106" t="inlineStr"/>
      <c r="J106" t="inlineStr">
        <is>
          <t>Not Started</t>
        </is>
      </c>
      <c r="K106" t="inlineStr"/>
      <c r="L106" t="inlineStr"/>
      <c r="M106" t="inlineStr"/>
      <c r="N106" t="inlineStr"/>
      <c r="O106" t="inlineStr"/>
      <c r="P106" t="inlineStr"/>
      <c r="Q106" t="inlineStr"/>
      <c r="R106" t="inlineStr"/>
      <c r="S106" t="inlineStr"/>
    </row>
    <row r="107">
      <c r="A107" t="inlineStr">
        <is>
          <t>REQ-00108</t>
        </is>
      </c>
      <c r="B107" s="13" t="inlineStr">
        <is>
          <t>3. Contract Documentation Volume 
Offerors shall provide the following information identified below.</t>
        </is>
      </c>
      <c r="C107" t="inlineStr">
        <is>
          <t>L</t>
        </is>
      </c>
      <c r="D107" t="inlineStr"/>
      <c r="E107" t="inlineStr"/>
      <c r="F107" t="inlineStr">
        <is>
          <t>Proposal Instruction</t>
        </is>
      </c>
      <c r="G107" s="8" t="inlineStr">
        <is>
          <t>Mandatory</t>
        </is>
      </c>
      <c r="H107" s="5" t="inlineStr">
        <is>
          <t>High</t>
        </is>
      </c>
      <c r="I107" t="inlineStr"/>
      <c r="J107" t="inlineStr">
        <is>
          <t>Not Started</t>
        </is>
      </c>
      <c r="K107" t="inlineStr"/>
      <c r="L107" t="inlineStr"/>
      <c r="M107" t="inlineStr"/>
      <c r="N107" t="inlineStr"/>
      <c r="O107" t="inlineStr"/>
      <c r="P107" t="inlineStr"/>
      <c r="Q107" t="inlineStr"/>
      <c r="R107" t="inlineStr"/>
      <c r="S107" t="inlineStr"/>
    </row>
    <row r="108">
      <c r="A108" t="inlineStr">
        <is>
          <t>REQ-00109</t>
        </is>
      </c>
      <c r="B108" s="13" t="inlineStr">
        <is>
          <t>Title Page 
Limit 
Included in 
Page Count 
(Y/N/NA) 
Points of Contact 1 Y 
Evidence of Online Representation and Certifications Application None N 
SF 1449 None N 
Draft DD Form 254 None N</t>
        </is>
      </c>
      <c r="C108" t="inlineStr">
        <is>
          <t>K</t>
        </is>
      </c>
      <c r="D108" t="inlineStr"/>
      <c r="E108" t="inlineStr"/>
      <c r="F108" t="inlineStr">
        <is>
          <t>Representation</t>
        </is>
      </c>
      <c r="G108" s="9" t="inlineStr">
        <is>
          <t>Desirable</t>
        </is>
      </c>
      <c r="H108" s="6" t="inlineStr">
        <is>
          <t>Medium</t>
        </is>
      </c>
      <c r="I108" t="inlineStr"/>
      <c r="J108" t="inlineStr">
        <is>
          <t>Not Started</t>
        </is>
      </c>
      <c r="K108" t="inlineStr"/>
      <c r="L108" t="inlineStr"/>
      <c r="M108" t="inlineStr"/>
      <c r="N108" t="inlineStr"/>
      <c r="O108" t="inlineStr"/>
      <c r="P108" t="inlineStr"/>
      <c r="Q108" t="inlineStr"/>
      <c r="R108" t="inlineStr"/>
      <c r="S108" t="inlineStr"/>
    </row>
    <row r="109">
      <c r="A109" t="inlineStr">
        <is>
          <t>REQ-00110</t>
        </is>
      </c>
      <c r="B109" s="13" t="inlineStr">
        <is>
          <t>DRAFT
Fair Opportunity Proposal Request Procedures 
24x7 Network Operations Center (NOC)  
Page 11 of 12</t>
        </is>
      </c>
      <c r="C109" t="inlineStr">
        <is>
          <t>UNASSIGNED</t>
        </is>
      </c>
      <c r="D109" t="inlineStr"/>
      <c r="E109" t="inlineStr"/>
      <c r="F109" t="inlineStr">
        <is>
          <t>General</t>
        </is>
      </c>
      <c r="G109" s="9" t="inlineStr">
        <is>
          <t>Desirable</t>
        </is>
      </c>
      <c r="H109" s="6" t="inlineStr">
        <is>
          <t>Medium</t>
        </is>
      </c>
      <c r="I109" t="inlineStr"/>
      <c r="J109" t="inlineStr">
        <is>
          <t>Not Started</t>
        </is>
      </c>
      <c r="K109" t="inlineStr"/>
      <c r="L109" t="inlineStr"/>
      <c r="M109" t="inlineStr"/>
      <c r="N109" t="inlineStr"/>
      <c r="O109" t="inlineStr"/>
      <c r="P109" t="inlineStr"/>
      <c r="Q109" t="inlineStr"/>
      <c r="R109" t="inlineStr"/>
      <c r="S109" t="inlineStr"/>
    </row>
    <row r="110">
      <c r="A110" t="inlineStr">
        <is>
          <t>REQ-00111</t>
        </is>
      </c>
      <c r="B110" s="13" t="inlineStr">
        <is>
          <t>Solicitation Provisions in Full Text None NA 
Table 5</t>
        </is>
      </c>
      <c r="C110" t="inlineStr">
        <is>
          <t>UNASSIGNED</t>
        </is>
      </c>
      <c r="D110" t="inlineStr"/>
      <c r="E110" t="inlineStr"/>
      <c r="F110" t="inlineStr">
        <is>
          <t>General</t>
        </is>
      </c>
      <c r="G110" s="9" t="inlineStr">
        <is>
          <t>Desirable</t>
        </is>
      </c>
      <c r="H110" s="6" t="inlineStr">
        <is>
          <t>Medium</t>
        </is>
      </c>
      <c r="I110" t="inlineStr"/>
      <c r="J110" t="inlineStr">
        <is>
          <t>Not Started</t>
        </is>
      </c>
      <c r="K110" t="inlineStr"/>
      <c r="L110" t="inlineStr"/>
      <c r="M110" t="inlineStr"/>
      <c r="N110" t="inlineStr"/>
      <c r="O110" t="inlineStr"/>
      <c r="P110" t="inlineStr"/>
      <c r="Q110" t="inlineStr"/>
      <c r="R110" t="inlineStr"/>
      <c r="S110" t="inlineStr"/>
    </row>
    <row r="111">
      <c r="A111" t="inlineStr">
        <is>
          <t>REQ-00112</t>
        </is>
      </c>
      <c r="B111" s="13"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C111" t="inlineStr">
        <is>
          <t>C</t>
        </is>
      </c>
      <c r="D111" t="inlineStr"/>
      <c r="E111" t="inlineStr"/>
      <c r="F111" t="inlineStr">
        <is>
          <t>Technical Requirement</t>
        </is>
      </c>
      <c r="G111" s="8" t="inlineStr">
        <is>
          <t>Mandatory</t>
        </is>
      </c>
      <c r="H111" s="5" t="inlineStr">
        <is>
          <t>High</t>
        </is>
      </c>
      <c r="I111" t="inlineStr"/>
      <c r="J111" t="inlineStr">
        <is>
          <t>Not Started</t>
        </is>
      </c>
      <c r="K111" t="inlineStr"/>
      <c r="L111" t="inlineStr"/>
      <c r="M111" t="inlineStr"/>
      <c r="N111" t="inlineStr"/>
      <c r="O111" t="inlineStr"/>
      <c r="P111" t="inlineStr"/>
      <c r="Q111" t="inlineStr"/>
      <c r="R111" t="inlineStr"/>
      <c r="S111" t="inlineStr"/>
    </row>
    <row r="112">
      <c r="A112" t="inlineStr">
        <is>
          <t>REQ-00113</t>
        </is>
      </c>
      <c r="B112" s="13"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C112" t="inlineStr">
        <is>
          <t>K</t>
        </is>
      </c>
      <c r="D112" t="inlineStr"/>
      <c r="E112" t="inlineStr"/>
      <c r="F112" t="inlineStr">
        <is>
          <t>Representation</t>
        </is>
      </c>
      <c r="G112" s="8" t="inlineStr">
        <is>
          <t>Mandatory</t>
        </is>
      </c>
      <c r="H112" s="5" t="inlineStr">
        <is>
          <t>High</t>
        </is>
      </c>
      <c r="I112" t="inlineStr"/>
      <c r="J112" t="inlineStr">
        <is>
          <t>Not Started</t>
        </is>
      </c>
      <c r="K112" t="inlineStr"/>
      <c r="L112" t="inlineStr"/>
      <c r="M112" t="inlineStr"/>
      <c r="N112" t="inlineStr"/>
      <c r="O112" t="inlineStr"/>
      <c r="P112" t="inlineStr"/>
      <c r="Q112" t="inlineStr"/>
      <c r="R112" t="inlineStr"/>
      <c r="S112" t="inlineStr"/>
    </row>
    <row r="113">
      <c r="A113" t="inlineStr">
        <is>
          <t>REQ-00114</t>
        </is>
      </c>
      <c r="B113" s="13" t="inlineStr">
        <is>
          <t>3.2 SF1449 
Offerors shall complete per the instructions included in the document.</t>
        </is>
      </c>
      <c r="C113" t="inlineStr">
        <is>
          <t>L</t>
        </is>
      </c>
      <c r="D113" t="inlineStr"/>
      <c r="E113" t="inlineStr"/>
      <c r="F113" t="inlineStr">
        <is>
          <t>Proposal Instruction</t>
        </is>
      </c>
      <c r="G113" s="8" t="inlineStr">
        <is>
          <t>Mandatory</t>
        </is>
      </c>
      <c r="H113" s="5" t="inlineStr">
        <is>
          <t>High</t>
        </is>
      </c>
      <c r="I113" t="inlineStr"/>
      <c r="J113" t="inlineStr">
        <is>
          <t>Not Started</t>
        </is>
      </c>
      <c r="K113" t="inlineStr"/>
      <c r="L113" t="inlineStr"/>
      <c r="M113" t="inlineStr"/>
      <c r="N113" t="inlineStr"/>
      <c r="O113" t="inlineStr"/>
      <c r="P113" t="inlineStr"/>
      <c r="Q113" t="inlineStr"/>
      <c r="R113" t="inlineStr"/>
      <c r="S113" t="inlineStr"/>
    </row>
    <row r="114">
      <c r="A114" t="inlineStr">
        <is>
          <t>REQ-00115</t>
        </is>
      </c>
      <c r="B114" s="13" t="inlineStr">
        <is>
          <t>3.3 Draft DD Form 254 
Fill out attached DD254</t>
        </is>
      </c>
      <c r="C114" t="inlineStr">
        <is>
          <t>UNASSIGNED</t>
        </is>
      </c>
      <c r="D114" t="inlineStr"/>
      <c r="E114" t="inlineStr"/>
      <c r="F114" t="inlineStr">
        <is>
          <t>General</t>
        </is>
      </c>
      <c r="G114" s="9" t="inlineStr">
        <is>
          <t>Desirable</t>
        </is>
      </c>
      <c r="H114" s="6" t="inlineStr">
        <is>
          <t>Medium</t>
        </is>
      </c>
      <c r="I114" t="inlineStr"/>
      <c r="J114" t="inlineStr">
        <is>
          <t>Not Started</t>
        </is>
      </c>
      <c r="K114" t="inlineStr"/>
      <c r="L114" t="inlineStr"/>
      <c r="M114" t="inlineStr"/>
      <c r="N114" t="inlineStr"/>
      <c r="O114" t="inlineStr"/>
      <c r="P114" t="inlineStr"/>
      <c r="Q114" t="inlineStr"/>
      <c r="R114" t="inlineStr"/>
      <c r="S114" t="inlineStr"/>
    </row>
    <row r="115">
      <c r="A115" t="inlineStr">
        <is>
          <t>REQ-00116</t>
        </is>
      </c>
      <c r="B115" s="13" t="inlineStr">
        <is>
          <t>3.4 Personnel Security Questionnaire 
N/A</t>
        </is>
      </c>
      <c r="C115" t="inlineStr">
        <is>
          <t>UNASSIGNED</t>
        </is>
      </c>
      <c r="D115" t="inlineStr"/>
      <c r="E115" t="inlineStr"/>
      <c r="F115" t="inlineStr">
        <is>
          <t>General</t>
        </is>
      </c>
      <c r="G115" s="9" t="inlineStr">
        <is>
          <t>Desirable</t>
        </is>
      </c>
      <c r="H115" s="6" t="inlineStr">
        <is>
          <t>Medium</t>
        </is>
      </c>
      <c r="I115" t="inlineStr"/>
      <c r="J115" t="inlineStr">
        <is>
          <t>Not Started</t>
        </is>
      </c>
      <c r="K115" t="inlineStr"/>
      <c r="L115" t="inlineStr"/>
      <c r="M115" t="inlineStr"/>
      <c r="N115" t="inlineStr"/>
      <c r="O115" t="inlineStr"/>
      <c r="P115" t="inlineStr"/>
      <c r="Q115" t="inlineStr"/>
      <c r="R115" t="inlineStr"/>
      <c r="S115" t="inlineStr"/>
    </row>
    <row r="116">
      <c r="A116" t="inlineStr">
        <is>
          <t>REQ-00117</t>
        </is>
      </c>
      <c r="B116" s="13" t="inlineStr">
        <is>
          <t>3.5 OCI Mitigation Plan Checklist and Plan 
Fill out attached OCI Mitigation Plan Checklist and include OCI Plan</t>
        </is>
      </c>
      <c r="C116" t="inlineStr">
        <is>
          <t>UNASSIGNED</t>
        </is>
      </c>
      <c r="D116" t="inlineStr"/>
      <c r="E116" t="inlineStr"/>
      <c r="F116" t="inlineStr">
        <is>
          <t>General</t>
        </is>
      </c>
      <c r="G116" s="9" t="inlineStr">
        <is>
          <t>Desirable</t>
        </is>
      </c>
      <c r="H116" s="6" t="inlineStr">
        <is>
          <t>Medium</t>
        </is>
      </c>
      <c r="I116" t="inlineStr"/>
      <c r="J116" t="inlineStr">
        <is>
          <t>Not Started</t>
        </is>
      </c>
      <c r="K116" t="inlineStr"/>
      <c r="L116" t="inlineStr"/>
      <c r="M116" t="inlineStr"/>
      <c r="N116" t="inlineStr"/>
      <c r="O116" t="inlineStr"/>
      <c r="P116" t="inlineStr"/>
      <c r="Q116" t="inlineStr"/>
      <c r="R116" t="inlineStr"/>
      <c r="S116" t="inlineStr"/>
    </row>
    <row r="117">
      <c r="A117" t="inlineStr">
        <is>
          <t>REQ-00118</t>
        </is>
      </c>
      <c r="B117" s="13" t="inlineStr">
        <is>
          <t>3.6   Quality Assurance Surveillance Plan 
Provide a Quality Assurance Surveillance Plan following the template included in Attachment 9 
including key performance metrics included in offeror’s proposal.</t>
        </is>
      </c>
      <c r="C117" t="inlineStr">
        <is>
          <t>C</t>
        </is>
      </c>
      <c r="D117" t="inlineStr"/>
      <c r="E117" t="inlineStr"/>
      <c r="F117" t="inlineStr">
        <is>
          <t>Technical Requirement</t>
        </is>
      </c>
      <c r="G117" s="9" t="inlineStr">
        <is>
          <t>Desirable</t>
        </is>
      </c>
      <c r="H117" s="6" t="inlineStr">
        <is>
          <t>Medium</t>
        </is>
      </c>
      <c r="I117" t="inlineStr"/>
      <c r="J117" t="inlineStr">
        <is>
          <t>Not Started</t>
        </is>
      </c>
      <c r="K117" t="inlineStr"/>
      <c r="L117" t="inlineStr"/>
      <c r="M117" t="inlineStr"/>
      <c r="N117" t="inlineStr"/>
      <c r="O117" t="inlineStr"/>
      <c r="P117" t="inlineStr"/>
      <c r="Q117" t="inlineStr"/>
      <c r="R117" t="inlineStr"/>
      <c r="S117" t="inlineStr"/>
    </row>
    <row r="118">
      <c r="A118" t="inlineStr">
        <is>
          <t>REQ-00119</t>
        </is>
      </c>
      <c r="B118" s="13" t="inlineStr">
        <is>
          <t>3.7  Solicitation Provisions in Full Text 
Fill out as applicable.</t>
        </is>
      </c>
      <c r="C118" t="inlineStr">
        <is>
          <t>UNASSIGNED</t>
        </is>
      </c>
      <c r="D118" t="inlineStr"/>
      <c r="E118" t="inlineStr"/>
      <c r="F118" t="inlineStr">
        <is>
          <t>General</t>
        </is>
      </c>
      <c r="G118" s="9" t="inlineStr">
        <is>
          <t>Desirable</t>
        </is>
      </c>
      <c r="H118" s="6" t="inlineStr">
        <is>
          <t>Medium</t>
        </is>
      </c>
      <c r="I118" t="inlineStr"/>
      <c r="J118" t="inlineStr">
        <is>
          <t>Not Started</t>
        </is>
      </c>
      <c r="K118" t="inlineStr"/>
      <c r="L118" t="inlineStr"/>
      <c r="M118" t="inlineStr"/>
      <c r="N118" t="inlineStr"/>
      <c r="O118" t="inlineStr"/>
      <c r="P118" t="inlineStr"/>
      <c r="Q118" t="inlineStr"/>
      <c r="R118" t="inlineStr"/>
      <c r="S118" t="inlineStr"/>
    </row>
    <row r="119">
      <c r="A119" t="inlineStr">
        <is>
          <t>REQ-00120</t>
        </is>
      </c>
      <c r="B119" s="13" t="inlineStr">
        <is>
          <t>To be provided by the Government at a later date.</t>
        </is>
      </c>
      <c r="C119" t="inlineStr">
        <is>
          <t>UNASSIGNED</t>
        </is>
      </c>
      <c r="D119" t="inlineStr"/>
      <c r="E119" t="inlineStr"/>
      <c r="F119" t="inlineStr">
        <is>
          <t>General</t>
        </is>
      </c>
      <c r="G119" s="9" t="inlineStr">
        <is>
          <t>Desirable</t>
        </is>
      </c>
      <c r="H119" s="6" t="inlineStr">
        <is>
          <t>Medium</t>
        </is>
      </c>
      <c r="I119" t="inlineStr"/>
      <c r="J119" t="inlineStr">
        <is>
          <t>Not Started</t>
        </is>
      </c>
      <c r="K119" t="inlineStr"/>
      <c r="L119" t="inlineStr"/>
      <c r="M119" t="inlineStr"/>
      <c r="N119" t="inlineStr"/>
      <c r="O119" t="inlineStr"/>
      <c r="P119" t="inlineStr"/>
      <c r="Q119" t="inlineStr"/>
      <c r="R119" t="inlineStr"/>
      <c r="S119" t="inlineStr"/>
    </row>
    <row r="120">
      <c r="A120" t="inlineStr">
        <is>
          <t>REQ-00121</t>
        </is>
      </c>
      <c r="B120" s="13" t="inlineStr">
        <is>
          <t>Operational Space C2 Acquisition Delta (BCC)</t>
        </is>
      </c>
      <c r="C120" t="inlineStr">
        <is>
          <t>C</t>
        </is>
      </c>
      <c r="D120" t="inlineStr"/>
      <c r="E120" t="inlineStr"/>
      <c r="F120" t="inlineStr">
        <is>
          <t>Technical Requirement</t>
        </is>
      </c>
      <c r="G120" s="9" t="inlineStr">
        <is>
          <t>Desirable</t>
        </is>
      </c>
      <c r="H120" s="6" t="inlineStr">
        <is>
          <t>Medium</t>
        </is>
      </c>
      <c r="I120" t="inlineStr"/>
      <c r="J120" t="inlineStr">
        <is>
          <t>Not Started</t>
        </is>
      </c>
      <c r="K120" t="inlineStr"/>
      <c r="L120" t="inlineStr"/>
      <c r="M120" t="inlineStr"/>
      <c r="N120" t="inlineStr"/>
      <c r="O120" t="inlineStr"/>
      <c r="P120" t="inlineStr"/>
      <c r="Q120" t="inlineStr"/>
      <c r="R120" t="inlineStr"/>
      <c r="S120" t="inlineStr"/>
    </row>
    <row r="121">
      <c r="A121" t="inlineStr">
        <is>
          <t>REQ-00122</t>
        </is>
      </c>
      <c r="B121" s="13" t="inlineStr">
        <is>
          <t>Acquisition and Management of Supply Contract</t>
        </is>
      </c>
      <c r="C121" t="inlineStr">
        <is>
          <t>C</t>
        </is>
      </c>
      <c r="D121" t="inlineStr"/>
      <c r="E121" t="inlineStr"/>
      <c r="F121" t="inlineStr">
        <is>
          <t>Technical Requirement</t>
        </is>
      </c>
      <c r="G121" s="9" t="inlineStr">
        <is>
          <t>Desirable</t>
        </is>
      </c>
      <c r="H121" s="6" t="inlineStr">
        <is>
          <t>Medium</t>
        </is>
      </c>
      <c r="I121" t="inlineStr"/>
      <c r="J121" t="inlineStr">
        <is>
          <t>Not Started</t>
        </is>
      </c>
      <c r="K121" t="inlineStr"/>
      <c r="L121" t="inlineStr"/>
      <c r="M121" t="inlineStr"/>
      <c r="N121" t="inlineStr"/>
      <c r="O121" t="inlineStr"/>
      <c r="P121" t="inlineStr"/>
      <c r="Q121" t="inlineStr"/>
      <c r="R121" t="inlineStr"/>
      <c r="S121" t="inlineStr"/>
    </row>
    <row r="122">
      <c r="A122" t="inlineStr">
        <is>
          <t>REQ-00123</t>
        </is>
      </c>
      <c r="B122" s="13" t="inlineStr">
        <is>
          <t>This Quality Assurance Surveillance Plan (QASP) provides a systematic method to evaluate the delivery of the supply for the stated contract.  This QASP explains the following:</t>
        </is>
      </c>
      <c r="C122" t="inlineStr">
        <is>
          <t>C</t>
        </is>
      </c>
      <c r="D122" t="inlineStr"/>
      <c r="E122" t="inlineStr"/>
      <c r="F122" t="inlineStr">
        <is>
          <t>Technical Requirement</t>
        </is>
      </c>
      <c r="G122" s="9" t="inlineStr">
        <is>
          <t>Desirable</t>
        </is>
      </c>
      <c r="H122" s="6" t="inlineStr">
        <is>
          <t>Medium</t>
        </is>
      </c>
      <c r="I122" t="inlineStr"/>
      <c r="J122" t="inlineStr">
        <is>
          <t>Not Started</t>
        </is>
      </c>
      <c r="K122" t="inlineStr"/>
      <c r="L122" t="inlineStr"/>
      <c r="M122" t="inlineStr"/>
      <c r="N122" t="inlineStr"/>
      <c r="O122" t="inlineStr"/>
      <c r="P122" t="inlineStr"/>
      <c r="Q122" t="inlineStr"/>
      <c r="R122" t="inlineStr"/>
      <c r="S122" t="inlineStr"/>
    </row>
    <row r="123">
      <c r="A123" t="inlineStr">
        <is>
          <t>REQ-00124</t>
        </is>
      </c>
      <c r="B123" s="13" t="inlineStr">
        <is>
          <t>How monitoring efforts and results will be documented.</t>
        </is>
      </c>
      <c r="C123" t="inlineStr">
        <is>
          <t>C</t>
        </is>
      </c>
      <c r="D123" t="inlineStr"/>
      <c r="E123" t="inlineStr"/>
      <c r="F123" t="inlineStr">
        <is>
          <t>Technical Requirement</t>
        </is>
      </c>
      <c r="G123" s="9" t="inlineStr">
        <is>
          <t>Desirable</t>
        </is>
      </c>
      <c r="H123" s="6" t="inlineStr">
        <is>
          <t>Medium</t>
        </is>
      </c>
      <c r="I123" t="inlineStr"/>
      <c r="J123" t="inlineStr">
        <is>
          <t>Not Started</t>
        </is>
      </c>
      <c r="K123" t="inlineStr"/>
      <c r="L123" t="inlineStr"/>
      <c r="M123" t="inlineStr"/>
      <c r="N123" t="inlineStr"/>
      <c r="O123" t="inlineStr"/>
      <c r="P123" t="inlineStr"/>
      <c r="Q123" t="inlineStr"/>
      <c r="R123" t="inlineStr"/>
      <c r="S123" t="inlineStr"/>
    </row>
    <row r="124">
      <c r="A124" t="inlineStr">
        <is>
          <t>REQ-00125</t>
        </is>
      </c>
      <c r="B124" s="13" t="inlineStr">
        <is>
          <t>This QASP does not detail how the contractor accomplishes the work.  Rather, the QASP is created with the premise that the contractor is responsible for management and quality control actions to meet the terms of the contract.  It is the Government’s responsibility to be objective, fair, and consistent in evaluating performance.  In addition, the QASP should recognize that unforeseen and uncont...</t>
        </is>
      </c>
      <c r="C124" t="inlineStr">
        <is>
          <t>C</t>
        </is>
      </c>
      <c r="D124" t="inlineStr"/>
      <c r="E124" t="inlineStr"/>
      <c r="F124" t="inlineStr">
        <is>
          <t>Technical Requirement</t>
        </is>
      </c>
      <c r="G124" s="9" t="inlineStr">
        <is>
          <t>Desirable</t>
        </is>
      </c>
      <c r="H124" s="6" t="inlineStr">
        <is>
          <t>Medium</t>
        </is>
      </c>
      <c r="I124" t="inlineStr"/>
      <c r="J124" t="inlineStr">
        <is>
          <t>Not Started</t>
        </is>
      </c>
      <c r="K124" t="inlineStr"/>
      <c r="L124" t="inlineStr"/>
      <c r="M124" t="inlineStr"/>
      <c r="N124" t="inlineStr"/>
      <c r="O124" t="inlineStr"/>
      <c r="P124" t="inlineStr"/>
      <c r="Q124" t="inlineStr"/>
      <c r="R124" t="inlineStr"/>
      <c r="S124" t="inlineStr"/>
    </row>
    <row r="125">
      <c r="A125" t="inlineStr">
        <is>
          <t>REQ-00126</t>
        </is>
      </c>
      <c r="B125" s="13" t="inlineStr">
        <is>
          <t>This QASP is a “living document” and the Government may review and revise it on a regular basis.  However, the Government shall coordinate changes with the contractor.  Updates shall ensure that the QASP remains a valid, useful, and enforceable document.  Copies of the original QASP and revisions shall be provided to the contractor and Government officials implementing surveillance activities.</t>
        </is>
      </c>
      <c r="C125" t="inlineStr">
        <is>
          <t>C</t>
        </is>
      </c>
      <c r="D125" t="inlineStr"/>
      <c r="E125" t="inlineStr"/>
      <c r="F125" t="inlineStr">
        <is>
          <t>Technical Requirement</t>
        </is>
      </c>
      <c r="G125" s="8" t="inlineStr">
        <is>
          <t>Mandatory</t>
        </is>
      </c>
      <c r="H125" s="5" t="inlineStr">
        <is>
          <t>High</t>
        </is>
      </c>
      <c r="I125" t="inlineStr"/>
      <c r="J125" t="inlineStr">
        <is>
          <t>Not Started</t>
        </is>
      </c>
      <c r="K125" t="inlineStr"/>
      <c r="L125" t="inlineStr"/>
      <c r="M125" t="inlineStr"/>
      <c r="N125" t="inlineStr"/>
      <c r="O125" t="inlineStr"/>
      <c r="P125" t="inlineStr"/>
      <c r="Q125" t="inlineStr"/>
      <c r="R125" t="inlineStr"/>
      <c r="S125" t="inlineStr"/>
    </row>
    <row r="126">
      <c r="A126" t="inlineStr">
        <is>
          <t>REQ-00127</t>
        </is>
      </c>
      <c r="B126" s="13" t="inlineStr">
        <is>
          <t>The following personnel shall oversee and coordinate surveillance activities.</t>
        </is>
      </c>
      <c r="C126" t="inlineStr">
        <is>
          <t>C</t>
        </is>
      </c>
      <c r="D126" t="inlineStr"/>
      <c r="E126" t="inlineStr"/>
      <c r="F126" t="inlineStr">
        <is>
          <t>Technical Requirement</t>
        </is>
      </c>
      <c r="G126" s="8" t="inlineStr">
        <is>
          <t>Mandatory</t>
        </is>
      </c>
      <c r="H126" s="5" t="inlineStr">
        <is>
          <t>High</t>
        </is>
      </c>
      <c r="I126" t="inlineStr"/>
      <c r="J126" t="inlineStr">
        <is>
          <t>Not Started</t>
        </is>
      </c>
      <c r="K126" t="inlineStr"/>
      <c r="L126" t="inlineStr"/>
      <c r="M126" t="inlineStr"/>
      <c r="N126" t="inlineStr"/>
      <c r="O126" t="inlineStr"/>
      <c r="P126" t="inlineStr"/>
      <c r="Q126" t="inlineStr"/>
      <c r="R126" t="inlineStr"/>
      <c r="S126" t="inlineStr"/>
    </row>
    <row r="127">
      <c r="A127" t="inlineStr">
        <is>
          <t>REQ-00128</t>
        </is>
      </c>
      <c r="B127" s="13" t="inlineStr">
        <is>
          <t>a. Procuring Contracting Officer (PCO) - The PCO shall ensure performance of all necessary actions for effective contracting, ensure compliance with the contract terms, and shall safeguard the interests of the United States in the contractual relationship.  The PCO shall also assure that the contractor receives impartial, fair, and equitable treatment under this contract. The PCO is ultimately ...</t>
        </is>
      </c>
      <c r="C127" t="inlineStr">
        <is>
          <t>C</t>
        </is>
      </c>
      <c r="D127" t="inlineStr"/>
      <c r="E127" t="inlineStr"/>
      <c r="F127" t="inlineStr">
        <is>
          <t>Technical Requirement</t>
        </is>
      </c>
      <c r="G127" s="8" t="inlineStr">
        <is>
          <t>Mandatory</t>
        </is>
      </c>
      <c r="H127" s="5" t="inlineStr">
        <is>
          <t>High</t>
        </is>
      </c>
      <c r="I127" t="inlineStr"/>
      <c r="J127" t="inlineStr">
        <is>
          <t>Not Started</t>
        </is>
      </c>
      <c r="K127" t="inlineStr"/>
      <c r="L127" t="inlineStr"/>
      <c r="M127" t="inlineStr"/>
      <c r="N127" t="inlineStr"/>
      <c r="O127" t="inlineStr"/>
      <c r="P127" t="inlineStr"/>
      <c r="Q127" t="inlineStr"/>
      <c r="R127" t="inlineStr"/>
      <c r="S127" t="inlineStr"/>
    </row>
    <row r="128">
      <c r="A128" t="inlineStr">
        <is>
          <t>REQ-00129</t>
        </is>
      </c>
      <c r="B128" s="13" t="inlineStr">
        <is>
          <t>Organization or Agency: &lt;enter organization or Agency name&gt;</t>
        </is>
      </c>
      <c r="C128" t="inlineStr">
        <is>
          <t>C</t>
        </is>
      </c>
      <c r="D128" t="inlineStr"/>
      <c r="E128" t="inlineStr"/>
      <c r="F128" t="inlineStr">
        <is>
          <t>Technical Requirement</t>
        </is>
      </c>
      <c r="G128" s="9" t="inlineStr">
        <is>
          <t>Desirable</t>
        </is>
      </c>
      <c r="H128" s="6" t="inlineStr">
        <is>
          <t>Medium</t>
        </is>
      </c>
      <c r="I128" t="inlineStr"/>
      <c r="J128" t="inlineStr">
        <is>
          <t>Not Started</t>
        </is>
      </c>
      <c r="K128" t="inlineStr"/>
      <c r="L128" t="inlineStr"/>
      <c r="M128" t="inlineStr"/>
      <c r="N128" t="inlineStr"/>
      <c r="O128" t="inlineStr"/>
      <c r="P128" t="inlineStr"/>
      <c r="Q128" t="inlineStr"/>
      <c r="R128" t="inlineStr"/>
      <c r="S128" t="inlineStr"/>
    </row>
    <row r="129">
      <c r="A129" t="inlineStr">
        <is>
          <t>REQ-00130</t>
        </is>
      </c>
      <c r="B129" s="13" t="inlineStr">
        <is>
          <t>b. Contracting Officer’s Representative (COR) - The COR is responsible for technical administration of the contract and shall assure proper Government surveillance of the contractor’s performance. The COR shall keep a quality assurance file.  At the conclusion of the contract or when requested by the PCO, the COR shall provide documentation to the PCO.  The COR is not empowered to make any cont...</t>
        </is>
      </c>
      <c r="C129" t="inlineStr">
        <is>
          <t>C</t>
        </is>
      </c>
      <c r="D129" t="inlineStr"/>
      <c r="E129" t="inlineStr"/>
      <c r="F129" t="inlineStr">
        <is>
          <t>Technical Requirement</t>
        </is>
      </c>
      <c r="G129" s="8" t="inlineStr">
        <is>
          <t>Mandatory</t>
        </is>
      </c>
      <c r="H129" s="5" t="inlineStr">
        <is>
          <t>High</t>
        </is>
      </c>
      <c r="I129" t="inlineStr"/>
      <c r="J129" t="inlineStr">
        <is>
          <t>Not Started</t>
        </is>
      </c>
      <c r="K129" t="inlineStr"/>
      <c r="L129" t="inlineStr"/>
      <c r="M129" t="inlineStr"/>
      <c r="N129" t="inlineStr"/>
      <c r="O129" t="inlineStr"/>
      <c r="P129" t="inlineStr"/>
      <c r="Q129" t="inlineStr"/>
      <c r="R129" t="inlineStr"/>
      <c r="S129" t="inlineStr"/>
    </row>
    <row r="130">
      <c r="A130" t="inlineStr">
        <is>
          <t>REQ-00131</t>
        </is>
      </c>
      <c r="B130" s="13" t="inlineStr">
        <is>
          <t>c. Other Key Government Personnel - &lt;enter name or delete these lines if not applicable.  This may include Perform</t>
        </is>
      </c>
      <c r="C130" t="inlineStr">
        <is>
          <t>C</t>
        </is>
      </c>
      <c r="D130" t="inlineStr"/>
      <c r="E130" t="inlineStr"/>
      <c r="F130" t="inlineStr">
        <is>
          <t>Technical Requirement</t>
        </is>
      </c>
      <c r="G130" s="9" t="inlineStr">
        <is>
          <t>Desirable</t>
        </is>
      </c>
      <c r="H130" s="7" t="inlineStr">
        <is>
          <t>Low</t>
        </is>
      </c>
      <c r="I130" t="inlineStr"/>
      <c r="J130" t="inlineStr">
        <is>
          <t>Not Started</t>
        </is>
      </c>
      <c r="K130" t="inlineStr"/>
      <c r="L130" t="inlineStr"/>
      <c r="M130" t="inlineStr"/>
      <c r="N130" t="inlineStr"/>
      <c r="O130" t="inlineStr"/>
      <c r="P130" t="inlineStr"/>
      <c r="Q130" t="inlineStr"/>
      <c r="R130" t="inlineStr"/>
      <c r="S130" t="inlineStr"/>
    </row>
    <row r="131">
      <c r="A131" t="inlineStr">
        <is>
          <t>REQ-00132</t>
        </is>
      </c>
      <c r="B131" s="13" t="inlineStr">
        <is>
          <t>ance Monitors, Inspectors, etc. who act on behalf of the COR to monitor performance.&gt;</t>
        </is>
      </c>
      <c r="C131" t="inlineStr">
        <is>
          <t>C</t>
        </is>
      </c>
      <c r="D131" t="inlineStr"/>
      <c r="E131" t="inlineStr"/>
      <c r="F131" t="inlineStr">
        <is>
          <t>Technical Requirement</t>
        </is>
      </c>
      <c r="G131" s="9" t="inlineStr">
        <is>
          <t>Desirable</t>
        </is>
      </c>
      <c r="H131" s="6" t="inlineStr">
        <is>
          <t>Medium</t>
        </is>
      </c>
      <c r="I131" t="inlineStr"/>
      <c r="J131" t="inlineStr">
        <is>
          <t>Not Started</t>
        </is>
      </c>
      <c r="K131" t="inlineStr"/>
      <c r="L131" t="inlineStr"/>
      <c r="M131" t="inlineStr"/>
      <c r="N131" t="inlineStr"/>
      <c r="O131" t="inlineStr"/>
      <c r="P131" t="inlineStr"/>
      <c r="Q131" t="inlineStr"/>
      <c r="R131" t="inlineStr"/>
      <c r="S131" t="inlineStr"/>
    </row>
    <row r="132">
      <c r="A132" t="inlineStr">
        <is>
          <t>REQ-00133</t>
        </is>
      </c>
      <c r="B132" s="13" t="inlineStr">
        <is>
          <t>The following employees of the contractor serve as the contractor’s Program Manager and Task Manager for this contract.  &lt;Communication should occur with them during QASP development.  It will help if they review the draft QASP and accept the final version.&gt;</t>
        </is>
      </c>
      <c r="C132" t="inlineStr">
        <is>
          <t>C</t>
        </is>
      </c>
      <c r="D132" t="inlineStr"/>
      <c r="E132" t="inlineStr"/>
      <c r="F132" t="inlineStr">
        <is>
          <t>Technical Requirement</t>
        </is>
      </c>
      <c r="G132" s="9" t="inlineStr">
        <is>
          <t>Desirable</t>
        </is>
      </c>
      <c r="H132" s="6" t="inlineStr">
        <is>
          <t>Medium</t>
        </is>
      </c>
      <c r="I132" t="inlineStr"/>
      <c r="J132" t="inlineStr">
        <is>
          <t>Not Started</t>
        </is>
      </c>
      <c r="K132" t="inlineStr"/>
      <c r="L132" t="inlineStr"/>
      <c r="M132" t="inlineStr"/>
      <c r="N132" t="inlineStr"/>
      <c r="O132" t="inlineStr"/>
      <c r="P132" t="inlineStr"/>
      <c r="Q132" t="inlineStr"/>
      <c r="R132" t="inlineStr"/>
      <c r="S132" t="inlineStr"/>
    </row>
    <row r="133">
      <c r="A133" t="inlineStr">
        <is>
          <t>REQ-00134</t>
        </is>
      </c>
      <c r="B133" s="13" t="inlineStr">
        <is>
          <t>a. Program Manager - &lt;upon award, enter name&gt;</t>
        </is>
      </c>
      <c r="C133" t="inlineStr">
        <is>
          <t>C</t>
        </is>
      </c>
      <c r="D133" t="inlineStr"/>
      <c r="E133" t="inlineStr"/>
      <c r="F133" t="inlineStr">
        <is>
          <t>Technical Requirement</t>
        </is>
      </c>
      <c r="G133" s="9" t="inlineStr">
        <is>
          <t>Desirable</t>
        </is>
      </c>
      <c r="H133" s="6" t="inlineStr">
        <is>
          <t>Medium</t>
        </is>
      </c>
      <c r="I133" t="inlineStr"/>
      <c r="J133" t="inlineStr">
        <is>
          <t>Not Started</t>
        </is>
      </c>
      <c r="K133" t="inlineStr"/>
      <c r="L133" t="inlineStr"/>
      <c r="M133" t="inlineStr"/>
      <c r="N133" t="inlineStr"/>
      <c r="O133" t="inlineStr"/>
      <c r="P133" t="inlineStr"/>
      <c r="Q133" t="inlineStr"/>
      <c r="R133" t="inlineStr"/>
      <c r="S133" t="inlineStr"/>
    </row>
    <row r="134">
      <c r="A134" t="inlineStr">
        <is>
          <t>REQ-00135</t>
        </is>
      </c>
      <c r="B134" s="13" t="inlineStr">
        <is>
          <t>b. Task Manager - &lt;upon award, enter name&gt;</t>
        </is>
      </c>
      <c r="C134" t="inlineStr">
        <is>
          <t>C</t>
        </is>
      </c>
      <c r="D134" t="inlineStr"/>
      <c r="E134" t="inlineStr"/>
      <c r="F134" t="inlineStr">
        <is>
          <t>Technical Requirement</t>
        </is>
      </c>
      <c r="G134" s="9" t="inlineStr">
        <is>
          <t>Desirable</t>
        </is>
      </c>
      <c r="H134" s="6" t="inlineStr">
        <is>
          <t>Medium</t>
        </is>
      </c>
      <c r="I134" t="inlineStr"/>
      <c r="J134" t="inlineStr">
        <is>
          <t>Not Started</t>
        </is>
      </c>
      <c r="K134" t="inlineStr"/>
      <c r="L134" t="inlineStr"/>
      <c r="M134" t="inlineStr"/>
      <c r="N134" t="inlineStr"/>
      <c r="O134" t="inlineStr"/>
      <c r="P134" t="inlineStr"/>
      <c r="Q134" t="inlineStr"/>
      <c r="R134" t="inlineStr"/>
      <c r="S134" t="inlineStr"/>
    </row>
    <row r="135">
      <c r="A135" t="inlineStr">
        <is>
          <t>REQ-00136</t>
        </is>
      </c>
      <c r="B135" s="13" t="inlineStr">
        <is>
          <t>c. Other Contractor Personnel - &lt;upon award, enter name or delete these lines if not applicable&gt;</t>
        </is>
      </c>
      <c r="C135" t="inlineStr">
        <is>
          <t>C</t>
        </is>
      </c>
      <c r="D135" t="inlineStr"/>
      <c r="E135" t="inlineStr"/>
      <c r="F135" t="inlineStr">
        <is>
          <t>Technical Requirement</t>
        </is>
      </c>
      <c r="G135" s="9" t="inlineStr">
        <is>
          <t>Desirable</t>
        </is>
      </c>
      <c r="H135" s="6" t="inlineStr">
        <is>
          <t>Medium</t>
        </is>
      </c>
      <c r="I135" t="inlineStr"/>
      <c r="J135" t="inlineStr">
        <is>
          <t>Not Started</t>
        </is>
      </c>
      <c r="K135" t="inlineStr"/>
      <c r="L135" t="inlineStr"/>
      <c r="M135" t="inlineStr"/>
      <c r="N135" t="inlineStr"/>
      <c r="O135" t="inlineStr"/>
      <c r="P135" t="inlineStr"/>
      <c r="Q135" t="inlineStr"/>
      <c r="R135" t="inlineStr"/>
      <c r="S135" t="inlineStr"/>
    </row>
    <row r="136">
      <c r="A136" t="inlineStr">
        <is>
          <t>REQ-00137</t>
        </is>
      </c>
      <c r="B136" s="13" t="inlineStr">
        <is>
          <t>Performance standards define desired services.  The Government performs surveillance to determine if the contractor exceeds, meets or does not meet these standards.</t>
        </is>
      </c>
      <c r="C136" t="inlineStr">
        <is>
          <t>C</t>
        </is>
      </c>
      <c r="D136" t="inlineStr"/>
      <c r="E136" t="inlineStr"/>
      <c r="F136" t="inlineStr">
        <is>
          <t>Technical Requirement</t>
        </is>
      </c>
      <c r="G136" s="9" t="inlineStr">
        <is>
          <t>Desirable</t>
        </is>
      </c>
      <c r="H136" s="6" t="inlineStr">
        <is>
          <t>Medium</t>
        </is>
      </c>
      <c r="I136" t="inlineStr"/>
      <c r="J136" t="inlineStr">
        <is>
          <t>Not Started</t>
        </is>
      </c>
      <c r="K136" t="inlineStr"/>
      <c r="L136" t="inlineStr"/>
      <c r="M136" t="inlineStr"/>
      <c r="N136" t="inlineStr"/>
      <c r="O136" t="inlineStr"/>
      <c r="P136" t="inlineStr"/>
      <c r="Q136" t="inlineStr"/>
      <c r="R136" t="inlineStr"/>
      <c r="S136" t="inlineStr"/>
    </row>
    <row r="137">
      <c r="A137" t="inlineStr">
        <is>
          <t>REQ-00138</t>
        </is>
      </c>
      <c r="B137" s="13" t="inlineStr">
        <is>
          <t>The Performance Requirements Summary Matrix, paragraph 4.1 in the Performance Work Statement includes performance standards.  The Government shall use these standards to determine contractor performance and shall compare contractor performance to the Acceptable Quality Level (AQL).</t>
        </is>
      </c>
      <c r="C137" t="inlineStr">
        <is>
          <t>C</t>
        </is>
      </c>
      <c r="D137" t="inlineStr"/>
      <c r="E137" t="inlineStr"/>
      <c r="F137" t="inlineStr">
        <is>
          <t>Technical Requirement</t>
        </is>
      </c>
      <c r="G137" s="8" t="inlineStr">
        <is>
          <t>Mandatory</t>
        </is>
      </c>
      <c r="H137" s="5" t="inlineStr">
        <is>
          <t>High</t>
        </is>
      </c>
      <c r="I137" t="inlineStr"/>
      <c r="J137" t="inlineStr">
        <is>
          <t>Not Started</t>
        </is>
      </c>
      <c r="K137" t="inlineStr"/>
      <c r="L137" t="inlineStr"/>
      <c r="M137" t="inlineStr"/>
      <c r="N137" t="inlineStr"/>
      <c r="O137" t="inlineStr"/>
      <c r="P137" t="inlineStr"/>
      <c r="Q137" t="inlineStr"/>
      <c r="R137" t="inlineStr"/>
      <c r="S137" t="inlineStr"/>
    </row>
    <row r="138">
      <c r="A138" t="inlineStr">
        <is>
          <t>REQ-00139</t>
        </is>
      </c>
      <c r="B138" s="13" t="inlineStr">
        <is>
          <t>Various methods exist to monitor performance.  The COR shall use the surveillance methods listed below in the administration of this QASP.</t>
        </is>
      </c>
      <c r="C138" t="inlineStr">
        <is>
          <t>C</t>
        </is>
      </c>
      <c r="D138" t="inlineStr"/>
      <c r="E138" t="inlineStr"/>
      <c r="F138" t="inlineStr">
        <is>
          <t>Technical Requirement</t>
        </is>
      </c>
      <c r="G138" s="8" t="inlineStr">
        <is>
          <t>Mandatory</t>
        </is>
      </c>
      <c r="H138" s="5" t="inlineStr">
        <is>
          <t>High</t>
        </is>
      </c>
      <c r="I138" t="inlineStr"/>
      <c r="J138" t="inlineStr">
        <is>
          <t>Not Started</t>
        </is>
      </c>
      <c r="K138" t="inlineStr"/>
      <c r="L138" t="inlineStr"/>
      <c r="M138" t="inlineStr"/>
      <c r="N138" t="inlineStr"/>
      <c r="O138" t="inlineStr"/>
      <c r="P138" t="inlineStr"/>
      <c r="Q138" t="inlineStr"/>
      <c r="R138" t="inlineStr"/>
      <c r="S138" t="inlineStr"/>
    </row>
    <row r="139">
      <c r="A139" t="inlineStr">
        <is>
          <t>REQ-00140</t>
        </is>
      </c>
      <c r="B139" s="13" t="inlineStr">
        <is>
          <t>Regardless of the surveillance method, the COR shall always contact the contractor's task manager or on-site representative when a defect is identified and inform the manager of the specifics of the problem.  The COR, with assistance from the contract specialist (CS), shall be responsible for monitoring the contractor’s performance in meeting a specific performance standard/AQL.</t>
        </is>
      </c>
      <c r="C139" t="inlineStr">
        <is>
          <t>C</t>
        </is>
      </c>
      <c r="D139" t="inlineStr"/>
      <c r="E139" t="inlineStr"/>
      <c r="F139" t="inlineStr">
        <is>
          <t>Technical Requirement</t>
        </is>
      </c>
      <c r="G139" s="8" t="inlineStr">
        <is>
          <t>Mandatory</t>
        </is>
      </c>
      <c r="H139" s="5" t="inlineStr">
        <is>
          <t>High</t>
        </is>
      </c>
      <c r="I139" t="inlineStr"/>
      <c r="J139" t="inlineStr">
        <is>
          <t>Not Started</t>
        </is>
      </c>
      <c r="K139" t="inlineStr"/>
      <c r="L139" t="inlineStr"/>
      <c r="M139" t="inlineStr"/>
      <c r="N139" t="inlineStr"/>
      <c r="O139" t="inlineStr"/>
      <c r="P139" t="inlineStr"/>
      <c r="Q139" t="inlineStr"/>
      <c r="R139" t="inlineStr"/>
      <c r="S139" t="inlineStr"/>
    </row>
    <row r="140">
      <c r="A140" t="inlineStr">
        <is>
          <t>REQ-00141</t>
        </is>
      </c>
      <c r="B140" s="13" t="inlineStr">
        <is>
          <t>a. DIRECT OBSERVATION.  (Can be performed periodically or through 100% surveillance and written documentation.)</t>
        </is>
      </c>
      <c r="C140" t="inlineStr">
        <is>
          <t>C</t>
        </is>
      </c>
      <c r="D140" t="inlineStr"/>
      <c r="E140" t="inlineStr"/>
      <c r="F140" t="inlineStr">
        <is>
          <t>Technical Requirement</t>
        </is>
      </c>
      <c r="G140" s="9" t="inlineStr">
        <is>
          <t>Desirable</t>
        </is>
      </c>
      <c r="H140" s="7" t="inlineStr">
        <is>
          <t>Low</t>
        </is>
      </c>
      <c r="I140" t="inlineStr"/>
      <c r="J140" t="inlineStr">
        <is>
          <t>Not Started</t>
        </is>
      </c>
      <c r="K140" t="inlineStr"/>
      <c r="L140" t="inlineStr"/>
      <c r="M140" t="inlineStr"/>
      <c r="N140" t="inlineStr"/>
      <c r="O140" t="inlineStr"/>
      <c r="P140" t="inlineStr"/>
      <c r="Q140" t="inlineStr"/>
      <c r="R140" t="inlineStr"/>
      <c r="S140" t="inlineStr"/>
    </row>
    <row r="141">
      <c r="A141" t="inlineStr">
        <is>
          <t>REQ-00142</t>
        </is>
      </c>
      <c r="B141" s="13" t="inlineStr">
        <is>
          <t>b. PERIODIC INSPECTION.  (Uses a comprehensive evaluation of selected outputs.  Inspections may be scheduled [Daily, Weekly, Monthly, Quarterly, or annually] or unscheduled, as required.)</t>
        </is>
      </c>
      <c r="C141" t="inlineStr">
        <is>
          <t>C</t>
        </is>
      </c>
      <c r="D141" t="inlineStr"/>
      <c r="E141" t="inlineStr"/>
      <c r="F141" t="inlineStr">
        <is>
          <t>Technical Requirement</t>
        </is>
      </c>
      <c r="G141" s="8" t="inlineStr">
        <is>
          <t>Mandatory</t>
        </is>
      </c>
      <c r="H141" s="7" t="inlineStr">
        <is>
          <t>Low</t>
        </is>
      </c>
      <c r="I141" t="inlineStr"/>
      <c r="J141" t="inlineStr">
        <is>
          <t>Not Started</t>
        </is>
      </c>
      <c r="K141" t="inlineStr"/>
      <c r="L141" t="inlineStr"/>
      <c r="M141" t="inlineStr"/>
      <c r="N141" t="inlineStr"/>
      <c r="O141" t="inlineStr"/>
      <c r="P141" t="inlineStr"/>
      <c r="Q141" t="inlineStr"/>
      <c r="R141" t="inlineStr"/>
      <c r="S141" t="inlineStr"/>
    </row>
    <row r="142">
      <c r="A142" t="inlineStr">
        <is>
          <t>REQ-00143</t>
        </is>
      </c>
      <c r="B142" s="13" t="inlineStr">
        <is>
          <t>c. USER SURVEY.  (Combines elements of validated user complaints and random sampling. Random survey is conducted to solicit user satisfaction.)</t>
        </is>
      </c>
      <c r="C142" t="inlineStr">
        <is>
          <t>C</t>
        </is>
      </c>
      <c r="D142" t="inlineStr"/>
      <c r="E142" t="inlineStr"/>
      <c r="F142" t="inlineStr">
        <is>
          <t>Technical Requirement</t>
        </is>
      </c>
      <c r="G142" s="9" t="inlineStr">
        <is>
          <t>Desirable</t>
        </is>
      </c>
      <c r="H142" s="6" t="inlineStr">
        <is>
          <t>Medium</t>
        </is>
      </c>
      <c r="I142" t="inlineStr"/>
      <c r="J142" t="inlineStr">
        <is>
          <t>Not Started</t>
        </is>
      </c>
      <c r="K142" t="inlineStr"/>
      <c r="L142" t="inlineStr"/>
      <c r="M142" t="inlineStr"/>
      <c r="N142" t="inlineStr"/>
      <c r="O142" t="inlineStr"/>
      <c r="P142" t="inlineStr"/>
      <c r="Q142" t="inlineStr"/>
      <c r="R142" t="inlineStr"/>
      <c r="S142" t="inlineStr"/>
    </row>
    <row r="143">
      <c r="A143" t="inlineStr">
        <is>
          <t>REQ-00144</t>
        </is>
      </c>
      <c r="B143" s="13" t="inlineStr">
        <is>
          <t>Surveillance results may be used as the basis for actions (to include payment deductions) against the contractor.  In such cases, the Inspection of Services clause in the Contract becomes the basis for the PCO’s actions.</t>
        </is>
      </c>
      <c r="C143" t="inlineStr">
        <is>
          <t>C</t>
        </is>
      </c>
      <c r="D143" t="inlineStr"/>
      <c r="E143" t="inlineStr"/>
      <c r="F143" t="inlineStr">
        <is>
          <t>Technical Requirement</t>
        </is>
      </c>
      <c r="G143" s="9" t="inlineStr">
        <is>
          <t>Desirable</t>
        </is>
      </c>
      <c r="H143" s="7" t="inlineStr">
        <is>
          <t>Low</t>
        </is>
      </c>
      <c r="I143" t="inlineStr"/>
      <c r="J143" t="inlineStr">
        <is>
          <t>Not Started</t>
        </is>
      </c>
      <c r="K143" t="inlineStr"/>
      <c r="L143" t="inlineStr"/>
      <c r="M143" t="inlineStr"/>
      <c r="N143" t="inlineStr"/>
      <c r="O143" t="inlineStr"/>
      <c r="P143" t="inlineStr"/>
      <c r="Q143" t="inlineStr"/>
      <c r="R143" t="inlineStr"/>
      <c r="S143" t="inlineStr"/>
    </row>
    <row r="144">
      <c r="A144" t="inlineStr">
        <is>
          <t>REQ-00145</t>
        </is>
      </c>
      <c r="B144" s="13" t="inlineStr">
        <is>
          <t>Metrics and methods are designed to determine if performance exceeds, meets, or does not meet a given standard and acceptable quality level.  A rating scale shall be used to determine a positive, neutral, or negative outcome.  The following ratings shall be used:</t>
        </is>
      </c>
      <c r="C144" t="inlineStr">
        <is>
          <t>C</t>
        </is>
      </c>
      <c r="D144" t="inlineStr"/>
      <c r="E144" t="inlineStr"/>
      <c r="F144" t="inlineStr">
        <is>
          <t>Technical Requirement</t>
        </is>
      </c>
      <c r="G144" s="8" t="inlineStr">
        <is>
          <t>Mandatory</t>
        </is>
      </c>
      <c r="H144" s="5" t="inlineStr">
        <is>
          <t>High</t>
        </is>
      </c>
      <c r="I144" t="inlineStr"/>
      <c r="J144" t="inlineStr">
        <is>
          <t>Not Started</t>
        </is>
      </c>
      <c r="K144" t="inlineStr"/>
      <c r="L144" t="inlineStr"/>
      <c r="M144" t="inlineStr"/>
      <c r="N144" t="inlineStr"/>
      <c r="O144" t="inlineStr"/>
      <c r="P144" t="inlineStr"/>
      <c r="Q144" t="inlineStr"/>
      <c r="R144" t="inlineStr"/>
      <c r="S144" t="inlineStr"/>
    </row>
    <row r="145">
      <c r="A145" t="inlineStr">
        <is>
          <t>REQ-00146</t>
        </is>
      </c>
      <c r="B145" s="13" t="inlineStr">
        <is>
          <t>The Government shall document positive performance.  A report template is attached.  Any report may become a</t>
        </is>
      </c>
      <c r="C145" t="inlineStr">
        <is>
          <t>C</t>
        </is>
      </c>
      <c r="D145" t="inlineStr"/>
      <c r="E145" t="inlineStr"/>
      <c r="F145" t="inlineStr">
        <is>
          <t>Technical Requirement</t>
        </is>
      </c>
      <c r="G145" s="8" t="inlineStr">
        <is>
          <t>Mandatory</t>
        </is>
      </c>
      <c r="H145" s="5" t="inlineStr">
        <is>
          <t>High</t>
        </is>
      </c>
      <c r="I145" t="inlineStr"/>
      <c r="J145" t="inlineStr">
        <is>
          <t>Not Started</t>
        </is>
      </c>
      <c r="K145" t="inlineStr"/>
      <c r="L145" t="inlineStr"/>
      <c r="M145" t="inlineStr"/>
      <c r="N145" t="inlineStr"/>
      <c r="O145" t="inlineStr"/>
      <c r="P145" t="inlineStr"/>
      <c r="Q145" t="inlineStr"/>
      <c r="R145" t="inlineStr"/>
      <c r="S145" t="inlineStr"/>
    </row>
    <row r="146">
      <c r="A146" t="inlineStr">
        <is>
          <t>REQ-00147</t>
        </is>
      </c>
      <c r="B146" s="13" t="inlineStr">
        <is>
          <t>part of the supporting documentation for milestone payments, or other actions.</t>
        </is>
      </c>
      <c r="C146" t="inlineStr">
        <is>
          <t>C</t>
        </is>
      </c>
      <c r="D146" t="inlineStr"/>
      <c r="E146" t="inlineStr"/>
      <c r="F146" t="inlineStr">
        <is>
          <t>Technical Requirement</t>
        </is>
      </c>
      <c r="G146" s="9" t="inlineStr">
        <is>
          <t>Desirable</t>
        </is>
      </c>
      <c r="H146" s="6" t="inlineStr">
        <is>
          <t>Medium</t>
        </is>
      </c>
      <c r="I146" t="inlineStr"/>
      <c r="J146" t="inlineStr">
        <is>
          <t>Not Started</t>
        </is>
      </c>
      <c r="K146" t="inlineStr"/>
      <c r="L146" t="inlineStr"/>
      <c r="M146" t="inlineStr"/>
      <c r="N146" t="inlineStr"/>
      <c r="O146" t="inlineStr"/>
      <c r="P146" t="inlineStr"/>
      <c r="Q146" t="inlineStr"/>
      <c r="R146" t="inlineStr"/>
      <c r="S146" t="inlineStr"/>
    </row>
    <row r="147">
      <c r="A147" t="inlineStr">
        <is>
          <t>REQ-00148</t>
        </is>
      </c>
      <c r="B147" s="13" t="inlineStr">
        <is>
          <t>When unacceptable performance occurs, the COR shall inform the contractor.  This will normally be in writing unless circumstances necessitate verbal communication.  In any case the COR shall document the discussion and place it in the COR file.</t>
        </is>
      </c>
      <c r="C147" t="inlineStr">
        <is>
          <t>C</t>
        </is>
      </c>
      <c r="D147" t="inlineStr"/>
      <c r="E147" t="inlineStr"/>
      <c r="F147" t="inlineStr">
        <is>
          <t>Technical Requirement</t>
        </is>
      </c>
      <c r="G147" s="8" t="inlineStr">
        <is>
          <t>Mandatory</t>
        </is>
      </c>
      <c r="H147" s="5" t="inlineStr">
        <is>
          <t>High</t>
        </is>
      </c>
      <c r="I147" t="inlineStr"/>
      <c r="J147" t="inlineStr">
        <is>
          <t>Not Started</t>
        </is>
      </c>
      <c r="K147" t="inlineStr"/>
      <c r="L147" t="inlineStr"/>
      <c r="M147" t="inlineStr"/>
      <c r="N147" t="inlineStr"/>
      <c r="O147" t="inlineStr"/>
      <c r="P147" t="inlineStr"/>
      <c r="Q147" t="inlineStr"/>
      <c r="R147" t="inlineStr"/>
      <c r="S147" t="inlineStr"/>
    </row>
    <row r="148">
      <c r="A148" t="inlineStr">
        <is>
          <t>REQ-00149</t>
        </is>
      </c>
      <c r="B148" s="13" t="inlineStr">
        <is>
          <t>When the COR determines formal written communication is required, the COR shall prepare a Contract Discrepancy Report (CDR), and present it to the contractor's task manager or on-site representative.  A CDR template is attached to this QASP.</t>
        </is>
      </c>
      <c r="C148" t="inlineStr">
        <is>
          <t>C</t>
        </is>
      </c>
      <c r="D148" t="inlineStr"/>
      <c r="E148" t="inlineStr"/>
      <c r="F148" t="inlineStr">
        <is>
          <t>Technical Requirement</t>
        </is>
      </c>
      <c r="G148" s="8" t="inlineStr">
        <is>
          <t>Mandatory</t>
        </is>
      </c>
      <c r="H148" s="5" t="inlineStr">
        <is>
          <t>High</t>
        </is>
      </c>
      <c r="I148" t="inlineStr"/>
      <c r="J148" t="inlineStr">
        <is>
          <t>Not Started</t>
        </is>
      </c>
      <c r="K148" t="inlineStr"/>
      <c r="L148" t="inlineStr"/>
      <c r="M148" t="inlineStr"/>
      <c r="N148" t="inlineStr"/>
      <c r="O148" t="inlineStr"/>
      <c r="P148" t="inlineStr"/>
      <c r="Q148" t="inlineStr"/>
      <c r="R148" t="inlineStr"/>
      <c r="S148" t="inlineStr"/>
    </row>
    <row r="149">
      <c r="A149" t="inlineStr">
        <is>
          <t>REQ-00150</t>
        </is>
      </c>
      <c r="B149" s="13" t="inlineStr">
        <is>
          <t>The contractor shall acknowledge receipt of the CDR in writing.  The CDR will specify if the contractor is required to prepare a corrective action plan to document how the contractor shall correct the unacceptable performance and avoid a recurrence.  The CDR will also state how long after receipt the contractor has to present this corrective action plan to the COR.  The Government shall review ...</t>
        </is>
      </c>
      <c r="C149" t="inlineStr">
        <is>
          <t>C</t>
        </is>
      </c>
      <c r="D149" t="inlineStr"/>
      <c r="E149" t="inlineStr"/>
      <c r="F149" t="inlineStr">
        <is>
          <t>Technical Requirement</t>
        </is>
      </c>
      <c r="G149" s="8" t="inlineStr">
        <is>
          <t>Mandatory</t>
        </is>
      </c>
      <c r="H149" s="5" t="inlineStr">
        <is>
          <t>High</t>
        </is>
      </c>
      <c r="I149" t="inlineStr"/>
      <c r="J149" t="inlineStr">
        <is>
          <t>Not Started</t>
        </is>
      </c>
      <c r="K149" t="inlineStr"/>
      <c r="L149" t="inlineStr"/>
      <c r="M149" t="inlineStr"/>
      <c r="N149" t="inlineStr"/>
      <c r="O149" t="inlineStr"/>
      <c r="P149" t="inlineStr"/>
      <c r="Q149" t="inlineStr"/>
      <c r="R149" t="inlineStr"/>
      <c r="S149" t="inlineStr"/>
    </row>
    <row r="150">
      <c r="A150" t="inlineStr">
        <is>
          <t>REQ-00151</t>
        </is>
      </c>
      <c r="B150" s="13" t="inlineStr">
        <is>
          <t>Any CDRs may become a part of the supporting documentation for contract payment deductions, fixed fee deductions, award fee nonpayment, or other actions deemed necessary by the PCO.</t>
        </is>
      </c>
      <c r="C150" t="inlineStr">
        <is>
          <t>C</t>
        </is>
      </c>
      <c r="D150" t="inlineStr"/>
      <c r="E150" t="inlineStr"/>
      <c r="F150" t="inlineStr">
        <is>
          <t>Technical Requirement</t>
        </is>
      </c>
      <c r="G150" s="9" t="inlineStr">
        <is>
          <t>Desirable</t>
        </is>
      </c>
      <c r="H150" s="7" t="inlineStr">
        <is>
          <t>Low</t>
        </is>
      </c>
      <c r="I150" t="inlineStr"/>
      <c r="J150" t="inlineStr">
        <is>
          <t>Not Started</t>
        </is>
      </c>
      <c r="K150" t="inlineStr"/>
      <c r="L150" t="inlineStr"/>
      <c r="M150" t="inlineStr"/>
      <c r="N150" t="inlineStr"/>
      <c r="O150" t="inlineStr"/>
      <c r="P150" t="inlineStr"/>
      <c r="Q150" t="inlineStr"/>
      <c r="R150" t="inlineStr"/>
      <c r="S150" t="inlineStr"/>
    </row>
    <row r="151">
      <c r="A151" t="inlineStr">
        <is>
          <t>REQ-00152</t>
        </is>
      </c>
      <c r="B151" s="13" t="inlineStr">
        <is>
          <t>During contract/order performance, the COR shall take periodic measurements, quarterly as specified in the AQL column of the Performance Standards Summary Matrix, and shall analyze whether the negotiated frequency of measurement is appropriate for the work being performed.</t>
        </is>
      </c>
      <c r="C151" t="inlineStr">
        <is>
          <t>C</t>
        </is>
      </c>
      <c r="D151" t="inlineStr"/>
      <c r="E151" t="inlineStr"/>
      <c r="F151" t="inlineStr">
        <is>
          <t>Technical Requirement</t>
        </is>
      </c>
      <c r="G151" s="8" t="inlineStr">
        <is>
          <t>Mandatory</t>
        </is>
      </c>
      <c r="H151" s="5" t="inlineStr">
        <is>
          <t>High</t>
        </is>
      </c>
      <c r="I151" t="inlineStr"/>
      <c r="J151" t="inlineStr">
        <is>
          <t>Not Started</t>
        </is>
      </c>
      <c r="K151" t="inlineStr"/>
      <c r="L151" t="inlineStr"/>
      <c r="M151" t="inlineStr"/>
      <c r="N151" t="inlineStr"/>
      <c r="O151" t="inlineStr"/>
      <c r="P151" t="inlineStr"/>
      <c r="Q151" t="inlineStr"/>
      <c r="R151" t="inlineStr"/>
      <c r="S151" t="inlineStr"/>
    </row>
    <row r="152">
      <c r="A152" t="inlineStr">
        <is>
          <t>REQ-00153</t>
        </is>
      </c>
      <c r="B152" s="13" t="inlineStr">
        <is>
          <t>b. Frequency of Performance Assessment Meetings.</t>
        </is>
      </c>
      <c r="C152" t="inlineStr">
        <is>
          <t>C</t>
        </is>
      </c>
      <c r="D152" t="inlineStr"/>
      <c r="E152" t="inlineStr"/>
      <c r="F152" t="inlineStr">
        <is>
          <t>Technical Requirement</t>
        </is>
      </c>
      <c r="G152" s="9" t="inlineStr">
        <is>
          <t>Desirable</t>
        </is>
      </c>
      <c r="H152" s="6" t="inlineStr">
        <is>
          <t>Medium</t>
        </is>
      </c>
      <c r="I152" t="inlineStr"/>
      <c r="J152" t="inlineStr">
        <is>
          <t>Not Started</t>
        </is>
      </c>
      <c r="K152" t="inlineStr"/>
      <c r="L152" t="inlineStr"/>
      <c r="M152" t="inlineStr"/>
      <c r="N152" t="inlineStr"/>
      <c r="O152" t="inlineStr"/>
      <c r="P152" t="inlineStr"/>
      <c r="Q152" t="inlineStr"/>
      <c r="R152" t="inlineStr"/>
      <c r="S152" t="inlineStr"/>
    </row>
    <row r="153">
      <c r="A153" t="inlineStr">
        <is>
          <t>REQ-00154</t>
        </is>
      </c>
      <c r="B153" s="13" t="inlineStr">
        <is>
          <t>The COR shall meet with the contractor quarterly to assess performance and shall provide a written assessment.</t>
        </is>
      </c>
      <c r="C153" t="inlineStr">
        <is>
          <t>C</t>
        </is>
      </c>
      <c r="D153" t="inlineStr"/>
      <c r="E153" t="inlineStr"/>
      <c r="F153" t="inlineStr">
        <is>
          <t>Technical Requirement</t>
        </is>
      </c>
      <c r="G153" s="8" t="inlineStr">
        <is>
          <t>Mandatory</t>
        </is>
      </c>
      <c r="H153" s="5" t="inlineStr">
        <is>
          <t>High</t>
        </is>
      </c>
      <c r="I153" t="inlineStr"/>
      <c r="J153" t="inlineStr">
        <is>
          <t>Not Started</t>
        </is>
      </c>
      <c r="K153" t="inlineStr"/>
      <c r="L153" t="inlineStr"/>
      <c r="M153" t="inlineStr"/>
      <c r="N153" t="inlineStr"/>
      <c r="O153" t="inlineStr"/>
      <c r="P153" t="inlineStr"/>
      <c r="Q153" t="inlineStr"/>
      <c r="R153" t="inlineStr"/>
      <c r="S153" t="inlineStr"/>
    </row>
    <row r="154">
      <c r="A154" t="inlineStr">
        <is>
          <t>REQ-00155</t>
        </is>
      </c>
      <c r="B154" s="13" t="inlineStr">
        <is>
          <t>Prepared by: Logan W. Bolitho, Maj, USSF</t>
        </is>
      </c>
      <c r="C154" t="inlineStr">
        <is>
          <t>C</t>
        </is>
      </c>
      <c r="D154" t="inlineStr"/>
      <c r="E154" t="inlineStr"/>
      <c r="F154" t="inlineStr">
        <is>
          <t>Technical Requirement</t>
        </is>
      </c>
      <c r="G154" s="9" t="inlineStr">
        <is>
          <t>Desirable</t>
        </is>
      </c>
      <c r="H154" s="6" t="inlineStr">
        <is>
          <t>Medium</t>
        </is>
      </c>
      <c r="I154" t="inlineStr"/>
      <c r="J154" t="inlineStr">
        <is>
          <t>Not Started</t>
        </is>
      </c>
      <c r="K154" t="inlineStr"/>
      <c r="L154" t="inlineStr"/>
      <c r="M154" t="inlineStr"/>
      <c r="N154" t="inlineStr"/>
      <c r="O154" t="inlineStr"/>
      <c r="P154" t="inlineStr"/>
      <c r="Q154" t="inlineStr"/>
      <c r="R154" t="inlineStr"/>
      <c r="S154" t="inlineStr"/>
    </row>
    <row r="155">
      <c r="A155" t="inlineStr">
        <is>
          <t>REQ-00156</t>
        </is>
      </c>
      <c r="B155" s="13" t="inlineStr">
        <is>
          <t>Signature – Contracting Officer’s Representative</t>
        </is>
      </c>
      <c r="C155" t="inlineStr">
        <is>
          <t>C</t>
        </is>
      </c>
      <c r="D155" t="inlineStr"/>
      <c r="E155" t="inlineStr"/>
      <c r="F155" t="inlineStr">
        <is>
          <t>Technical Requirement</t>
        </is>
      </c>
      <c r="G155" s="9" t="inlineStr">
        <is>
          <t>Desirable</t>
        </is>
      </c>
      <c r="H155" s="6" t="inlineStr">
        <is>
          <t>Medium</t>
        </is>
      </c>
      <c r="I155" t="inlineStr"/>
      <c r="J155" t="inlineStr">
        <is>
          <t>Not Started</t>
        </is>
      </c>
      <c r="K155" t="inlineStr"/>
      <c r="L155" t="inlineStr"/>
      <c r="M155" t="inlineStr"/>
      <c r="N155" t="inlineStr"/>
      <c r="O155" t="inlineStr"/>
      <c r="P155" t="inlineStr"/>
      <c r="Q155" t="inlineStr"/>
      <c r="R155" t="inlineStr"/>
      <c r="S155" t="inlineStr"/>
    </row>
    <row r="156">
      <c r="A156" t="inlineStr">
        <is>
          <t>REQ-00157</t>
        </is>
      </c>
      <c r="B156" s="13" t="inlineStr">
        <is>
          <t>2. Prepared by: (Name of COR) &lt;insert name&gt;</t>
        </is>
      </c>
      <c r="C156" t="inlineStr">
        <is>
          <t>C</t>
        </is>
      </c>
      <c r="D156" t="inlineStr"/>
      <c r="E156" t="inlineStr"/>
      <c r="F156" t="inlineStr">
        <is>
          <t>Technical Requirement</t>
        </is>
      </c>
      <c r="G156" s="9" t="inlineStr">
        <is>
          <t>Desirable</t>
        </is>
      </c>
      <c r="H156" s="6" t="inlineStr">
        <is>
          <t>Medium</t>
        </is>
      </c>
      <c r="I156" t="inlineStr"/>
      <c r="J156" t="inlineStr">
        <is>
          <t>Not Started</t>
        </is>
      </c>
      <c r="K156" t="inlineStr"/>
      <c r="L156" t="inlineStr"/>
      <c r="M156" t="inlineStr"/>
      <c r="N156" t="inlineStr"/>
      <c r="O156" t="inlineStr"/>
      <c r="P156" t="inlineStr"/>
      <c r="Q156" t="inlineStr"/>
      <c r="R156" t="inlineStr"/>
      <c r="S156" t="inlineStr"/>
    </row>
    <row r="157">
      <c r="A157" t="inlineStr">
        <is>
          <t>REQ-00158</t>
        </is>
      </c>
      <c r="B157" s="13" t="inlineStr">
        <is>
          <t>&lt;Examples of items to include in a report are:</t>
        </is>
      </c>
      <c r="C157" t="inlineStr">
        <is>
          <t>C</t>
        </is>
      </c>
      <c r="D157" t="inlineStr"/>
      <c r="E157" t="inlineStr"/>
      <c r="F157" t="inlineStr">
        <is>
          <t>Technical Requirement</t>
        </is>
      </c>
      <c r="G157" s="9" t="inlineStr">
        <is>
          <t>Desirable</t>
        </is>
      </c>
      <c r="H157" s="6" t="inlineStr">
        <is>
          <t>Medium</t>
        </is>
      </c>
      <c r="I157" t="inlineStr"/>
      <c r="J157" t="inlineStr">
        <is>
          <t>Not Started</t>
        </is>
      </c>
      <c r="K157" t="inlineStr"/>
      <c r="L157" t="inlineStr"/>
      <c r="M157" t="inlineStr"/>
      <c r="N157" t="inlineStr"/>
      <c r="O157" t="inlineStr"/>
      <c r="P157" t="inlineStr"/>
      <c r="Q157" t="inlineStr"/>
      <c r="R157" t="inlineStr"/>
      <c r="S157" t="inlineStr"/>
    </row>
    <row r="158">
      <c r="A158" t="inlineStr">
        <is>
          <t>REQ-00159</t>
        </is>
      </c>
      <c r="B158" s="13" t="inlineStr">
        <is>
          <t>- How frequently you conducted surveillance.</t>
        </is>
      </c>
      <c r="C158" t="inlineStr">
        <is>
          <t>C</t>
        </is>
      </c>
      <c r="D158" t="inlineStr"/>
      <c r="E158" t="inlineStr"/>
      <c r="F158" t="inlineStr">
        <is>
          <t>Technical Requirement</t>
        </is>
      </c>
      <c r="G158" s="9" t="inlineStr">
        <is>
          <t>Desirable</t>
        </is>
      </c>
      <c r="H158" s="6" t="inlineStr">
        <is>
          <t>Medium</t>
        </is>
      </c>
      <c r="I158" t="inlineStr"/>
      <c r="J158" t="inlineStr">
        <is>
          <t>Not Started</t>
        </is>
      </c>
      <c r="K158" t="inlineStr"/>
      <c r="L158" t="inlineStr"/>
      <c r="M158" t="inlineStr"/>
      <c r="N158" t="inlineStr"/>
      <c r="O158" t="inlineStr"/>
      <c r="P158" t="inlineStr"/>
      <c r="Q158" t="inlineStr"/>
      <c r="R158" t="inlineStr"/>
      <c r="S158" t="inlineStr"/>
    </row>
    <row r="159">
      <c r="A159" t="inlineStr">
        <is>
          <t>REQ-00161</t>
        </is>
      </c>
      <c r="B159" s="13" t="inlineStr">
        <is>
          <t>Signature – Contracting Officer’s Representative			     Date</t>
        </is>
      </c>
      <c r="C159" t="inlineStr">
        <is>
          <t>C</t>
        </is>
      </c>
      <c r="D159" t="inlineStr"/>
      <c r="E159" t="inlineStr"/>
      <c r="F159" t="inlineStr">
        <is>
          <t>Technical Requirement</t>
        </is>
      </c>
      <c r="G159" s="9" t="inlineStr">
        <is>
          <t>Desirable</t>
        </is>
      </c>
      <c r="H159" s="6" t="inlineStr">
        <is>
          <t>Medium</t>
        </is>
      </c>
      <c r="I159" t="inlineStr"/>
      <c r="J159" t="inlineStr">
        <is>
          <t>Not Started</t>
        </is>
      </c>
      <c r="K159" t="inlineStr"/>
      <c r="L159" t="inlineStr"/>
      <c r="M159" t="inlineStr"/>
      <c r="N159" t="inlineStr"/>
      <c r="O159" t="inlineStr"/>
      <c r="P159" t="inlineStr"/>
      <c r="Q159" t="inlineStr"/>
      <c r="R159" t="inlineStr"/>
      <c r="S159" t="inlineStr"/>
    </row>
    <row r="160">
      <c r="A160" t="inlineStr">
        <is>
          <t>REQ-00162</t>
        </is>
      </c>
      <c r="B160" s="13" t="inlineStr">
        <is>
          <t>2. TO: (Contractor Task Manager or on-site representative) &lt;insert name&gt;</t>
        </is>
      </c>
      <c r="C160" t="inlineStr">
        <is>
          <t>C</t>
        </is>
      </c>
      <c r="D160" t="inlineStr"/>
      <c r="E160" t="inlineStr"/>
      <c r="F160" t="inlineStr">
        <is>
          <t>Technical Requirement</t>
        </is>
      </c>
      <c r="G160" s="9" t="inlineStr">
        <is>
          <t>Desirable</t>
        </is>
      </c>
      <c r="H160" s="6" t="inlineStr">
        <is>
          <t>Medium</t>
        </is>
      </c>
      <c r="I160" t="inlineStr"/>
      <c r="J160" t="inlineStr">
        <is>
          <t>Not Started</t>
        </is>
      </c>
      <c r="K160" t="inlineStr"/>
      <c r="L160" t="inlineStr"/>
      <c r="M160" t="inlineStr"/>
      <c r="N160" t="inlineStr"/>
      <c r="O160" t="inlineStr"/>
      <c r="P160" t="inlineStr"/>
      <c r="Q160" t="inlineStr"/>
      <c r="R160" t="inlineStr"/>
      <c r="S160" t="inlineStr"/>
    </row>
    <row r="161">
      <c r="A161" t="inlineStr">
        <is>
          <t>REQ-00163</t>
        </is>
      </c>
      <c r="B161" s="13" t="inlineStr">
        <is>
          <t>&lt;Describe in detail.  Identify any attachments.&gt;</t>
        </is>
      </c>
      <c r="C161" t="inlineStr">
        <is>
          <t>C</t>
        </is>
      </c>
      <c r="D161" t="inlineStr"/>
      <c r="E161" t="inlineStr"/>
      <c r="F161" t="inlineStr">
        <is>
          <t>Technical Requirement</t>
        </is>
      </c>
      <c r="G161" s="9" t="inlineStr">
        <is>
          <t>Desirable</t>
        </is>
      </c>
      <c r="H161" s="6" t="inlineStr">
        <is>
          <t>Medium</t>
        </is>
      </c>
      <c r="I161" t="inlineStr"/>
      <c r="J161" t="inlineStr">
        <is>
          <t>Not Started</t>
        </is>
      </c>
      <c r="K161" t="inlineStr"/>
      <c r="L161" t="inlineStr"/>
      <c r="M161" t="inlineStr"/>
      <c r="N161" t="inlineStr"/>
      <c r="O161" t="inlineStr"/>
      <c r="P161" t="inlineStr"/>
      <c r="Q161" t="inlineStr"/>
      <c r="R161" t="inlineStr"/>
      <c r="S161" t="inlineStr"/>
    </row>
    <row r="162">
      <c r="A162" t="inlineStr">
        <is>
          <t>REQ-00164</t>
        </is>
      </c>
      <c r="B162" s="13" t="inlineStr">
        <is>
          <t>A written corrective action plan &lt; is / is not &gt; required.</t>
        </is>
      </c>
      <c r="C162" t="inlineStr">
        <is>
          <t>C</t>
        </is>
      </c>
      <c r="D162" t="inlineStr"/>
      <c r="E162" t="inlineStr"/>
      <c r="F162" t="inlineStr">
        <is>
          <t>Technical Requirement</t>
        </is>
      </c>
      <c r="G162" s="8" t="inlineStr">
        <is>
          <t>Mandatory</t>
        </is>
      </c>
      <c r="H162" s="6" t="inlineStr">
        <is>
          <t>Medium</t>
        </is>
      </c>
      <c r="I162" t="inlineStr"/>
      <c r="J162" t="inlineStr">
        <is>
          <t>Not Started</t>
        </is>
      </c>
      <c r="K162" t="inlineStr"/>
      <c r="L162" t="inlineStr"/>
      <c r="M162" t="inlineStr"/>
      <c r="N162" t="inlineStr"/>
      <c r="O162" t="inlineStr"/>
      <c r="P162" t="inlineStr"/>
      <c r="Q162" t="inlineStr"/>
      <c r="R162" t="inlineStr"/>
      <c r="S162" t="inlineStr"/>
    </row>
    <row r="163">
      <c r="A163" t="inlineStr">
        <is>
          <t>REQ-00165</t>
        </is>
      </c>
      <c r="B163" s="13" t="inlineStr">
        <is>
          <t>&lt; If a written corrective action plan is required include the following. &gt; The written Corrective Action Plan will be provided to the undersigned not later than &lt; # days after receipt of this</t>
        </is>
      </c>
      <c r="C163" t="inlineStr">
        <is>
          <t>C</t>
        </is>
      </c>
      <c r="D163" t="inlineStr"/>
      <c r="E163" t="inlineStr"/>
      <c r="F163" t="inlineStr">
        <is>
          <t>Technical Requirement</t>
        </is>
      </c>
      <c r="G163" s="8" t="inlineStr">
        <is>
          <t>Mandatory</t>
        </is>
      </c>
      <c r="H163" s="6" t="inlineStr">
        <is>
          <t>Medium</t>
        </is>
      </c>
      <c r="I163" t="inlineStr"/>
      <c r="J163" t="inlineStr">
        <is>
          <t>Not Started</t>
        </is>
      </c>
      <c r="K163" t="inlineStr"/>
      <c r="L163" t="inlineStr"/>
      <c r="M163" t="inlineStr"/>
      <c r="N163" t="inlineStr"/>
      <c r="O163" t="inlineStr"/>
      <c r="P163" t="inlineStr"/>
      <c r="Q163" t="inlineStr"/>
      <c r="R163" t="inlineStr"/>
      <c r="S163" t="inlineStr"/>
    </row>
    <row r="164">
      <c r="A164" t="inlineStr">
        <is>
          <t>REQ-00166</t>
        </is>
      </c>
      <c r="B164" s="13" t="inlineStr">
        <is>
          <t>Signature - Contractor Task Manager or on-site representative	     Date</t>
        </is>
      </c>
      <c r="C164" t="inlineStr">
        <is>
          <t>C</t>
        </is>
      </c>
      <c r="D164" t="inlineStr"/>
      <c r="E164" t="inlineStr"/>
      <c r="F164" t="inlineStr">
        <is>
          <t>Technical Requirement</t>
        </is>
      </c>
      <c r="G164" s="9" t="inlineStr">
        <is>
          <t>Desirable</t>
        </is>
      </c>
      <c r="H164" s="6" t="inlineStr">
        <is>
          <t>Medium</t>
        </is>
      </c>
      <c r="I164" t="inlineStr"/>
      <c r="J164" t="inlineStr">
        <is>
          <t>Not Started</t>
        </is>
      </c>
      <c r="K164" t="inlineStr"/>
      <c r="L164" t="inlineStr"/>
      <c r="M164" t="inlineStr"/>
      <c r="N164" t="inlineStr"/>
      <c r="O164" t="inlineStr"/>
      <c r="P164" t="inlineStr"/>
      <c r="Q164" t="inlineStr"/>
      <c r="R164" t="inlineStr"/>
      <c r="S164" t="inlineStr"/>
    </row>
    <row r="165">
      <c r="A165" t="inlineStr">
        <is>
          <t>REQ-00168</t>
        </is>
      </c>
      <c r="B165" s="13" t="inlineStr">
        <is>
          <t>SUBJECT:  DRAFT Fair Opportunity Request for Proposal, FA8806-25-R-B003, 24/7 Network 
Operations Center (NOC)</t>
        </is>
      </c>
      <c r="C165" t="inlineStr">
        <is>
          <t>C</t>
        </is>
      </c>
      <c r="D165" t="inlineStr"/>
      <c r="E165" t="inlineStr"/>
      <c r="F165" t="inlineStr">
        <is>
          <t>Technical Requirement</t>
        </is>
      </c>
      <c r="G165" s="9" t="inlineStr">
        <is>
          <t>Desirable</t>
        </is>
      </c>
      <c r="H165" s="6" t="inlineStr">
        <is>
          <t>Medium</t>
        </is>
      </c>
      <c r="I165" t="inlineStr"/>
      <c r="J165" t="inlineStr">
        <is>
          <t>Not Started</t>
        </is>
      </c>
      <c r="K165" t="inlineStr"/>
      <c r="L165" t="inlineStr"/>
      <c r="M165" t="inlineStr"/>
      <c r="N165" t="inlineStr"/>
      <c r="O165" t="inlineStr"/>
      <c r="P165" t="inlineStr"/>
      <c r="Q165" t="inlineStr"/>
      <c r="R165" t="inlineStr"/>
      <c r="S165" t="inlineStr"/>
    </row>
    <row r="166">
      <c r="A166" t="inlineStr">
        <is>
          <t>REQ-00169</t>
        </is>
      </c>
      <c r="B166" s="13" t="inlineStr">
        <is>
          <t>1.  The Space Systems Command (SSC) Battle Management Command, Control and 
Communications (BMC3) is releasing a DRAFT Fair Opportunity Proposal Request (FOPR) 
supporting documents for 24/7 Network Operations Center for the Space Systems Command / 
Operational Space C2 Acquisition Delta (SSC/BCC).</t>
        </is>
      </c>
      <c r="C166" t="inlineStr">
        <is>
          <t>C</t>
        </is>
      </c>
      <c r="D166" t="inlineStr"/>
      <c r="E166" t="inlineStr"/>
      <c r="F166" t="inlineStr">
        <is>
          <t>Technical Requirement</t>
        </is>
      </c>
      <c r="G166" s="9" t="inlineStr">
        <is>
          <t>Desirable</t>
        </is>
      </c>
      <c r="H166" s="6" t="inlineStr">
        <is>
          <t>Medium</t>
        </is>
      </c>
      <c r="I166" t="inlineStr"/>
      <c r="J166" t="inlineStr">
        <is>
          <t>Not Started</t>
        </is>
      </c>
      <c r="K166" t="inlineStr"/>
      <c r="L166" t="inlineStr"/>
      <c r="M166" t="inlineStr"/>
      <c r="N166" t="inlineStr"/>
      <c r="O166" t="inlineStr"/>
      <c r="P166" t="inlineStr"/>
      <c r="Q166" t="inlineStr"/>
      <c r="R166" t="inlineStr"/>
      <c r="S166" t="inlineStr"/>
    </row>
    <row r="167">
      <c r="A167" t="inlineStr">
        <is>
          <t>REQ-00170</t>
        </is>
      </c>
      <c r="B167" s="13" t="inlineStr">
        <is>
          <t>2.  Companies, within the General Services Administration (GSA) One Acquisition Solution for 
Integrated Services (OASIS) + Total Small Business Indefinite Delivery Indefinite Quantity 
(IDIQ) contract, are being provided a fair opportunity to compete on this requirement. Only 
those companies with a GSA OASIS+ Total Small Business IDIQ contract may compete. 
Offerors must propose using the GSA...</t>
        </is>
      </c>
      <c r="C167" t="inlineStr">
        <is>
          <t>C</t>
        </is>
      </c>
      <c r="D167" t="inlineStr"/>
      <c r="E167" t="inlineStr"/>
      <c r="F167" t="inlineStr">
        <is>
          <t>Technical Requirement</t>
        </is>
      </c>
      <c r="G167" s="8" t="inlineStr">
        <is>
          <t>Mandatory</t>
        </is>
      </c>
      <c r="H167" s="5" t="inlineStr">
        <is>
          <t>High</t>
        </is>
      </c>
      <c r="I167" t="inlineStr"/>
      <c r="J167" t="inlineStr">
        <is>
          <t>Not Started</t>
        </is>
      </c>
      <c r="K167" t="inlineStr"/>
      <c r="L167" t="inlineStr"/>
      <c r="M167" t="inlineStr"/>
      <c r="N167" t="inlineStr"/>
      <c r="O167" t="inlineStr"/>
      <c r="P167" t="inlineStr"/>
      <c r="Q167" t="inlineStr"/>
      <c r="R167" t="inlineStr"/>
      <c r="S167" t="inlineStr"/>
    </row>
    <row r="168">
      <c r="A168" t="inlineStr">
        <is>
          <t>REQ-00171</t>
        </is>
      </c>
      <c r="B168" s="13" t="inlineStr">
        <is>
          <t>3.  The government intends to award a single Cost Plus Fixed Fee Delivery Order consisting of a 
five (5)-year period of performance to acquire manning power for the creation and maintenance 
of a 24x7 Network Operations Center for the Space Systems Command / Operational Space C2 
Acquisition Delta (SSC/BCC). However, the Government also intends to include cost-
reimbursement (no fee) Contract ...</t>
        </is>
      </c>
      <c r="C168" t="inlineStr">
        <is>
          <t>C</t>
        </is>
      </c>
      <c r="D168" t="inlineStr"/>
      <c r="E168" t="inlineStr"/>
      <c r="F168" t="inlineStr">
        <is>
          <t>Technical Requirement</t>
        </is>
      </c>
      <c r="G168" s="8" t="inlineStr">
        <is>
          <t>Mandatory</t>
        </is>
      </c>
      <c r="H168" s="5" t="inlineStr">
        <is>
          <t>High</t>
        </is>
      </c>
      <c r="I168" t="inlineStr"/>
      <c r="J168" t="inlineStr">
        <is>
          <t>Not Started</t>
        </is>
      </c>
      <c r="K168" t="inlineStr"/>
      <c r="L168" t="inlineStr"/>
      <c r="M168" t="inlineStr"/>
      <c r="N168" t="inlineStr"/>
      <c r="O168" t="inlineStr"/>
      <c r="P168" t="inlineStr"/>
      <c r="Q168" t="inlineStr"/>
      <c r="R168" t="inlineStr"/>
      <c r="S168" t="inlineStr"/>
    </row>
    <row r="169">
      <c r="A169" t="inlineStr">
        <is>
          <t>REQ-00172</t>
        </is>
      </c>
      <c r="B169" s="13" t="inlineStr">
        <is>
          <t>Draft RFP Release   9 October 2024 
Receipt of Comments on Draft 30 October 2024 
RFP Release    13 December 2025 
Receipt of Proposals     3 February 2025 
Evaluation of Proposals    17 March 2025 
Award      9 May 2025   
On-ramp Start    15 June 2025 
Full Scope Start   15 August 2025</t>
        </is>
      </c>
      <c r="C169" t="inlineStr">
        <is>
          <t>C</t>
        </is>
      </c>
      <c r="D169" t="inlineStr"/>
      <c r="E169" t="inlineStr"/>
      <c r="F169" t="inlineStr">
        <is>
          <t>Technical Requirement</t>
        </is>
      </c>
      <c r="G169" s="9" t="inlineStr">
        <is>
          <t>Desirable</t>
        </is>
      </c>
      <c r="H169" s="7" t="inlineStr">
        <is>
          <t>Low</t>
        </is>
      </c>
      <c r="I169" t="inlineStr"/>
      <c r="J169" t="inlineStr">
        <is>
          <t>Not Started</t>
        </is>
      </c>
      <c r="K169" t="inlineStr"/>
      <c r="L169" t="inlineStr"/>
      <c r="M169" t="inlineStr"/>
      <c r="N169" t="inlineStr"/>
      <c r="O169" t="inlineStr"/>
      <c r="P169" t="inlineStr"/>
      <c r="Q169" t="inlineStr"/>
      <c r="R169" t="inlineStr"/>
      <c r="S169" t="inlineStr"/>
    </row>
    <row r="170">
      <c r="A170" t="inlineStr">
        <is>
          <t>REQ-00173</t>
        </is>
      </c>
      <c r="B170" s="13" t="inlineStr">
        <is>
          <t>4.  The Government requests a formal negative or positive response on the company’s interest to 
be included in future correspondence on this requirement. This formal response must be emailed 
to the Government Contracting Team: Contracting Officer, Capt Rodrigo E. Laguna at 
rodrigo.laguna_lagos.3@spaceforce.mil, Deputy Chief of Contracting, Mr. Jeffrey Dedrick at 
jeffrey.dedrick@spaceforce.m...</t>
        </is>
      </c>
      <c r="C170" t="inlineStr">
        <is>
          <t>C</t>
        </is>
      </c>
      <c r="D170" t="inlineStr"/>
      <c r="E170" t="inlineStr"/>
      <c r="F170" t="inlineStr">
        <is>
          <t>Technical Requirement</t>
        </is>
      </c>
      <c r="G170" s="8" t="inlineStr">
        <is>
          <t>Mandatory</t>
        </is>
      </c>
      <c r="H170" s="5" t="inlineStr">
        <is>
          <t>High</t>
        </is>
      </c>
      <c r="I170" t="inlineStr"/>
      <c r="J170" t="inlineStr">
        <is>
          <t>Not Started</t>
        </is>
      </c>
      <c r="K170" t="inlineStr"/>
      <c r="L170" t="inlineStr"/>
      <c r="M170" t="inlineStr"/>
      <c r="N170" t="inlineStr"/>
      <c r="O170" t="inlineStr"/>
      <c r="P170" t="inlineStr"/>
      <c r="Q170" t="inlineStr"/>
      <c r="R170" t="inlineStr"/>
      <c r="S170" t="inlineStr"/>
    </row>
    <row r="171">
      <c r="A171" t="inlineStr">
        <is>
          <t>REQ-00174</t>
        </is>
      </c>
      <c r="B171" s="13" t="inlineStr">
        <is>
          <t>5. The Government also requests all questions, comments or feedback regarding the DRAFT 
documents included in this DRAFT FOPR to be written using the attachment 8 Comments 
Resolution Matrix (CRM) and send to the Government Contracting Team via email (reference 
paragraph 4. above) no later than 1500 PST on 30 October 2024. The Government will provide a 
response to each contractor input and p...</t>
        </is>
      </c>
      <c r="C171" t="inlineStr">
        <is>
          <t>C</t>
        </is>
      </c>
      <c r="D171" t="inlineStr"/>
      <c r="E171" t="inlineStr"/>
      <c r="F171" t="inlineStr">
        <is>
          <t>Technical Requirement</t>
        </is>
      </c>
      <c r="G171" s="9" t="inlineStr">
        <is>
          <t>Desirable</t>
        </is>
      </c>
      <c r="H171" s="6" t="inlineStr">
        <is>
          <t>Medium</t>
        </is>
      </c>
      <c r="I171" t="inlineStr"/>
      <c r="J171" t="inlineStr">
        <is>
          <t>Not Started</t>
        </is>
      </c>
      <c r="K171" t="inlineStr"/>
      <c r="L171" t="inlineStr"/>
      <c r="M171" t="inlineStr"/>
      <c r="N171" t="inlineStr"/>
      <c r="O171" t="inlineStr"/>
      <c r="P171" t="inlineStr"/>
      <c r="Q171" t="inlineStr"/>
      <c r="R171" t="inlineStr"/>
      <c r="S171" t="inlineStr"/>
    </row>
    <row r="172">
      <c r="A172" t="inlineStr">
        <is>
          <t>REQ-00175</t>
        </is>
      </c>
      <c r="B172" s="13" t="inlineStr">
        <is>
          <t>RODRIGO E. LAGUNA, Capt, DAF 
           Procuring Contracting Officer</t>
        </is>
      </c>
      <c r="C172" t="inlineStr">
        <is>
          <t>C</t>
        </is>
      </c>
      <c r="D172" t="inlineStr"/>
      <c r="E172" t="inlineStr"/>
      <c r="F172" t="inlineStr">
        <is>
          <t>Technical Requirement</t>
        </is>
      </c>
      <c r="G172" s="9" t="inlineStr">
        <is>
          <t>Desirable</t>
        </is>
      </c>
      <c r="H172" s="6" t="inlineStr">
        <is>
          <t>Medium</t>
        </is>
      </c>
      <c r="I172" t="inlineStr"/>
      <c r="J172" t="inlineStr">
        <is>
          <t>Not Started</t>
        </is>
      </c>
      <c r="K172" t="inlineStr"/>
      <c r="L172" t="inlineStr"/>
      <c r="M172" t="inlineStr"/>
      <c r="N172" t="inlineStr"/>
      <c r="O172" t="inlineStr"/>
      <c r="P172" t="inlineStr"/>
      <c r="Q172" t="inlineStr"/>
      <c r="R172" t="inlineStr"/>
      <c r="S172" t="inlineStr"/>
    </row>
    <row r="173">
      <c r="A173" t="inlineStr">
        <is>
          <t>REQ-00176</t>
        </is>
      </c>
      <c r="B173" s="13" t="inlineStr">
        <is>
          <t>0. Solicitation - FA880625RB003 
    Solicitation - Clauses and Provisions</t>
        </is>
      </c>
      <c r="C173" t="inlineStr">
        <is>
          <t>C</t>
        </is>
      </c>
      <c r="D173" t="inlineStr"/>
      <c r="E173" t="inlineStr"/>
      <c r="F173" t="inlineStr">
        <is>
          <t>Technical Requirement</t>
        </is>
      </c>
      <c r="G173" s="9" t="inlineStr">
        <is>
          <t>Desirable</t>
        </is>
      </c>
      <c r="H173" s="6" t="inlineStr">
        <is>
          <t>Medium</t>
        </is>
      </c>
      <c r="I173" t="inlineStr"/>
      <c r="J173" t="inlineStr">
        <is>
          <t>Not Started</t>
        </is>
      </c>
      <c r="K173" t="inlineStr"/>
      <c r="L173" t="inlineStr"/>
      <c r="M173" t="inlineStr"/>
      <c r="N173" t="inlineStr"/>
      <c r="O173" t="inlineStr"/>
      <c r="P173" t="inlineStr"/>
      <c r="Q173" t="inlineStr"/>
      <c r="R173" t="inlineStr"/>
      <c r="S173" t="inlineStr"/>
    </row>
    <row r="174">
      <c r="A174" t="inlineStr">
        <is>
          <t>REQ-00177</t>
        </is>
      </c>
      <c r="B174" s="13" t="inlineStr">
        <is>
          <t>3. Master Contract Data Requirements List</t>
        </is>
      </c>
      <c r="C174" t="inlineStr">
        <is>
          <t>C</t>
        </is>
      </c>
      <c r="D174" t="inlineStr"/>
      <c r="E174" t="inlineStr"/>
      <c r="F174" t="inlineStr">
        <is>
          <t>Technical Requirement</t>
        </is>
      </c>
      <c r="G174" s="9" t="inlineStr">
        <is>
          <t>Desirable</t>
        </is>
      </c>
      <c r="H174" s="6" t="inlineStr">
        <is>
          <t>Medium</t>
        </is>
      </c>
      <c r="I174" t="inlineStr"/>
      <c r="J174" t="inlineStr">
        <is>
          <t>Not Started</t>
        </is>
      </c>
      <c r="K174" t="inlineStr"/>
      <c r="L174" t="inlineStr"/>
      <c r="M174" t="inlineStr"/>
      <c r="N174" t="inlineStr"/>
      <c r="O174" t="inlineStr"/>
      <c r="P174" t="inlineStr"/>
      <c r="Q174" t="inlineStr"/>
      <c r="R174" t="inlineStr"/>
      <c r="S174" t="inlineStr"/>
    </row>
    <row r="175">
      <c r="A175" t="inlineStr">
        <is>
          <t>REQ-00178</t>
        </is>
      </c>
      <c r="B175" s="13" t="inlineStr">
        <is>
          <t>5. Organizational Conflict of Interest Checklist</t>
        </is>
      </c>
      <c r="C175" t="inlineStr">
        <is>
          <t>C</t>
        </is>
      </c>
      <c r="D175" t="inlineStr"/>
      <c r="E175" t="inlineStr"/>
      <c r="F175" t="inlineStr">
        <is>
          <t>Technical Requirement</t>
        </is>
      </c>
      <c r="G175" s="9" t="inlineStr">
        <is>
          <t>Desirable</t>
        </is>
      </c>
      <c r="H175" s="6" t="inlineStr">
        <is>
          <t>Medium</t>
        </is>
      </c>
      <c r="I175" t="inlineStr"/>
      <c r="J175" t="inlineStr">
        <is>
          <t>Not Started</t>
        </is>
      </c>
      <c r="K175" t="inlineStr"/>
      <c r="L175" t="inlineStr"/>
      <c r="M175" t="inlineStr"/>
      <c r="N175" t="inlineStr"/>
      <c r="O175" t="inlineStr"/>
      <c r="P175" t="inlineStr"/>
      <c r="Q175" t="inlineStr"/>
      <c r="R175" t="inlineStr"/>
      <c r="S175" t="inlineStr"/>
    </row>
    <row r="176">
      <c r="A176" t="inlineStr">
        <is>
          <t>REQ-00179</t>
        </is>
      </c>
      <c r="B176" s="13" t="inlineStr">
        <is>
          <t>7. Contract Security Classification Specification DD254</t>
        </is>
      </c>
      <c r="C176" t="inlineStr">
        <is>
          <t>C</t>
        </is>
      </c>
      <c r="D176" t="inlineStr"/>
      <c r="E176" t="inlineStr"/>
      <c r="F176" t="inlineStr">
        <is>
          <t>Technical Requirement</t>
        </is>
      </c>
      <c r="G176" s="9" t="inlineStr">
        <is>
          <t>Desirable</t>
        </is>
      </c>
      <c r="H176" s="6" t="inlineStr">
        <is>
          <t>Medium</t>
        </is>
      </c>
      <c r="I176" t="inlineStr"/>
      <c r="J176" t="inlineStr">
        <is>
          <t>Not Started</t>
        </is>
      </c>
      <c r="K176" t="inlineStr"/>
      <c r="L176" t="inlineStr"/>
      <c r="M176" t="inlineStr"/>
      <c r="N176" t="inlineStr"/>
      <c r="O176" t="inlineStr"/>
      <c r="P176" t="inlineStr"/>
      <c r="Q176" t="inlineStr"/>
      <c r="R176" t="inlineStr"/>
      <c r="S176" t="inlineStr"/>
    </row>
    <row r="177">
      <c r="A177" t="inlineStr">
        <is>
          <t>REQ-00180</t>
        </is>
      </c>
      <c r="B177" s="13" t="inlineStr">
        <is>
          <t>Issued Under the Multiple Award Indefinite Delivery Indefinite Quantity Contract:</t>
        </is>
      </c>
      <c r="C177" t="inlineStr">
        <is>
          <t>C</t>
        </is>
      </c>
      <c r="D177" t="inlineStr"/>
      <c r="E177" t="inlineStr"/>
      <c r="F177" t="inlineStr">
        <is>
          <t>Technical Requirement</t>
        </is>
      </c>
      <c r="G177" s="9" t="inlineStr">
        <is>
          <t>Desirable</t>
        </is>
      </c>
      <c r="H177" s="6" t="inlineStr">
        <is>
          <t>Medium</t>
        </is>
      </c>
      <c r="I177" t="inlineStr"/>
      <c r="J177" t="inlineStr">
        <is>
          <t>Not Started</t>
        </is>
      </c>
      <c r="K177" t="inlineStr"/>
      <c r="L177" t="inlineStr"/>
      <c r="M177" t="inlineStr"/>
      <c r="N177" t="inlineStr"/>
      <c r="O177" t="inlineStr"/>
      <c r="P177" t="inlineStr"/>
      <c r="Q177" t="inlineStr"/>
      <c r="R177" t="inlineStr"/>
      <c r="S177" t="inlineStr"/>
    </row>
    <row r="178">
      <c r="A178" t="inlineStr">
        <is>
          <t>REQ-00181</t>
        </is>
      </c>
      <c r="B178" s="13" t="inlineStr">
        <is>
          <t>One Acquisition Solution for Integrated Services + Total Small Business</t>
        </is>
      </c>
      <c r="C178" t="inlineStr">
        <is>
          <t>C</t>
        </is>
      </c>
      <c r="D178" t="inlineStr"/>
      <c r="E178" t="inlineStr"/>
      <c r="F178" t="inlineStr">
        <is>
          <t>Technical Requirement</t>
        </is>
      </c>
      <c r="G178" s="9" t="inlineStr">
        <is>
          <t>Desirable</t>
        </is>
      </c>
      <c r="H178" s="6" t="inlineStr">
        <is>
          <t>Medium</t>
        </is>
      </c>
      <c r="I178" t="inlineStr"/>
      <c r="J178" t="inlineStr">
        <is>
          <t>Not Started</t>
        </is>
      </c>
      <c r="K178" t="inlineStr"/>
      <c r="L178" t="inlineStr"/>
      <c r="M178" t="inlineStr"/>
      <c r="N178" t="inlineStr"/>
      <c r="O178" t="inlineStr"/>
      <c r="P178" t="inlineStr"/>
      <c r="Q178" t="inlineStr"/>
      <c r="R178" t="inlineStr"/>
      <c r="S178" t="inlineStr"/>
    </row>
    <row r="179">
      <c r="A179" t="inlineStr">
        <is>
          <t>REQ-00182</t>
        </is>
      </c>
      <c r="B179" s="13" t="inlineStr">
        <is>
          <t>This instruction establishes the minimum requirements for the data to be delivered by the contractor in performance of this task order and the process for the submittal, distribution, inspection, approval, and acceptance of all the contract data requirements list items contained within Exhibit A.</t>
        </is>
      </c>
      <c r="C179" t="inlineStr">
        <is>
          <t>C</t>
        </is>
      </c>
      <c r="D179" t="inlineStr"/>
      <c r="E179" t="inlineStr"/>
      <c r="F179" t="inlineStr">
        <is>
          <t>Technical Requirement</t>
        </is>
      </c>
      <c r="G179" s="9" t="inlineStr">
        <is>
          <t>Desirable</t>
        </is>
      </c>
      <c r="H179" s="6" t="inlineStr">
        <is>
          <t>Medium</t>
        </is>
      </c>
      <c r="I179" t="inlineStr"/>
      <c r="J179" t="inlineStr">
        <is>
          <t>Not Started</t>
        </is>
      </c>
      <c r="K179" t="inlineStr"/>
      <c r="L179" t="inlineStr"/>
      <c r="M179" t="inlineStr"/>
      <c r="N179" t="inlineStr"/>
      <c r="O179" t="inlineStr"/>
      <c r="P179" t="inlineStr"/>
      <c r="Q179" t="inlineStr"/>
      <c r="R179" t="inlineStr"/>
      <c r="S179" t="inlineStr"/>
    </row>
    <row r="180">
      <c r="A180" t="inlineStr">
        <is>
          <t>REQ-00183</t>
        </is>
      </c>
      <c r="B180" s="13" t="inlineStr">
        <is>
          <t>The Contractor shall grant the Government Purpose Rights in all technical data, deliverables and supply performed under this contract, including rights to use, duplicate, modify, release, perform, display, or disclose technical data for this supply within the Government. This includes any supply or deliverable that is produced, procured or manufactured as a result of this contract. The Governme...</t>
        </is>
      </c>
      <c r="C180" t="inlineStr">
        <is>
          <t>C</t>
        </is>
      </c>
      <c r="D180" t="inlineStr"/>
      <c r="E180" t="inlineStr"/>
      <c r="F180" t="inlineStr">
        <is>
          <t>Technical Requirement</t>
        </is>
      </c>
      <c r="G180" s="8" t="inlineStr">
        <is>
          <t>Mandatory</t>
        </is>
      </c>
      <c r="H180" s="5" t="inlineStr">
        <is>
          <t>High</t>
        </is>
      </c>
      <c r="I180" t="inlineStr"/>
      <c r="J180" t="inlineStr">
        <is>
          <t>Not Started</t>
        </is>
      </c>
      <c r="K180" t="inlineStr"/>
      <c r="L180" t="inlineStr"/>
      <c r="M180" t="inlineStr"/>
      <c r="N180" t="inlineStr"/>
      <c r="O180" t="inlineStr"/>
      <c r="P180" t="inlineStr"/>
      <c r="Q180" t="inlineStr"/>
      <c r="R180" t="inlineStr"/>
      <c r="S180" t="inlineStr"/>
    </row>
    <row r="181">
      <c r="A181" t="inlineStr">
        <is>
          <t>REQ-00184</t>
        </is>
      </c>
      <c r="B181" s="13" t="inlineStr">
        <is>
          <t>Data Item Descriptions referenced in Block 4 of the contract data requirement list are listed in the Acquisition Streamlining and Standardization Information System, which can be accessed via the following website: http://quicksearch.dla.mil/qsSearch.aspx.  Only unique Data Item Descriptions or attachments will be included in Exhibit A.</t>
        </is>
      </c>
      <c r="C181" t="inlineStr">
        <is>
          <t>C</t>
        </is>
      </c>
      <c r="D181" t="inlineStr"/>
      <c r="E181" t="inlineStr"/>
      <c r="F181" t="inlineStr">
        <is>
          <t>Technical Requirement</t>
        </is>
      </c>
      <c r="G181" s="9" t="inlineStr">
        <is>
          <t>Desirable</t>
        </is>
      </c>
      <c r="H181" s="7" t="inlineStr">
        <is>
          <t>Low</t>
        </is>
      </c>
      <c r="I181" t="inlineStr"/>
      <c r="J181" t="inlineStr">
        <is>
          <t>Not Started</t>
        </is>
      </c>
      <c r="K181" t="inlineStr"/>
      <c r="L181" t="inlineStr"/>
      <c r="M181" t="inlineStr"/>
      <c r="N181" t="inlineStr"/>
      <c r="O181" t="inlineStr"/>
      <c r="P181" t="inlineStr"/>
      <c r="Q181" t="inlineStr"/>
      <c r="R181" t="inlineStr"/>
      <c r="S181" t="inlineStr"/>
    </row>
    <row r="182">
      <c r="A182" t="inlineStr">
        <is>
          <t>REQ-00185</t>
        </is>
      </c>
      <c r="B182" s="13" t="inlineStr">
        <is>
          <t>The designation "D" in Block 9 of the Contract Data Requirements List indicates that the following distribution statement shall be annotated on each data item in accordance with DoDD 5230.24.</t>
        </is>
      </c>
      <c r="C182" t="inlineStr">
        <is>
          <t>C</t>
        </is>
      </c>
      <c r="D182" t="inlineStr"/>
      <c r="E182" t="inlineStr"/>
      <c r="F182" t="inlineStr">
        <is>
          <t>Technical Requirement</t>
        </is>
      </c>
      <c r="G182" s="8" t="inlineStr">
        <is>
          <t>Mandatory</t>
        </is>
      </c>
      <c r="H182" s="5" t="inlineStr">
        <is>
          <t>High</t>
        </is>
      </c>
      <c r="I182" t="inlineStr"/>
      <c r="J182" t="inlineStr">
        <is>
          <t>Not Started</t>
        </is>
      </c>
      <c r="K182" t="inlineStr"/>
      <c r="L182" t="inlineStr"/>
      <c r="M182" t="inlineStr"/>
      <c r="N182" t="inlineStr"/>
      <c r="O182" t="inlineStr"/>
      <c r="P182" t="inlineStr"/>
      <c r="Q182" t="inlineStr"/>
      <c r="R182" t="inlineStr"/>
      <c r="S182" t="inlineStr"/>
    </row>
    <row r="183">
      <c r="A183" t="inlineStr">
        <is>
          <t>REQ-00186</t>
        </is>
      </c>
      <c r="B183" s="13" t="inlineStr">
        <is>
          <t>Unclassified Distribution Statement D: Distribution authorized to DoD and US DoD contractors: due to the sensitive information (as defined in DoD 5230.24) associated with this effort.</t>
        </is>
      </c>
      <c r="C183" t="inlineStr">
        <is>
          <t>C</t>
        </is>
      </c>
      <c r="D183" t="inlineStr"/>
      <c r="E183" t="inlineStr"/>
      <c r="F183" t="inlineStr">
        <is>
          <t>Technical Requirement</t>
        </is>
      </c>
      <c r="G183" s="9" t="inlineStr">
        <is>
          <t>Desirable</t>
        </is>
      </c>
      <c r="H183" s="6" t="inlineStr">
        <is>
          <t>Medium</t>
        </is>
      </c>
      <c r="I183" t="inlineStr"/>
      <c r="J183" t="inlineStr">
        <is>
          <t>Not Started</t>
        </is>
      </c>
      <c r="K183" t="inlineStr"/>
      <c r="L183" t="inlineStr"/>
      <c r="M183" t="inlineStr"/>
      <c r="N183" t="inlineStr"/>
      <c r="O183" t="inlineStr"/>
      <c r="P183" t="inlineStr"/>
      <c r="Q183" t="inlineStr"/>
      <c r="R183" t="inlineStr"/>
      <c r="S183" t="inlineStr"/>
    </row>
    <row r="184">
      <c r="A184" t="inlineStr">
        <is>
          <t>REQ-00187</t>
        </is>
      </c>
      <c r="B184" s="13" t="inlineStr">
        <is>
          <t>Other requests for this document shall be referred to the Contracting Officer's Representative. Unclassified deliverables may be destroyed by any method that will prevent disclosure of contents or reconstruction of material.</t>
        </is>
      </c>
      <c r="C184" t="inlineStr">
        <is>
          <t>C</t>
        </is>
      </c>
      <c r="D184" t="inlineStr"/>
      <c r="E184" t="inlineStr"/>
      <c r="F184" t="inlineStr">
        <is>
          <t>Technical Requirement</t>
        </is>
      </c>
      <c r="G184" s="8" t="inlineStr">
        <is>
          <t>Mandatory</t>
        </is>
      </c>
      <c r="H184" s="5" t="inlineStr">
        <is>
          <t>High</t>
        </is>
      </c>
      <c r="I184" t="inlineStr"/>
      <c r="J184" t="inlineStr">
        <is>
          <t>Not Started</t>
        </is>
      </c>
      <c r="K184" t="inlineStr"/>
      <c r="L184" t="inlineStr"/>
      <c r="M184" t="inlineStr"/>
      <c r="N184" t="inlineStr"/>
      <c r="O184" t="inlineStr"/>
      <c r="P184" t="inlineStr"/>
      <c r="Q184" t="inlineStr"/>
      <c r="R184" t="inlineStr"/>
      <c r="S184" t="inlineStr"/>
    </row>
    <row r="185">
      <c r="A185" t="inlineStr">
        <is>
          <t>REQ-00188</t>
        </is>
      </c>
      <c r="B185" s="13" t="inlineStr">
        <is>
          <t>Classified Distribution Statement D: Distribution authorized to DoD and US DoD contractors only, due to the sensitive information (as defined in DoD 5200.1-R) associated with the One Acquisition Solution for Integrated Services effort. Other requests for this document shall be referred to the Contracting Officer's Representative. For destroying Classified Deliverables follow the procedure ident...</t>
        </is>
      </c>
      <c r="C185" t="inlineStr">
        <is>
          <t>C</t>
        </is>
      </c>
      <c r="D185" t="inlineStr"/>
      <c r="E185" t="inlineStr"/>
      <c r="F185" t="inlineStr">
        <is>
          <t>Technical Requirement</t>
        </is>
      </c>
      <c r="G185" s="8" t="inlineStr">
        <is>
          <t>Mandatory</t>
        </is>
      </c>
      <c r="H185" s="5" t="inlineStr">
        <is>
          <t>High</t>
        </is>
      </c>
      <c r="I185" t="inlineStr"/>
      <c r="J185" t="inlineStr">
        <is>
          <t>Not Started</t>
        </is>
      </c>
      <c r="K185" t="inlineStr"/>
      <c r="L185" t="inlineStr"/>
      <c r="M185" t="inlineStr"/>
      <c r="N185" t="inlineStr"/>
      <c r="O185" t="inlineStr"/>
      <c r="P185" t="inlineStr"/>
      <c r="Q185" t="inlineStr"/>
      <c r="R185" t="inlineStr"/>
      <c r="S185" t="inlineStr"/>
    </row>
    <row r="186">
      <c r="A186" t="inlineStr">
        <is>
          <t>REQ-00189</t>
        </is>
      </c>
      <c r="B186" s="13" t="inlineStr">
        <is>
          <t>This document contains technical data whose export is restricted by the Arms Export Con</t>
        </is>
      </c>
      <c r="C186" t="inlineStr">
        <is>
          <t>C</t>
        </is>
      </c>
      <c r="D186" t="inlineStr"/>
      <c r="E186" t="inlineStr"/>
      <c r="F186" t="inlineStr">
        <is>
          <t>Technical Requirement</t>
        </is>
      </c>
      <c r="G186" s="9" t="inlineStr">
        <is>
          <t>Desirable</t>
        </is>
      </c>
      <c r="H186" s="6" t="inlineStr">
        <is>
          <t>Medium</t>
        </is>
      </c>
      <c r="I186" t="inlineStr"/>
      <c r="J186" t="inlineStr">
        <is>
          <t>Not Started</t>
        </is>
      </c>
      <c r="K186" t="inlineStr"/>
      <c r="L186" t="inlineStr"/>
      <c r="M186" t="inlineStr"/>
      <c r="N186" t="inlineStr"/>
      <c r="O186" t="inlineStr"/>
      <c r="P186" t="inlineStr"/>
      <c r="Q186" t="inlineStr"/>
      <c r="R186" t="inlineStr"/>
      <c r="S186" t="inlineStr"/>
    </row>
    <row r="187">
      <c r="A187" t="inlineStr">
        <is>
          <t>REQ-00190</t>
        </is>
      </c>
      <c r="B187" s="13" t="inlineStr">
        <is>
          <t>trol Act (Title 22, U.S.C. 2571 et seq.) or Executive Order 12470. Violators of these export laws are subject to severe criminal penalties. Dissemination of this document is controlled under DoD Directive 5230.24.</t>
        </is>
      </c>
      <c r="C187" t="inlineStr">
        <is>
          <t>C</t>
        </is>
      </c>
      <c r="D187" t="inlineStr"/>
      <c r="E187" t="inlineStr"/>
      <c r="F187" t="inlineStr">
        <is>
          <t>Technical Requirement</t>
        </is>
      </c>
      <c r="G187" s="9" t="inlineStr">
        <is>
          <t>Desirable</t>
        </is>
      </c>
      <c r="H187" s="6" t="inlineStr">
        <is>
          <t>Medium</t>
        </is>
      </c>
      <c r="I187" t="inlineStr"/>
      <c r="J187" t="inlineStr">
        <is>
          <t>Not Started</t>
        </is>
      </c>
      <c r="K187" t="inlineStr"/>
      <c r="L187" t="inlineStr"/>
      <c r="M187" t="inlineStr"/>
      <c r="N187" t="inlineStr"/>
      <c r="O187" t="inlineStr"/>
      <c r="P187" t="inlineStr"/>
      <c r="Q187" t="inlineStr"/>
      <c r="R187" t="inlineStr"/>
      <c r="S187" t="inlineStr"/>
    </row>
    <row r="188">
      <c r="A188" t="inlineStr">
        <is>
          <t>REQ-00191</t>
        </is>
      </c>
      <c r="B188" s="13" t="inlineStr">
        <is>
          <t>Letters of Transmittal (Block 7) - Delivery of contract data requirements list items shall be a physical hard copy and electronic format to the Contracting Officer's Representative. The Contractor shall provide notification to the applicable government counterpart and the Contracting Officer's Representative. A separate transmittal letter shall be included for each Contract Data Requirements Li...</t>
        </is>
      </c>
      <c r="C188" t="inlineStr">
        <is>
          <t>C</t>
        </is>
      </c>
      <c r="D188" t="inlineStr"/>
      <c r="E188" t="inlineStr"/>
      <c r="F188" t="inlineStr">
        <is>
          <t>Technical Requirement</t>
        </is>
      </c>
      <c r="G188" s="8" t="inlineStr">
        <is>
          <t>Mandatory</t>
        </is>
      </c>
      <c r="H188" s="5" t="inlineStr">
        <is>
          <t>High</t>
        </is>
      </c>
      <c r="I188" t="inlineStr"/>
      <c r="J188" t="inlineStr">
        <is>
          <t>Not Started</t>
        </is>
      </c>
      <c r="K188" t="inlineStr"/>
      <c r="L188" t="inlineStr"/>
      <c r="M188" t="inlineStr"/>
      <c r="N188" t="inlineStr"/>
      <c r="O188" t="inlineStr"/>
      <c r="P188" t="inlineStr"/>
      <c r="Q188" t="inlineStr"/>
      <c r="R188" t="inlineStr"/>
      <c r="S188" t="inlineStr"/>
    </row>
    <row r="189">
      <c r="A189" t="inlineStr">
        <is>
          <t>REQ-00192</t>
        </is>
      </c>
      <c r="B189" s="13" t="inlineStr">
        <is>
          <t>All data delivered with the Letter of Transmittal shall be collectively accounted for under the Material Inspection and Receiving Report (DD Form 250). The period of performance shall reflect the duration of the task order. The DD Form 250 shall be prepared and submitted by the Contractor to the Government Contracting Officer's Representative within 30 calendar days after the end of the based p...</t>
        </is>
      </c>
      <c r="C189" t="inlineStr">
        <is>
          <t>C</t>
        </is>
      </c>
      <c r="D189" t="inlineStr"/>
      <c r="E189" t="inlineStr"/>
      <c r="F189" t="inlineStr">
        <is>
          <t>Technical Requirement</t>
        </is>
      </c>
      <c r="G189" s="8" t="inlineStr">
        <is>
          <t>Mandatory</t>
        </is>
      </c>
      <c r="H189" s="5" t="inlineStr">
        <is>
          <t>High</t>
        </is>
      </c>
      <c r="I189" t="inlineStr"/>
      <c r="J189" t="inlineStr">
        <is>
          <t>Not Started</t>
        </is>
      </c>
      <c r="K189" t="inlineStr"/>
      <c r="L189" t="inlineStr"/>
      <c r="M189" t="inlineStr"/>
      <c r="N189" t="inlineStr"/>
      <c r="O189" t="inlineStr"/>
      <c r="P189" t="inlineStr"/>
      <c r="Q189" t="inlineStr"/>
      <c r="R189" t="inlineStr"/>
      <c r="S189" t="inlineStr"/>
    </row>
    <row r="190">
      <c r="A190" t="inlineStr">
        <is>
          <t>REQ-00193</t>
        </is>
      </c>
      <c r="B190" s="13" t="inlineStr">
        <is>
          <t>The DD Form 250 shall list and account for all data delivered to the Government during contractual period of performance. Do not list Data items that were not previously accepted by the Contracting Officer's Representative during the period of performance.</t>
        </is>
      </c>
      <c r="C190" t="inlineStr">
        <is>
          <t>C</t>
        </is>
      </c>
      <c r="D190" t="inlineStr"/>
      <c r="E190" t="inlineStr"/>
      <c r="F190" t="inlineStr">
        <is>
          <t>Technical Requirement</t>
        </is>
      </c>
      <c r="G190" s="8" t="inlineStr">
        <is>
          <t>Mandatory</t>
        </is>
      </c>
      <c r="H190" s="5" t="inlineStr">
        <is>
          <t>High</t>
        </is>
      </c>
      <c r="I190" t="inlineStr"/>
      <c r="J190" t="inlineStr">
        <is>
          <t>Not Started</t>
        </is>
      </c>
      <c r="K190" t="inlineStr"/>
      <c r="L190" t="inlineStr"/>
      <c r="M190" t="inlineStr"/>
      <c r="N190" t="inlineStr"/>
      <c r="O190" t="inlineStr"/>
      <c r="P190" t="inlineStr"/>
      <c r="Q190" t="inlineStr"/>
      <c r="R190" t="inlineStr"/>
      <c r="S190" t="inlineStr"/>
    </row>
    <row r="191">
      <c r="A191" t="inlineStr">
        <is>
          <t>REQ-00194</t>
        </is>
      </c>
      <c r="B191" s="13" t="inlineStr">
        <is>
          <t>The DD Form 250 list shall identify Contract Data Requirements List sequence number, document title, document number, contractor transmittal letter number, date of delivery, acceptance method and disposition for each delivery item. The Contractor's computerized printout may be used in lieu of a DD Form 250 if the deliverable is in a government usable format. The Contracting Officer's Representa...</t>
        </is>
      </c>
      <c r="C191" t="inlineStr">
        <is>
          <t>C</t>
        </is>
      </c>
      <c r="D191" t="inlineStr"/>
      <c r="E191" t="inlineStr"/>
      <c r="F191" t="inlineStr">
        <is>
          <t>Technical Requirement</t>
        </is>
      </c>
      <c r="G191" s="8" t="inlineStr">
        <is>
          <t>Mandatory</t>
        </is>
      </c>
      <c r="H191" s="5" t="inlineStr">
        <is>
          <t>High</t>
        </is>
      </c>
      <c r="I191" t="inlineStr"/>
      <c r="J191" t="inlineStr">
        <is>
          <t>Not Started</t>
        </is>
      </c>
      <c r="K191" t="inlineStr"/>
      <c r="L191" t="inlineStr"/>
      <c r="M191" t="inlineStr"/>
      <c r="N191" t="inlineStr"/>
      <c r="O191" t="inlineStr"/>
      <c r="P191" t="inlineStr"/>
      <c r="Q191" t="inlineStr"/>
      <c r="R191" t="inlineStr"/>
      <c r="S191" t="inlineStr"/>
    </row>
    <row r="192">
      <c r="A192" t="inlineStr">
        <is>
          <t>REQ-00195</t>
        </is>
      </c>
      <c r="B192" s="13" t="inlineStr">
        <is>
          <t>The contractor shall immediately notify the Government Contracting Officer of any request that the contractor feels increases the contract price and will not comply with the request until directed by the contracting officer.</t>
        </is>
      </c>
      <c r="C192" t="inlineStr">
        <is>
          <t>C</t>
        </is>
      </c>
      <c r="D192" t="inlineStr"/>
      <c r="E192" t="inlineStr"/>
      <c r="F192" t="inlineStr">
        <is>
          <t>Technical Requirement</t>
        </is>
      </c>
      <c r="G192" s="8" t="inlineStr">
        <is>
          <t>Mandatory</t>
        </is>
      </c>
      <c r="H192" s="5" t="inlineStr">
        <is>
          <t>High</t>
        </is>
      </c>
      <c r="I192" t="inlineStr"/>
      <c r="J192" t="inlineStr">
        <is>
          <t>Not Started</t>
        </is>
      </c>
      <c r="K192" t="inlineStr"/>
      <c r="L192" t="inlineStr"/>
      <c r="M192" t="inlineStr"/>
      <c r="N192" t="inlineStr"/>
      <c r="O192" t="inlineStr"/>
      <c r="P192" t="inlineStr"/>
      <c r="Q192" t="inlineStr"/>
      <c r="R192" t="inlineStr"/>
      <c r="S192" t="inlineStr"/>
    </row>
    <row r="193">
      <c r="A193" t="inlineStr">
        <is>
          <t>REQ-00196</t>
        </is>
      </c>
      <c r="B193" s="13" t="inlineStr">
        <is>
          <t>Deliverable acceptance is at the discretion of the Contracting Officer's Representative. Acceptance indicates agreement or concurrence with the contractor's furnished data only and shall not be construed as changing any of the terms or conditions of the subject contract.</t>
        </is>
      </c>
      <c r="C193" t="inlineStr">
        <is>
          <t>C</t>
        </is>
      </c>
      <c r="D193" t="inlineStr"/>
      <c r="E193" t="inlineStr"/>
      <c r="F193" t="inlineStr">
        <is>
          <t>Technical Requirement</t>
        </is>
      </c>
      <c r="G193" s="8" t="inlineStr">
        <is>
          <t>Mandatory</t>
        </is>
      </c>
      <c r="H193" s="5" t="inlineStr">
        <is>
          <t>High</t>
        </is>
      </c>
      <c r="I193" t="inlineStr"/>
      <c r="J193" t="inlineStr">
        <is>
          <t>Not Started</t>
        </is>
      </c>
      <c r="K193" t="inlineStr"/>
      <c r="L193" t="inlineStr"/>
      <c r="M193" t="inlineStr"/>
      <c r="N193" t="inlineStr"/>
      <c r="O193" t="inlineStr"/>
      <c r="P193" t="inlineStr"/>
      <c r="Q193" t="inlineStr"/>
      <c r="R193" t="inlineStr"/>
      <c r="S193" t="inlineStr"/>
    </row>
    <row r="194">
      <c r="A194" t="inlineStr">
        <is>
          <t>REQ-00197</t>
        </is>
      </c>
      <c r="B194" s="13" t="inlineStr">
        <is>
          <t>Only when an "A" is indicated in Block 8 of the Contract Data Requirements List form is formal acceptance required. Unless indicated otherwise in the specific Contract Data Requirements List item, the contractor should anticipate a cycle time of approximately 30 days.</t>
        </is>
      </c>
      <c r="C194" t="inlineStr">
        <is>
          <t>C</t>
        </is>
      </c>
      <c r="D194" t="inlineStr"/>
      <c r="E194" t="inlineStr"/>
      <c r="F194" t="inlineStr">
        <is>
          <t>Technical Requirement</t>
        </is>
      </c>
      <c r="G194" s="8" t="inlineStr">
        <is>
          <t>Mandatory</t>
        </is>
      </c>
      <c r="H194" s="6" t="inlineStr">
        <is>
          <t>Medium</t>
        </is>
      </c>
      <c r="I194" t="inlineStr"/>
      <c r="J194" t="inlineStr">
        <is>
          <t>Not Started</t>
        </is>
      </c>
      <c r="K194" t="inlineStr"/>
      <c r="L194" t="inlineStr"/>
      <c r="M194" t="inlineStr"/>
      <c r="N194" t="inlineStr"/>
      <c r="O194" t="inlineStr"/>
      <c r="P194" t="inlineStr"/>
      <c r="Q194" t="inlineStr"/>
      <c r="R194" t="inlineStr"/>
      <c r="S194" t="inlineStr"/>
    </row>
    <row r="195">
      <c r="A195" t="inlineStr">
        <is>
          <t>REQ-00198</t>
        </is>
      </c>
      <c r="B195" s="13" t="inlineStr">
        <is>
          <t>Accepted with comments - The contractor shall revise</t>
        </is>
      </c>
      <c r="C195" t="inlineStr">
        <is>
          <t>C</t>
        </is>
      </c>
      <c r="D195" t="inlineStr"/>
      <c r="E195" t="inlineStr"/>
      <c r="F195" t="inlineStr">
        <is>
          <t>Technical Requirement</t>
        </is>
      </c>
      <c r="G195" s="8" t="inlineStr">
        <is>
          <t>Mandatory</t>
        </is>
      </c>
      <c r="H195" s="5" t="inlineStr">
        <is>
          <t>High</t>
        </is>
      </c>
      <c r="I195" t="inlineStr"/>
      <c r="J195" t="inlineStr">
        <is>
          <t>Not Started</t>
        </is>
      </c>
      <c r="K195" t="inlineStr"/>
      <c r="L195" t="inlineStr"/>
      <c r="M195" t="inlineStr"/>
      <c r="N195" t="inlineStr"/>
      <c r="O195" t="inlineStr"/>
      <c r="P195" t="inlineStr"/>
      <c r="Q195" t="inlineStr"/>
      <c r="R195" t="inlineStr"/>
      <c r="S195" t="inlineStr"/>
    </row>
    <row r="196">
      <c r="A196" t="inlineStr">
        <is>
          <t>REQ-00199</t>
        </is>
      </c>
      <c r="B196" s="13" t="inlineStr">
        <is>
          <t>the deliverable in accordance with Contracting Officer's Representative input(s) and resubmit. Reference the Services Summary of the Performance Work Statement for timeliness standards.</t>
        </is>
      </c>
      <c r="C196" t="inlineStr">
        <is>
          <t>C</t>
        </is>
      </c>
      <c r="D196" t="inlineStr"/>
      <c r="E196" t="inlineStr"/>
      <c r="F196" t="inlineStr">
        <is>
          <t>Technical Requirement</t>
        </is>
      </c>
      <c r="G196" s="9" t="inlineStr">
        <is>
          <t>Desirable</t>
        </is>
      </c>
      <c r="H196" s="6" t="inlineStr">
        <is>
          <t>Medium</t>
        </is>
      </c>
      <c r="I196" t="inlineStr"/>
      <c r="J196" t="inlineStr">
        <is>
          <t>Not Started</t>
        </is>
      </c>
      <c r="K196" t="inlineStr"/>
      <c r="L196" t="inlineStr"/>
      <c r="M196" t="inlineStr"/>
      <c r="N196" t="inlineStr"/>
      <c r="O196" t="inlineStr"/>
      <c r="P196" t="inlineStr"/>
      <c r="Q196" t="inlineStr"/>
      <c r="R196" t="inlineStr"/>
      <c r="S196" t="inlineStr"/>
    </row>
    <row r="197">
      <c r="A197" t="inlineStr">
        <is>
          <t>REQ-00200</t>
        </is>
      </c>
      <c r="B197" s="13" t="inlineStr">
        <is>
          <t>All data shall be delivered/deposited no later than 1730 at the end of the business day for specified due date. The contractor is considered delinquent when a Letter of Transmittal is not received by the Contracting Officer's Representative before the dates specified in blocks 12, 13, and/or 16 of the Contract Data Requirements List Form. If the due date falls on a weekend or government holiday...</t>
        </is>
      </c>
      <c r="C197" t="inlineStr">
        <is>
          <t>C</t>
        </is>
      </c>
      <c r="D197" t="inlineStr"/>
      <c r="E197" t="inlineStr"/>
      <c r="F197" t="inlineStr">
        <is>
          <t>Technical Requirement</t>
        </is>
      </c>
      <c r="G197" s="8" t="inlineStr">
        <is>
          <t>Mandatory</t>
        </is>
      </c>
      <c r="H197" s="5" t="inlineStr">
        <is>
          <t>High</t>
        </is>
      </c>
      <c r="I197" t="inlineStr"/>
      <c r="J197" t="inlineStr">
        <is>
          <t>Not Started</t>
        </is>
      </c>
      <c r="K197" t="inlineStr"/>
      <c r="L197" t="inlineStr"/>
      <c r="M197" t="inlineStr"/>
      <c r="N197" t="inlineStr"/>
      <c r="O197" t="inlineStr"/>
      <c r="P197" t="inlineStr"/>
      <c r="Q197" t="inlineStr"/>
      <c r="R197" t="inlineStr"/>
      <c r="S197" t="inlineStr"/>
    </row>
    <row r="198">
      <c r="A198" t="inlineStr">
        <is>
          <t>REQ-00201</t>
        </is>
      </c>
      <c r="B198" s="13" t="inlineStr">
        <is>
          <t>Management, administrative and product descriptive data shall be developed in a Government usable format. The contractor may not construe acceptance of a document by the Government as relief from contractual requirements should the document not meet those requirements. The Government does not assume responsibility for errors contained in contractor submitted documents and resubmission may be re...</t>
        </is>
      </c>
      <c r="C198" t="inlineStr">
        <is>
          <t>C</t>
        </is>
      </c>
      <c r="D198" t="inlineStr"/>
      <c r="E198" t="inlineStr"/>
      <c r="F198" t="inlineStr">
        <is>
          <t>Technical Requirement</t>
        </is>
      </c>
      <c r="G198" s="8" t="inlineStr">
        <is>
          <t>Mandatory</t>
        </is>
      </c>
      <c r="H198" s="5" t="inlineStr">
        <is>
          <t>High</t>
        </is>
      </c>
      <c r="I198" t="inlineStr"/>
      <c r="J198" t="inlineStr">
        <is>
          <t>Not Started</t>
        </is>
      </c>
      <c r="K198" t="inlineStr"/>
      <c r="L198" t="inlineStr"/>
      <c r="M198" t="inlineStr"/>
      <c r="N198" t="inlineStr"/>
      <c r="O198" t="inlineStr"/>
      <c r="P198" t="inlineStr"/>
      <c r="Q198" t="inlineStr"/>
      <c r="R198" t="inlineStr"/>
      <c r="S198" t="inlineStr"/>
    </row>
    <row r="199">
      <c r="A199" t="inlineStr">
        <is>
          <t>REQ-00202</t>
        </is>
      </c>
      <c r="B199" s="13" t="inlineStr">
        <is>
          <t>Updates and/or Changes to data items may require a complete reissuance of the data items in entirety, or change pages, when the use of the change pages does not affect the readability and understanding of the data item. Change pages shall have the revised information identified and shall be accompanied by a remove and replace listing of the affected pages.</t>
        </is>
      </c>
      <c r="C199" t="inlineStr">
        <is>
          <t>C</t>
        </is>
      </c>
      <c r="D199" t="inlineStr"/>
      <c r="E199" t="inlineStr"/>
      <c r="F199" t="inlineStr">
        <is>
          <t>Technical Requirement</t>
        </is>
      </c>
      <c r="G199" s="8" t="inlineStr">
        <is>
          <t>Mandatory</t>
        </is>
      </c>
      <c r="H199" s="5" t="inlineStr">
        <is>
          <t>High</t>
        </is>
      </c>
      <c r="I199" t="inlineStr"/>
      <c r="J199" t="inlineStr">
        <is>
          <t>Not Started</t>
        </is>
      </c>
      <c r="K199" t="inlineStr"/>
      <c r="L199" t="inlineStr"/>
      <c r="M199" t="inlineStr"/>
      <c r="N199" t="inlineStr"/>
      <c r="O199" t="inlineStr"/>
      <c r="P199" t="inlineStr"/>
      <c r="Q199" t="inlineStr"/>
      <c r="R199" t="inlineStr"/>
      <c r="S199" t="inlineStr"/>
    </row>
    <row r="200">
      <c r="A200" t="inlineStr">
        <is>
          <t>REQ-00203</t>
        </is>
      </c>
      <c r="B200" s="13" t="inlineStr">
        <is>
          <t>COR: Contracting Officer's Representative</t>
        </is>
      </c>
      <c r="C200" t="inlineStr">
        <is>
          <t>C</t>
        </is>
      </c>
      <c r="D200" t="inlineStr"/>
      <c r="E200" t="inlineStr"/>
      <c r="F200" t="inlineStr">
        <is>
          <t>Technical Requirement</t>
        </is>
      </c>
      <c r="G200" s="9" t="inlineStr">
        <is>
          <t>Desirable</t>
        </is>
      </c>
      <c r="H200" s="6" t="inlineStr">
        <is>
          <t>Medium</t>
        </is>
      </c>
      <c r="I200" t="inlineStr"/>
      <c r="J200" t="inlineStr">
        <is>
          <t>Not Started</t>
        </is>
      </c>
      <c r="K200" t="inlineStr"/>
      <c r="L200" t="inlineStr"/>
      <c r="M200" t="inlineStr"/>
      <c r="N200" t="inlineStr"/>
      <c r="O200" t="inlineStr"/>
      <c r="P200" t="inlineStr"/>
      <c r="Q200" t="inlineStr"/>
      <c r="R200" t="inlineStr"/>
      <c r="S200" t="inlineStr"/>
    </row>
    <row r="201">
      <c r="A201" t="inlineStr">
        <is>
          <t>REQ-00204</t>
        </is>
      </c>
      <c r="B201" s="13" t="inlineStr">
        <is>
          <t>F: Reference to block 9, Distribution- Further dissemination only as directed by controlling office.</t>
        </is>
      </c>
      <c r="C201" t="inlineStr">
        <is>
          <t>C</t>
        </is>
      </c>
      <c r="D201" t="inlineStr"/>
      <c r="E201" t="inlineStr"/>
      <c r="F201" t="inlineStr">
        <is>
          <t>Technical Requirement</t>
        </is>
      </c>
      <c r="G201" s="9" t="inlineStr">
        <is>
          <t>Desirable</t>
        </is>
      </c>
      <c r="H201" s="6" t="inlineStr">
        <is>
          <t>Medium</t>
        </is>
      </c>
      <c r="I201" t="inlineStr"/>
      <c r="J201" t="inlineStr">
        <is>
          <t>Not Started</t>
        </is>
      </c>
      <c r="K201" t="inlineStr"/>
      <c r="L201" t="inlineStr"/>
      <c r="M201" t="inlineStr"/>
      <c r="N201" t="inlineStr"/>
      <c r="O201" t="inlineStr"/>
      <c r="P201" t="inlineStr"/>
      <c r="Q201" t="inlineStr"/>
      <c r="R201" t="inlineStr"/>
      <c r="S201" t="inlineStr"/>
    </row>
    <row r="202">
      <c r="A202" t="inlineStr">
        <is>
          <t>REQ-00205</t>
        </is>
      </c>
      <c r="B202" s="13" t="inlineStr">
        <is>
          <t>XTIME: Multiple Separate Submittals (i.e., 2 times, 3 times)</t>
        </is>
      </c>
      <c r="C202" t="inlineStr">
        <is>
          <t>C</t>
        </is>
      </c>
      <c r="D202" t="inlineStr"/>
      <c r="E202" t="inlineStr"/>
      <c r="F202" t="inlineStr">
        <is>
          <t>Technical Requirement</t>
        </is>
      </c>
      <c r="G202" s="9" t="inlineStr">
        <is>
          <t>Desirable</t>
        </is>
      </c>
      <c r="H202" s="6" t="inlineStr">
        <is>
          <t>Medium</t>
        </is>
      </c>
      <c r="I202" t="inlineStr"/>
      <c r="J202" t="inlineStr">
        <is>
          <t>Not Started</t>
        </is>
      </c>
      <c r="K202" t="inlineStr"/>
      <c r="L202" t="inlineStr"/>
      <c r="M202" t="inlineStr"/>
      <c r="N202" t="inlineStr"/>
      <c r="O202" t="inlineStr"/>
      <c r="P202" t="inlineStr"/>
      <c r="Q202" t="inlineStr"/>
      <c r="R202" t="inlineStr"/>
      <c r="S202" t="inlineStr"/>
    </row>
    <row r="203">
      <c r="A203" t="inlineStr">
        <is>
          <t>REQ-00206</t>
        </is>
      </c>
      <c r="B203" s="13" t="inlineStr">
        <is>
          <t>24/7 Network Operations Center Contractor:  TBD</t>
        </is>
      </c>
      <c r="C203" t="inlineStr">
        <is>
          <t>C</t>
        </is>
      </c>
      <c r="D203" t="inlineStr"/>
      <c r="E203" t="inlineStr"/>
      <c r="F203" t="inlineStr">
        <is>
          <t>Technical Requirement</t>
        </is>
      </c>
      <c r="G203" s="9" t="inlineStr">
        <is>
          <t>Desirable</t>
        </is>
      </c>
      <c r="H203" s="6" t="inlineStr">
        <is>
          <t>Medium</t>
        </is>
      </c>
      <c r="I203" t="inlineStr"/>
      <c r="J203" t="inlineStr">
        <is>
          <t>Not Started</t>
        </is>
      </c>
      <c r="K203" t="inlineStr"/>
      <c r="L203" t="inlineStr"/>
      <c r="M203" t="inlineStr"/>
      <c r="N203" t="inlineStr"/>
      <c r="O203" t="inlineStr"/>
      <c r="P203" t="inlineStr"/>
      <c r="Q203" t="inlineStr"/>
      <c r="R203" t="inlineStr"/>
      <c r="S203" t="inlineStr"/>
    </row>
    <row r="204">
      <c r="A204" t="inlineStr">
        <is>
          <t>REQ-00208</t>
        </is>
      </c>
      <c r="B204" s="13" t="inlineStr">
        <is>
          <t>252.201-7000 Contracting Officer's Representative. 1991-12 SEC G</t>
        </is>
      </c>
      <c r="C204" t="inlineStr">
        <is>
          <t>UNASSIGNED</t>
        </is>
      </c>
      <c r="D204" t="inlineStr"/>
      <c r="E204" t="inlineStr"/>
      <c r="F204" t="inlineStr">
        <is>
          <t>General</t>
        </is>
      </c>
      <c r="G204" s="9" t="inlineStr">
        <is>
          <t>Desirable</t>
        </is>
      </c>
      <c r="H204" s="6" t="inlineStr">
        <is>
          <t>Medium</t>
        </is>
      </c>
      <c r="I204" t="inlineStr"/>
      <c r="J204" t="inlineStr">
        <is>
          <t>Not Started</t>
        </is>
      </c>
      <c r="K204" t="inlineStr"/>
      <c r="L204" t="inlineStr"/>
      <c r="M204" t="inlineStr"/>
      <c r="N204" t="inlineStr"/>
      <c r="O204" t="inlineStr"/>
      <c r="P204" t="inlineStr"/>
      <c r="Q204" t="inlineStr"/>
      <c r="R204" t="inlineStr"/>
      <c r="S204" t="inlineStr"/>
    </row>
    <row r="205">
      <c r="A205" t="inlineStr">
        <is>
          <t>REQ-00209</t>
        </is>
      </c>
      <c r="B205" s="13" t="inlineStr">
        <is>
          <t>252.203-7000 Requirements Relating to Compensation of Former DoD 
Officials. 2011-09 SEC I</t>
        </is>
      </c>
      <c r="C205" t="inlineStr">
        <is>
          <t>UNASSIGNED</t>
        </is>
      </c>
      <c r="D205" t="inlineStr"/>
      <c r="E205" t="inlineStr"/>
      <c r="F205" t="inlineStr">
        <is>
          <t>General</t>
        </is>
      </c>
      <c r="G205" s="9" t="inlineStr">
        <is>
          <t>Desirable</t>
        </is>
      </c>
      <c r="H205" s="6" t="inlineStr">
        <is>
          <t>Medium</t>
        </is>
      </c>
      <c r="I205" t="inlineStr"/>
      <c r="J205" t="inlineStr">
        <is>
          <t>Not Started</t>
        </is>
      </c>
      <c r="K205" t="inlineStr"/>
      <c r="L205" t="inlineStr"/>
      <c r="M205" t="inlineStr"/>
      <c r="N205" t="inlineStr"/>
      <c r="O205" t="inlineStr"/>
      <c r="P205" t="inlineStr"/>
      <c r="Q205" t="inlineStr"/>
      <c r="R205" t="inlineStr"/>
      <c r="S205" t="inlineStr"/>
    </row>
    <row r="206">
      <c r="A206" t="inlineStr">
        <is>
          <t>REQ-00210</t>
        </is>
      </c>
      <c r="B206" s="13" t="inlineStr">
        <is>
          <t>252.203-7002 Requirement to Inform Employees of Whistleblower Rights. 2022-12 SEC I</t>
        </is>
      </c>
      <c r="C206" t="inlineStr">
        <is>
          <t>UNASSIGNED</t>
        </is>
      </c>
      <c r="D206" t="inlineStr"/>
      <c r="E206" t="inlineStr"/>
      <c r="F206" t="inlineStr">
        <is>
          <t>General</t>
        </is>
      </c>
      <c r="G206" s="9" t="inlineStr">
        <is>
          <t>Desirable</t>
        </is>
      </c>
      <c r="H206" s="6" t="inlineStr">
        <is>
          <t>Medium</t>
        </is>
      </c>
      <c r="I206" t="inlineStr"/>
      <c r="J206" t="inlineStr">
        <is>
          <t>Not Started</t>
        </is>
      </c>
      <c r="K206" t="inlineStr"/>
      <c r="L206" t="inlineStr"/>
      <c r="M206" t="inlineStr"/>
      <c r="N206" t="inlineStr"/>
      <c r="O206" t="inlineStr"/>
      <c r="P206" t="inlineStr"/>
      <c r="Q206" t="inlineStr"/>
      <c r="R206" t="inlineStr"/>
      <c r="S206" t="inlineStr"/>
    </row>
    <row r="207">
      <c r="A207" t="inlineStr">
        <is>
          <t>REQ-00211</t>
        </is>
      </c>
      <c r="B207" s="13" t="inlineStr">
        <is>
          <t>252.203-7005 Representation Relating to Compensation of Former DoD 
Officials. 2022-09 SEC K</t>
        </is>
      </c>
      <c r="C207" t="inlineStr">
        <is>
          <t>K</t>
        </is>
      </c>
      <c r="D207" t="inlineStr"/>
      <c r="E207" t="inlineStr"/>
      <c r="F207" t="inlineStr">
        <is>
          <t>Representation</t>
        </is>
      </c>
      <c r="G207" s="9" t="inlineStr">
        <is>
          <t>Desirable</t>
        </is>
      </c>
      <c r="H207" s="6" t="inlineStr">
        <is>
          <t>Medium</t>
        </is>
      </c>
      <c r="I207" t="inlineStr"/>
      <c r="J207" t="inlineStr">
        <is>
          <t>Not Started</t>
        </is>
      </c>
      <c r="K207" t="inlineStr"/>
      <c r="L207" t="inlineStr"/>
      <c r="M207" t="inlineStr"/>
      <c r="N207" t="inlineStr"/>
      <c r="O207" t="inlineStr"/>
      <c r="P207" t="inlineStr"/>
      <c r="Q207" t="inlineStr"/>
      <c r="R207" t="inlineStr"/>
      <c r="S207" t="inlineStr"/>
    </row>
    <row r="208">
      <c r="A208" t="inlineStr">
        <is>
          <t>REQ-00212</t>
        </is>
      </c>
      <c r="B208" s="13" t="inlineStr">
        <is>
          <t>252.204-7004 Antiterrorism Awareness Training for Contractors. 2023-01 SEC I</t>
        </is>
      </c>
      <c r="C208" t="inlineStr">
        <is>
          <t>UNASSIGNED</t>
        </is>
      </c>
      <c r="D208" t="inlineStr"/>
      <c r="E208" t="inlineStr"/>
      <c r="F208" t="inlineStr">
        <is>
          <t>General</t>
        </is>
      </c>
      <c r="G208" s="9" t="inlineStr">
        <is>
          <t>Desirable</t>
        </is>
      </c>
      <c r="H208" s="6" t="inlineStr">
        <is>
          <t>Medium</t>
        </is>
      </c>
      <c r="I208" t="inlineStr"/>
      <c r="J208" t="inlineStr">
        <is>
          <t>Not Started</t>
        </is>
      </c>
      <c r="K208" t="inlineStr"/>
      <c r="L208" t="inlineStr"/>
      <c r="M208" t="inlineStr"/>
      <c r="N208" t="inlineStr"/>
      <c r="O208" t="inlineStr"/>
      <c r="P208" t="inlineStr"/>
      <c r="Q208" t="inlineStr"/>
      <c r="R208" t="inlineStr"/>
      <c r="S208" t="inlineStr"/>
    </row>
    <row r="209">
      <c r="A209" t="inlineStr">
        <is>
          <t>REQ-00213</t>
        </is>
      </c>
      <c r="B209" s="13" t="inlineStr">
        <is>
          <t>252.204-7006 Billing Instructions-Cost Vouchers 2023-05 SEC G</t>
        </is>
      </c>
      <c r="C209" t="inlineStr">
        <is>
          <t>UNASSIGNED</t>
        </is>
      </c>
      <c r="D209" t="inlineStr"/>
      <c r="E209" t="inlineStr"/>
      <c r="F209" t="inlineStr">
        <is>
          <t>General</t>
        </is>
      </c>
      <c r="G209" s="9" t="inlineStr">
        <is>
          <t>Desirable</t>
        </is>
      </c>
      <c r="H209" s="6" t="inlineStr">
        <is>
          <t>Medium</t>
        </is>
      </c>
      <c r="I209" t="inlineStr"/>
      <c r="J209" t="inlineStr">
        <is>
          <t>Not Started</t>
        </is>
      </c>
      <c r="K209" t="inlineStr"/>
      <c r="L209" t="inlineStr"/>
      <c r="M209" t="inlineStr"/>
      <c r="N209" t="inlineStr"/>
      <c r="O209" t="inlineStr"/>
      <c r="P209" t="inlineStr"/>
      <c r="Q209" t="inlineStr"/>
      <c r="R209" t="inlineStr"/>
      <c r="S209" t="inlineStr"/>
    </row>
    <row r="210">
      <c r="A210" t="inlineStr">
        <is>
          <t>REQ-00214</t>
        </is>
      </c>
      <c r="B210" s="13" t="inlineStr">
        <is>
          <t>252.204-7008 Compliance with Safeguarding Covered Defense Information 
Controls. 2016-10 SEC K</t>
        </is>
      </c>
      <c r="C210" t="inlineStr">
        <is>
          <t>UNASSIGNED</t>
        </is>
      </c>
      <c r="D210" t="inlineStr"/>
      <c r="E210" t="inlineStr"/>
      <c r="F210" t="inlineStr">
        <is>
          <t>General</t>
        </is>
      </c>
      <c r="G210" s="9" t="inlineStr">
        <is>
          <t>Desirable</t>
        </is>
      </c>
      <c r="H210" s="6" t="inlineStr">
        <is>
          <t>Medium</t>
        </is>
      </c>
      <c r="I210" t="inlineStr"/>
      <c r="J210" t="inlineStr">
        <is>
          <t>Not Started</t>
        </is>
      </c>
      <c r="K210" t="inlineStr"/>
      <c r="L210" t="inlineStr"/>
      <c r="M210" t="inlineStr"/>
      <c r="N210" t="inlineStr"/>
      <c r="O210" t="inlineStr"/>
      <c r="P210" t="inlineStr"/>
      <c r="Q210" t="inlineStr"/>
      <c r="R210" t="inlineStr"/>
      <c r="S210" t="inlineStr"/>
    </row>
    <row r="211">
      <c r="A211" t="inlineStr">
        <is>
          <t>REQ-00215</t>
        </is>
      </c>
      <c r="B211" s="13" t="inlineStr">
        <is>
          <t>252.204-7012 Safeguarding Covered Defense Information and Cyber 
Incident Reporting. 2024-05 SEC I</t>
        </is>
      </c>
      <c r="C211" t="inlineStr">
        <is>
          <t>UNASSIGNED</t>
        </is>
      </c>
      <c r="D211" t="inlineStr"/>
      <c r="E211" t="inlineStr"/>
      <c r="F211" t="inlineStr">
        <is>
          <t>General</t>
        </is>
      </c>
      <c r="G211" s="9" t="inlineStr">
        <is>
          <t>Desirable</t>
        </is>
      </c>
      <c r="H211" s="6" t="inlineStr">
        <is>
          <t>Medium</t>
        </is>
      </c>
      <c r="I211" t="inlineStr"/>
      <c r="J211" t="inlineStr">
        <is>
          <t>Not Started</t>
        </is>
      </c>
      <c r="K211" t="inlineStr"/>
      <c r="L211" t="inlineStr"/>
      <c r="M211" t="inlineStr"/>
      <c r="N211" t="inlineStr"/>
      <c r="O211" t="inlineStr"/>
      <c r="P211" t="inlineStr"/>
      <c r="Q211" t="inlineStr"/>
      <c r="R211" t="inlineStr"/>
      <c r="S211" t="inlineStr"/>
    </row>
    <row r="212">
      <c r="A212" t="inlineStr">
        <is>
          <t>REQ-00216</t>
        </is>
      </c>
      <c r="B212" s="13" t="inlineStr">
        <is>
          <t>252.204-7015 Notice of Authorized Disclosure of Information for Litigation 
Support. 2023-01 SEC I</t>
        </is>
      </c>
      <c r="C212" t="inlineStr">
        <is>
          <t>UNASSIGNED</t>
        </is>
      </c>
      <c r="D212" t="inlineStr"/>
      <c r="E212" t="inlineStr"/>
      <c r="F212" t="inlineStr">
        <is>
          <t>General</t>
        </is>
      </c>
      <c r="G212" s="9" t="inlineStr">
        <is>
          <t>Desirable</t>
        </is>
      </c>
      <c r="H212" s="6" t="inlineStr">
        <is>
          <t>Medium</t>
        </is>
      </c>
      <c r="I212" t="inlineStr"/>
      <c r="J212" t="inlineStr">
        <is>
          <t>Not Started</t>
        </is>
      </c>
      <c r="K212" t="inlineStr"/>
      <c r="L212" t="inlineStr"/>
      <c r="M212" t="inlineStr"/>
      <c r="N212" t="inlineStr"/>
      <c r="O212" t="inlineStr"/>
      <c r="P212" t="inlineStr"/>
      <c r="Q212" t="inlineStr"/>
      <c r="R212" t="inlineStr"/>
      <c r="S212" t="inlineStr"/>
    </row>
    <row r="213">
      <c r="A213" t="inlineStr">
        <is>
          <t>REQ-00217</t>
        </is>
      </c>
      <c r="B213" s="13" t="inlineStr">
        <is>
          <t>252.204-7017 Prohibition on the Acquisition of Covered Defense 
Telecommunications Equipment or Services-Representation. 2021-05 SEC K</t>
        </is>
      </c>
      <c r="C213" t="inlineStr">
        <is>
          <t>K</t>
        </is>
      </c>
      <c r="D213" t="inlineStr"/>
      <c r="E213" t="inlineStr"/>
      <c r="F213" t="inlineStr">
        <is>
          <t>Representation</t>
        </is>
      </c>
      <c r="G213" s="9" t="inlineStr">
        <is>
          <t>Desirable</t>
        </is>
      </c>
      <c r="H213" s="6" t="inlineStr">
        <is>
          <t>Medium</t>
        </is>
      </c>
      <c r="I213" t="inlineStr"/>
      <c r="J213" t="inlineStr">
        <is>
          <t>Not Started</t>
        </is>
      </c>
      <c r="K213" t="inlineStr"/>
      <c r="L213" t="inlineStr"/>
      <c r="M213" t="inlineStr"/>
      <c r="N213" t="inlineStr"/>
      <c r="O213" t="inlineStr"/>
      <c r="P213" t="inlineStr"/>
      <c r="Q213" t="inlineStr"/>
      <c r="R213" t="inlineStr"/>
      <c r="S213" t="inlineStr"/>
    </row>
    <row r="214">
      <c r="A214" t="inlineStr">
        <is>
          <t>REQ-00218</t>
        </is>
      </c>
      <c r="B214" s="13" t="inlineStr">
        <is>
          <t>252.204-7018 Prohibition on the Acquisition of Covered Defense 
Telecommunications Equipment or Services. 2023-01 SEC I</t>
        </is>
      </c>
      <c r="C214" t="inlineStr">
        <is>
          <t>UNASSIGNED</t>
        </is>
      </c>
      <c r="D214" t="inlineStr"/>
      <c r="E214" t="inlineStr"/>
      <c r="F214" t="inlineStr">
        <is>
          <t>General</t>
        </is>
      </c>
      <c r="G214" s="9" t="inlineStr">
        <is>
          <t>Desirable</t>
        </is>
      </c>
      <c r="H214" s="6" t="inlineStr">
        <is>
          <t>Medium</t>
        </is>
      </c>
      <c r="I214" t="inlineStr"/>
      <c r="J214" t="inlineStr">
        <is>
          <t>Not Started</t>
        </is>
      </c>
      <c r="K214" t="inlineStr"/>
      <c r="L214" t="inlineStr"/>
      <c r="M214" t="inlineStr"/>
      <c r="N214" t="inlineStr"/>
      <c r="O214" t="inlineStr"/>
      <c r="P214" t="inlineStr"/>
      <c r="Q214" t="inlineStr"/>
      <c r="R214" t="inlineStr"/>
      <c r="S214" t="inlineStr"/>
    </row>
    <row r="215">
      <c r="A215" t="inlineStr">
        <is>
          <t>REQ-00219</t>
        </is>
      </c>
      <c r="B215" s="13" t="inlineStr">
        <is>
          <t>252.204-7019 Notice of NIST SP 800-171 DoD Assessment Requirements. 2023-11 SEC L</t>
        </is>
      </c>
      <c r="C215" t="inlineStr">
        <is>
          <t>UNASSIGNED</t>
        </is>
      </c>
      <c r="D215" t="inlineStr"/>
      <c r="E215" t="inlineStr"/>
      <c r="F215" t="inlineStr">
        <is>
          <t>General</t>
        </is>
      </c>
      <c r="G215" s="9" t="inlineStr">
        <is>
          <t>Desirable</t>
        </is>
      </c>
      <c r="H215" s="6" t="inlineStr">
        <is>
          <t>Medium</t>
        </is>
      </c>
      <c r="I215" t="inlineStr"/>
      <c r="J215" t="inlineStr">
        <is>
          <t>Not Started</t>
        </is>
      </c>
      <c r="K215" t="inlineStr"/>
      <c r="L215" t="inlineStr"/>
      <c r="M215" t="inlineStr"/>
      <c r="N215" t="inlineStr"/>
      <c r="O215" t="inlineStr"/>
      <c r="P215" t="inlineStr"/>
      <c r="Q215" t="inlineStr"/>
      <c r="R215" t="inlineStr"/>
      <c r="S215" t="inlineStr"/>
    </row>
    <row r="216">
      <c r="A216" t="inlineStr">
        <is>
          <t>REQ-00220</t>
        </is>
      </c>
      <c r="B216" s="13" t="inlineStr">
        <is>
          <t>252.204-7020 NIST SP 800-171 DoD Assessment Requirements. 2023-11 SEC I</t>
        </is>
      </c>
      <c r="C216" t="inlineStr">
        <is>
          <t>UNASSIGNED</t>
        </is>
      </c>
      <c r="D216" t="inlineStr"/>
      <c r="E216" t="inlineStr"/>
      <c r="F216" t="inlineStr">
        <is>
          <t>General</t>
        </is>
      </c>
      <c r="G216" s="9" t="inlineStr">
        <is>
          <t>Desirable</t>
        </is>
      </c>
      <c r="H216" s="6" t="inlineStr">
        <is>
          <t>Medium</t>
        </is>
      </c>
      <c r="I216" t="inlineStr"/>
      <c r="J216" t="inlineStr">
        <is>
          <t>Not Started</t>
        </is>
      </c>
      <c r="K216" t="inlineStr"/>
      <c r="L216" t="inlineStr"/>
      <c r="M216" t="inlineStr"/>
      <c r="N216" t="inlineStr"/>
      <c r="O216" t="inlineStr"/>
      <c r="P216" t="inlineStr"/>
      <c r="Q216" t="inlineStr"/>
      <c r="R216" t="inlineStr"/>
      <c r="S216" t="inlineStr"/>
    </row>
    <row r="217">
      <c r="A217" t="inlineStr">
        <is>
          <t>REQ-00221</t>
        </is>
      </c>
      <c r="B217" s="13" t="inlineStr">
        <is>
          <t>252.204-7024 Notice on the Use of the Supplier Performance Risk System. 2023-03 SEC L</t>
        </is>
      </c>
      <c r="C217" t="inlineStr">
        <is>
          <t>UNASSIGNED</t>
        </is>
      </c>
      <c r="D217" t="inlineStr"/>
      <c r="E217" t="inlineStr"/>
      <c r="F217" t="inlineStr">
        <is>
          <t>General</t>
        </is>
      </c>
      <c r="G217" s="9" t="inlineStr">
        <is>
          <t>Desirable</t>
        </is>
      </c>
      <c r="H217" s="6" t="inlineStr">
        <is>
          <t>Medium</t>
        </is>
      </c>
      <c r="I217" t="inlineStr"/>
      <c r="J217" t="inlineStr">
        <is>
          <t>Not Started</t>
        </is>
      </c>
      <c r="K217" t="inlineStr"/>
      <c r="L217" t="inlineStr"/>
      <c r="M217" t="inlineStr"/>
      <c r="N217" t="inlineStr"/>
      <c r="O217" t="inlineStr"/>
      <c r="P217" t="inlineStr"/>
      <c r="Q217" t="inlineStr"/>
      <c r="R217" t="inlineStr"/>
      <c r="S217" t="inlineStr"/>
    </row>
    <row r="218">
      <c r="A218" t="inlineStr">
        <is>
          <t>REQ-00222</t>
        </is>
      </c>
      <c r="B218" s="13" t="inlineStr">
        <is>
          <t>252.205-7000 Provision of Information to Cooperative Agreement Holders. 2023-06 SEC I</t>
        </is>
      </c>
      <c r="C218" t="inlineStr">
        <is>
          <t>UNASSIGNED</t>
        </is>
      </c>
      <c r="D218" t="inlineStr"/>
      <c r="E218" t="inlineStr"/>
      <c r="F218" t="inlineStr">
        <is>
          <t>General</t>
        </is>
      </c>
      <c r="G218" s="9" t="inlineStr">
        <is>
          <t>Desirable</t>
        </is>
      </c>
      <c r="H218" s="6" t="inlineStr">
        <is>
          <t>Medium</t>
        </is>
      </c>
      <c r="I218" t="inlineStr"/>
      <c r="J218" t="inlineStr">
        <is>
          <t>Not Started</t>
        </is>
      </c>
      <c r="K218" t="inlineStr"/>
      <c r="L218" t="inlineStr"/>
      <c r="M218" t="inlineStr"/>
      <c r="N218" t="inlineStr"/>
      <c r="O218" t="inlineStr"/>
      <c r="P218" t="inlineStr"/>
      <c r="Q218" t="inlineStr"/>
      <c r="R218" t="inlineStr"/>
      <c r="S218" t="inlineStr"/>
    </row>
    <row r="219">
      <c r="A219" t="inlineStr">
        <is>
          <t>REQ-00223</t>
        </is>
      </c>
      <c r="B219" s="13" t="inlineStr">
        <is>
          <t>252.215-7016 Notification to Offerors-Postaward Debriefings. 2022-12 SEC L</t>
        </is>
      </c>
      <c r="C219" t="inlineStr">
        <is>
          <t>UNASSIGNED</t>
        </is>
      </c>
      <c r="D219" t="inlineStr"/>
      <c r="E219" t="inlineStr"/>
      <c r="F219" t="inlineStr">
        <is>
          <t>General</t>
        </is>
      </c>
      <c r="G219" s="9" t="inlineStr">
        <is>
          <t>Desirable</t>
        </is>
      </c>
      <c r="H219" s="6" t="inlineStr">
        <is>
          <t>Medium</t>
        </is>
      </c>
      <c r="I219" t="inlineStr"/>
      <c r="J219" t="inlineStr">
        <is>
          <t>Not Started</t>
        </is>
      </c>
      <c r="K219" t="inlineStr"/>
      <c r="L219" t="inlineStr"/>
      <c r="M219" t="inlineStr"/>
      <c r="N219" t="inlineStr"/>
      <c r="O219" t="inlineStr"/>
      <c r="P219" t="inlineStr"/>
      <c r="Q219" t="inlineStr"/>
      <c r="R219" t="inlineStr"/>
      <c r="S219" t="inlineStr"/>
    </row>
    <row r="220">
      <c r="A220" t="inlineStr">
        <is>
          <t>REQ-00224</t>
        </is>
      </c>
      <c r="B220" s="13" t="inlineStr">
        <is>
          <t>252.219-7000 Advancing Small Business Growth. 2023-06 SEC K</t>
        </is>
      </c>
      <c r="C220" t="inlineStr">
        <is>
          <t>K</t>
        </is>
      </c>
      <c r="D220" t="inlineStr"/>
      <c r="E220" t="inlineStr"/>
      <c r="F220" t="inlineStr">
        <is>
          <t>Representation</t>
        </is>
      </c>
      <c r="G220" s="9" t="inlineStr">
        <is>
          <t>Desirable</t>
        </is>
      </c>
      <c r="H220" s="6" t="inlineStr">
        <is>
          <t>Medium</t>
        </is>
      </c>
      <c r="I220" t="inlineStr"/>
      <c r="J220" t="inlineStr">
        <is>
          <t>Not Started</t>
        </is>
      </c>
      <c r="K220" t="inlineStr"/>
      <c r="L220" t="inlineStr"/>
      <c r="M220" t="inlineStr"/>
      <c r="N220" t="inlineStr"/>
      <c r="O220" t="inlineStr"/>
      <c r="P220" t="inlineStr"/>
      <c r="Q220" t="inlineStr"/>
      <c r="R220" t="inlineStr"/>
      <c r="S220" t="inlineStr"/>
    </row>
    <row r="221">
      <c r="A221" t="inlineStr">
        <is>
          <t>REQ-00225</t>
        </is>
      </c>
      <c r="B221" s="13" t="inlineStr">
        <is>
          <t>252.223-7008 Prohibition of Hexavalent Chromium. 2023-01 SEC I</t>
        </is>
      </c>
      <c r="C221" t="inlineStr">
        <is>
          <t>UNASSIGNED</t>
        </is>
      </c>
      <c r="D221" t="inlineStr"/>
      <c r="E221" t="inlineStr"/>
      <c r="F221" t="inlineStr">
        <is>
          <t>General</t>
        </is>
      </c>
      <c r="G221" s="9" t="inlineStr">
        <is>
          <t>Desirable</t>
        </is>
      </c>
      <c r="H221" s="6" t="inlineStr">
        <is>
          <t>Medium</t>
        </is>
      </c>
      <c r="I221" t="inlineStr"/>
      <c r="J221" t="inlineStr">
        <is>
          <t>Not Started</t>
        </is>
      </c>
      <c r="K221" t="inlineStr"/>
      <c r="L221" t="inlineStr"/>
      <c r="M221" t="inlineStr"/>
      <c r="N221" t="inlineStr"/>
      <c r="O221" t="inlineStr"/>
      <c r="P221" t="inlineStr"/>
      <c r="Q221" t="inlineStr"/>
      <c r="R221" t="inlineStr"/>
      <c r="S221" t="inlineStr"/>
    </row>
    <row r="222">
      <c r="A222" t="inlineStr">
        <is>
          <t>REQ-00226</t>
        </is>
      </c>
      <c r="B222" s="13" t="inlineStr">
        <is>
          <t>252.225-7000 Buy American--Balance of Payments Program Certificate. 2024-02 SEC K</t>
        </is>
      </c>
      <c r="C222" t="inlineStr">
        <is>
          <t>UNASSIGNED</t>
        </is>
      </c>
      <c r="D222" t="inlineStr"/>
      <c r="E222" t="inlineStr"/>
      <c r="F222" t="inlineStr">
        <is>
          <t>General</t>
        </is>
      </c>
      <c r="G222" s="9" t="inlineStr">
        <is>
          <t>Desirable</t>
        </is>
      </c>
      <c r="H222" s="6" t="inlineStr">
        <is>
          <t>Medium</t>
        </is>
      </c>
      <c r="I222" t="inlineStr"/>
      <c r="J222" t="inlineStr">
        <is>
          <t>Not Started</t>
        </is>
      </c>
      <c r="K222" t="inlineStr"/>
      <c r="L222" t="inlineStr"/>
      <c r="M222" t="inlineStr"/>
      <c r="N222" t="inlineStr"/>
      <c r="O222" t="inlineStr"/>
      <c r="P222" t="inlineStr"/>
      <c r="Q222" t="inlineStr"/>
      <c r="R222" t="inlineStr"/>
      <c r="S222" t="inlineStr"/>
    </row>
    <row r="223">
      <c r="A223" t="inlineStr">
        <is>
          <t>REQ-00227</t>
        </is>
      </c>
      <c r="B223" s="13" t="inlineStr">
        <is>
          <t>252.225-7001 Buy American and Balance of Payments Program. 2024-02 SEC I</t>
        </is>
      </c>
      <c r="C223" t="inlineStr">
        <is>
          <t>UNASSIGNED</t>
        </is>
      </c>
      <c r="D223" t="inlineStr"/>
      <c r="E223" t="inlineStr"/>
      <c r="F223" t="inlineStr">
        <is>
          <t>General</t>
        </is>
      </c>
      <c r="G223" s="9" t="inlineStr">
        <is>
          <t>Desirable</t>
        </is>
      </c>
      <c r="H223" s="6" t="inlineStr">
        <is>
          <t>Medium</t>
        </is>
      </c>
      <c r="I223" t="inlineStr"/>
      <c r="J223" t="inlineStr">
        <is>
          <t>Not Started</t>
        </is>
      </c>
      <c r="K223" t="inlineStr"/>
      <c r="L223" t="inlineStr"/>
      <c r="M223" t="inlineStr"/>
      <c r="N223" t="inlineStr"/>
      <c r="O223" t="inlineStr"/>
      <c r="P223" t="inlineStr"/>
      <c r="Q223" t="inlineStr"/>
      <c r="R223" t="inlineStr"/>
      <c r="S223" t="inlineStr"/>
    </row>
    <row r="224">
      <c r="A224" t="inlineStr">
        <is>
          <t>REQ-00228</t>
        </is>
      </c>
      <c r="B224" s="13" t="inlineStr">
        <is>
          <t>252.225-7002 Qualifying Country Sources as Subcontractors. 2022-03 SEC I</t>
        </is>
      </c>
      <c r="C224" t="inlineStr">
        <is>
          <t>UNASSIGNED</t>
        </is>
      </c>
      <c r="D224" t="inlineStr"/>
      <c r="E224" t="inlineStr"/>
      <c r="F224" t="inlineStr">
        <is>
          <t>General</t>
        </is>
      </c>
      <c r="G224" s="9" t="inlineStr">
        <is>
          <t>Desirable</t>
        </is>
      </c>
      <c r="H224" s="6" t="inlineStr">
        <is>
          <t>Medium</t>
        </is>
      </c>
      <c r="I224" t="inlineStr"/>
      <c r="J224" t="inlineStr">
        <is>
          <t>Not Started</t>
        </is>
      </c>
      <c r="K224" t="inlineStr"/>
      <c r="L224" t="inlineStr"/>
      <c r="M224" t="inlineStr"/>
      <c r="N224" t="inlineStr"/>
      <c r="O224" t="inlineStr"/>
      <c r="P224" t="inlineStr"/>
      <c r="Q224" t="inlineStr"/>
      <c r="R224" t="inlineStr"/>
      <c r="S224" t="inlineStr"/>
    </row>
    <row r="225">
      <c r="A225" t="inlineStr">
        <is>
          <t>REQ-00229</t>
        </is>
      </c>
      <c r="B225" s="13" t="inlineStr">
        <is>
          <t>252.225-7012 Preference for Certain Domestic Commodities. 2022-04 SEC I</t>
        </is>
      </c>
      <c r="C225" t="inlineStr">
        <is>
          <t>UNASSIGNED</t>
        </is>
      </c>
      <c r="D225" t="inlineStr"/>
      <c r="E225" t="inlineStr"/>
      <c r="F225" t="inlineStr">
        <is>
          <t>General</t>
        </is>
      </c>
      <c r="G225" s="9" t="inlineStr">
        <is>
          <t>Desirable</t>
        </is>
      </c>
      <c r="H225" s="6" t="inlineStr">
        <is>
          <t>Medium</t>
        </is>
      </c>
      <c r="I225" t="inlineStr"/>
      <c r="J225" t="inlineStr">
        <is>
          <t>Not Started</t>
        </is>
      </c>
      <c r="K225" t="inlineStr"/>
      <c r="L225" t="inlineStr"/>
      <c r="M225" t="inlineStr"/>
      <c r="N225" t="inlineStr"/>
      <c r="O225" t="inlineStr"/>
      <c r="P225" t="inlineStr"/>
      <c r="Q225" t="inlineStr"/>
      <c r="R225" t="inlineStr"/>
      <c r="S225" t="inlineStr"/>
    </row>
    <row r="226">
      <c r="A226" t="inlineStr">
        <is>
          <t>REQ-00230</t>
        </is>
      </c>
      <c r="B226" s="13" t="inlineStr">
        <is>
          <t>252.225-7055 Representation Regarding Business Operations with the 
Maduro Regime. 2022-05 SEC K</t>
        </is>
      </c>
      <c r="C226" t="inlineStr">
        <is>
          <t>K</t>
        </is>
      </c>
      <c r="D226" t="inlineStr"/>
      <c r="E226" t="inlineStr"/>
      <c r="F226" t="inlineStr">
        <is>
          <t>Representation</t>
        </is>
      </c>
      <c r="G226" s="9" t="inlineStr">
        <is>
          <t>Desirable</t>
        </is>
      </c>
      <c r="H226" s="6" t="inlineStr">
        <is>
          <t>Medium</t>
        </is>
      </c>
      <c r="I226" t="inlineStr"/>
      <c r="J226" t="inlineStr">
        <is>
          <t>Not Started</t>
        </is>
      </c>
      <c r="K226" t="inlineStr"/>
      <c r="L226" t="inlineStr"/>
      <c r="M226" t="inlineStr"/>
      <c r="N226" t="inlineStr"/>
      <c r="O226" t="inlineStr"/>
      <c r="P226" t="inlineStr"/>
      <c r="Q226" t="inlineStr"/>
      <c r="R226" t="inlineStr"/>
      <c r="S226" t="inlineStr"/>
    </row>
    <row r="227">
      <c r="A227" t="inlineStr">
        <is>
          <t>REQ-00231</t>
        </is>
      </c>
      <c r="B227" s="13" t="inlineStr">
        <is>
          <t>252.225-7056 Prohibition Regarding Business Operations with the Maduro 
Regime. 2023-01 SEC I</t>
        </is>
      </c>
      <c r="C227" t="inlineStr">
        <is>
          <t>UNASSIGNED</t>
        </is>
      </c>
      <c r="D227" t="inlineStr"/>
      <c r="E227" t="inlineStr"/>
      <c r="F227" t="inlineStr">
        <is>
          <t>General</t>
        </is>
      </c>
      <c r="G227" s="9" t="inlineStr">
        <is>
          <t>Desirable</t>
        </is>
      </c>
      <c r="H227" s="6" t="inlineStr">
        <is>
          <t>Medium</t>
        </is>
      </c>
      <c r="I227" t="inlineStr"/>
      <c r="J227" t="inlineStr">
        <is>
          <t>Not Started</t>
        </is>
      </c>
      <c r="K227" t="inlineStr"/>
      <c r="L227" t="inlineStr"/>
      <c r="M227" t="inlineStr"/>
      <c r="N227" t="inlineStr"/>
      <c r="O227" t="inlineStr"/>
      <c r="P227" t="inlineStr"/>
      <c r="Q227" t="inlineStr"/>
      <c r="R227" t="inlineStr"/>
      <c r="S227" t="inlineStr"/>
    </row>
    <row r="228">
      <c r="A228" t="inlineStr">
        <is>
          <t>REQ-00232</t>
        </is>
      </c>
      <c r="B228" s="13" t="inlineStr">
        <is>
          <t>252.225-7059 Prohibition on Certain Procurements from the Xinjiang 
Uyghur Autonomous Region-Representation. 2023-06 SEC K</t>
        </is>
      </c>
      <c r="C228" t="inlineStr">
        <is>
          <t>K</t>
        </is>
      </c>
      <c r="D228" t="inlineStr"/>
      <c r="E228" t="inlineStr"/>
      <c r="F228" t="inlineStr">
        <is>
          <t>Representation</t>
        </is>
      </c>
      <c r="G228" s="9" t="inlineStr">
        <is>
          <t>Desirable</t>
        </is>
      </c>
      <c r="H228" s="6" t="inlineStr">
        <is>
          <t>Medium</t>
        </is>
      </c>
      <c r="I228" t="inlineStr"/>
      <c r="J228" t="inlineStr">
        <is>
          <t>Not Started</t>
        </is>
      </c>
      <c r="K228" t="inlineStr"/>
      <c r="L228" t="inlineStr"/>
      <c r="M228" t="inlineStr"/>
      <c r="N228" t="inlineStr"/>
      <c r="O228" t="inlineStr"/>
      <c r="P228" t="inlineStr"/>
      <c r="Q228" t="inlineStr"/>
      <c r="R228" t="inlineStr"/>
      <c r="S228" t="inlineStr"/>
    </row>
    <row r="229">
      <c r="A229" t="inlineStr">
        <is>
          <t>REQ-00233</t>
        </is>
      </c>
      <c r="B229" s="13" t="inlineStr">
        <is>
          <t>252.225-7060 Prohibition on Certain Procurements from the Xinjiang 
Uyghur Autonomous Region. 2023-06 SEC I</t>
        </is>
      </c>
      <c r="C229" t="inlineStr">
        <is>
          <t>UNASSIGNED</t>
        </is>
      </c>
      <c r="D229" t="inlineStr"/>
      <c r="E229" t="inlineStr"/>
      <c r="F229" t="inlineStr">
        <is>
          <t>General</t>
        </is>
      </c>
      <c r="G229" s="9" t="inlineStr">
        <is>
          <t>Desirable</t>
        </is>
      </c>
      <c r="H229" s="6" t="inlineStr">
        <is>
          <t>Medium</t>
        </is>
      </c>
      <c r="I229" t="inlineStr"/>
      <c r="J229" t="inlineStr">
        <is>
          <t>Not Started</t>
        </is>
      </c>
      <c r="K229" t="inlineStr"/>
      <c r="L229" t="inlineStr"/>
      <c r="M229" t="inlineStr"/>
      <c r="N229" t="inlineStr"/>
      <c r="O229" t="inlineStr"/>
      <c r="P229" t="inlineStr"/>
      <c r="Q229" t="inlineStr"/>
      <c r="R229" t="inlineStr"/>
      <c r="S229" t="inlineStr"/>
    </row>
    <row r="230">
      <c r="A230" t="inlineStr">
        <is>
          <t>REQ-00234</t>
        </is>
      </c>
      <c r="B230" s="13" t="inlineStr">
        <is>
          <t>252.226-7001 Utilization of Indian Organizations, Indian-Owned Economic 
Enterprises, and Native Hawaiian Small Business Concerns. 2023-01 SEC I</t>
        </is>
      </c>
      <c r="C230" t="inlineStr">
        <is>
          <t>K</t>
        </is>
      </c>
      <c r="D230" t="inlineStr"/>
      <c r="E230" t="inlineStr"/>
      <c r="F230" t="inlineStr">
        <is>
          <t>Representation</t>
        </is>
      </c>
      <c r="G230" s="9" t="inlineStr">
        <is>
          <t>Desirable</t>
        </is>
      </c>
      <c r="H230" s="6" t="inlineStr">
        <is>
          <t>Medium</t>
        </is>
      </c>
      <c r="I230" t="inlineStr"/>
      <c r="J230" t="inlineStr">
        <is>
          <t>Not Started</t>
        </is>
      </c>
      <c r="K230" t="inlineStr"/>
      <c r="L230" t="inlineStr"/>
      <c r="M230" t="inlineStr"/>
      <c r="N230" t="inlineStr"/>
      <c r="O230" t="inlineStr"/>
      <c r="P230" t="inlineStr"/>
      <c r="Q230" t="inlineStr"/>
      <c r="R230" t="inlineStr"/>
      <c r="S230" t="inlineStr"/>
    </row>
    <row r="231">
      <c r="A231" t="inlineStr">
        <is>
          <t>REQ-00235</t>
        </is>
      </c>
      <c r="B231" s="13" t="inlineStr">
        <is>
          <t>252.231-7000 Supplemental Cost Principles 1991-12 SEC G</t>
        </is>
      </c>
      <c r="C231" t="inlineStr">
        <is>
          <t>UNASSIGNED</t>
        </is>
      </c>
      <c r="D231" t="inlineStr"/>
      <c r="E231" t="inlineStr"/>
      <c r="F231" t="inlineStr">
        <is>
          <t>General</t>
        </is>
      </c>
      <c r="G231" s="9" t="inlineStr">
        <is>
          <t>Desirable</t>
        </is>
      </c>
      <c r="H231" s="6" t="inlineStr">
        <is>
          <t>Medium</t>
        </is>
      </c>
      <c r="I231" t="inlineStr"/>
      <c r="J231" t="inlineStr">
        <is>
          <t>Not Started</t>
        </is>
      </c>
      <c r="K231" t="inlineStr"/>
      <c r="L231" t="inlineStr"/>
      <c r="M231" t="inlineStr"/>
      <c r="N231" t="inlineStr"/>
      <c r="O231" t="inlineStr"/>
      <c r="P231" t="inlineStr"/>
      <c r="Q231" t="inlineStr"/>
      <c r="R231" t="inlineStr"/>
      <c r="S231" t="inlineStr"/>
    </row>
    <row r="232">
      <c r="A232" t="inlineStr">
        <is>
          <t>REQ-00236</t>
        </is>
      </c>
      <c r="B232" s="13" t="inlineStr">
        <is>
          <t>252.232-7003 Electronic Submission of Payment Requests and Receiving 
Reports. 2018-12 SEC G</t>
        </is>
      </c>
      <c r="C232" t="inlineStr">
        <is>
          <t>UNASSIGNED</t>
        </is>
      </c>
      <c r="D232" t="inlineStr"/>
      <c r="E232" t="inlineStr"/>
      <c r="F232" t="inlineStr">
        <is>
          <t>General</t>
        </is>
      </c>
      <c r="G232" s="9" t="inlineStr">
        <is>
          <t>Desirable</t>
        </is>
      </c>
      <c r="H232" s="6" t="inlineStr">
        <is>
          <t>Medium</t>
        </is>
      </c>
      <c r="I232" t="inlineStr"/>
      <c r="J232" t="inlineStr">
        <is>
          <t>Not Started</t>
        </is>
      </c>
      <c r="K232" t="inlineStr"/>
      <c r="L232" t="inlineStr"/>
      <c r="M232" t="inlineStr"/>
      <c r="N232" t="inlineStr"/>
      <c r="O232" t="inlineStr"/>
      <c r="P232" t="inlineStr"/>
      <c r="Q232" t="inlineStr"/>
      <c r="R232" t="inlineStr"/>
      <c r="S232" t="inlineStr"/>
    </row>
    <row r="233">
      <c r="A233" t="inlineStr">
        <is>
          <t>REQ-00237</t>
        </is>
      </c>
      <c r="B233" s="13" t="inlineStr">
        <is>
          <t>252.232-7010 Levies on Contract Payments. 2006-12 SEC I</t>
        </is>
      </c>
      <c r="C233" t="inlineStr">
        <is>
          <t>UNASSIGNED</t>
        </is>
      </c>
      <c r="D233" t="inlineStr"/>
      <c r="E233" t="inlineStr"/>
      <c r="F233" t="inlineStr">
        <is>
          <t>General</t>
        </is>
      </c>
      <c r="G233" s="9" t="inlineStr">
        <is>
          <t>Desirable</t>
        </is>
      </c>
      <c r="H233" s="6" t="inlineStr">
        <is>
          <t>Medium</t>
        </is>
      </c>
      <c r="I233" t="inlineStr"/>
      <c r="J233" t="inlineStr">
        <is>
          <t>Not Started</t>
        </is>
      </c>
      <c r="K233" t="inlineStr"/>
      <c r="L233" t="inlineStr"/>
      <c r="M233" t="inlineStr"/>
      <c r="N233" t="inlineStr"/>
      <c r="O233" t="inlineStr"/>
      <c r="P233" t="inlineStr"/>
      <c r="Q233" t="inlineStr"/>
      <c r="R233" t="inlineStr"/>
      <c r="S233" t="inlineStr"/>
    </row>
    <row r="234">
      <c r="A234" t="inlineStr">
        <is>
          <t>REQ-00238</t>
        </is>
      </c>
      <c r="B234" s="13" t="inlineStr">
        <is>
          <t>252.239-7001 Information Assurance Contractor Training and Certification. 2008-01 SEC I</t>
        </is>
      </c>
      <c r="C234" t="inlineStr">
        <is>
          <t>K</t>
        </is>
      </c>
      <c r="D234" t="inlineStr"/>
      <c r="E234" t="inlineStr"/>
      <c r="F234" t="inlineStr">
        <is>
          <t>Representation</t>
        </is>
      </c>
      <c r="G234" s="9" t="inlineStr">
        <is>
          <t>Desirable</t>
        </is>
      </c>
      <c r="H234" s="6" t="inlineStr">
        <is>
          <t>Medium</t>
        </is>
      </c>
      <c r="I234" t="inlineStr"/>
      <c r="J234" t="inlineStr">
        <is>
          <t>Not Started</t>
        </is>
      </c>
      <c r="K234" t="inlineStr"/>
      <c r="L234" t="inlineStr"/>
      <c r="M234" t="inlineStr"/>
      <c r="N234" t="inlineStr"/>
      <c r="O234" t="inlineStr"/>
      <c r="P234" t="inlineStr"/>
      <c r="Q234" t="inlineStr"/>
      <c r="R234" t="inlineStr"/>
      <c r="S234" t="inlineStr"/>
    </row>
    <row r="235">
      <c r="A235" t="inlineStr">
        <is>
          <t>REQ-00239</t>
        </is>
      </c>
      <c r="B235" s="13" t="inlineStr">
        <is>
          <t>252.239-7017 Notice of Supply Chain Risk. 2022-12 SEC L</t>
        </is>
      </c>
      <c r="C235" t="inlineStr">
        <is>
          <t>UNASSIGNED</t>
        </is>
      </c>
      <c r="D235" t="inlineStr"/>
      <c r="E235" t="inlineStr"/>
      <c r="F235" t="inlineStr">
        <is>
          <t>General</t>
        </is>
      </c>
      <c r="G235" s="9" t="inlineStr">
        <is>
          <t>Desirable</t>
        </is>
      </c>
      <c r="H235" s="6" t="inlineStr">
        <is>
          <t>Medium</t>
        </is>
      </c>
      <c r="I235" t="inlineStr"/>
      <c r="J235" t="inlineStr">
        <is>
          <t>Not Started</t>
        </is>
      </c>
      <c r="K235" t="inlineStr"/>
      <c r="L235" t="inlineStr"/>
      <c r="M235" t="inlineStr"/>
      <c r="N235" t="inlineStr"/>
      <c r="O235" t="inlineStr"/>
      <c r="P235" t="inlineStr"/>
      <c r="Q235" t="inlineStr"/>
      <c r="R235" t="inlineStr"/>
      <c r="S235" t="inlineStr"/>
    </row>
    <row r="236">
      <c r="A236" t="inlineStr">
        <is>
          <t>REQ-00240</t>
        </is>
      </c>
      <c r="B236" s="13" t="inlineStr">
        <is>
          <t>252.239-7018 Supply Chain Risk. 2022-12 SEC I</t>
        </is>
      </c>
      <c r="C236" t="inlineStr">
        <is>
          <t>UNASSIGNED</t>
        </is>
      </c>
      <c r="D236" t="inlineStr"/>
      <c r="E236" t="inlineStr"/>
      <c r="F236" t="inlineStr">
        <is>
          <t>General</t>
        </is>
      </c>
      <c r="G236" s="9" t="inlineStr">
        <is>
          <t>Desirable</t>
        </is>
      </c>
      <c r="H236" s="6" t="inlineStr">
        <is>
          <t>Medium</t>
        </is>
      </c>
      <c r="I236" t="inlineStr"/>
      <c r="J236" t="inlineStr">
        <is>
          <t>Not Started</t>
        </is>
      </c>
      <c r="K236" t="inlineStr"/>
      <c r="L236" t="inlineStr"/>
      <c r="M236" t="inlineStr"/>
      <c r="N236" t="inlineStr"/>
      <c r="O236" t="inlineStr"/>
      <c r="P236" t="inlineStr"/>
      <c r="Q236" t="inlineStr"/>
      <c r="R236" t="inlineStr"/>
      <c r="S236" t="inlineStr"/>
    </row>
    <row r="237">
      <c r="A237" t="inlineStr">
        <is>
          <t>REQ-00241</t>
        </is>
      </c>
      <c r="B237" s="13" t="inlineStr">
        <is>
          <t>252.242-7005 Contractor Business Systems. 2012-02 SEC I</t>
        </is>
      </c>
      <c r="C237" t="inlineStr">
        <is>
          <t>UNASSIGNED</t>
        </is>
      </c>
      <c r="D237" t="inlineStr"/>
      <c r="E237" t="inlineStr"/>
      <c r="F237" t="inlineStr">
        <is>
          <t>General</t>
        </is>
      </c>
      <c r="G237" s="9" t="inlineStr">
        <is>
          <t>Desirable</t>
        </is>
      </c>
      <c r="H237" s="6" t="inlineStr">
        <is>
          <t>Medium</t>
        </is>
      </c>
      <c r="I237" t="inlineStr"/>
      <c r="J237" t="inlineStr">
        <is>
          <t>Not Started</t>
        </is>
      </c>
      <c r="K237" t="inlineStr"/>
      <c r="L237" t="inlineStr"/>
      <c r="M237" t="inlineStr"/>
      <c r="N237" t="inlineStr"/>
      <c r="O237" t="inlineStr"/>
      <c r="P237" t="inlineStr"/>
      <c r="Q237" t="inlineStr"/>
      <c r="R237" t="inlineStr"/>
      <c r="S237" t="inlineStr"/>
    </row>
    <row r="238">
      <c r="A238" t="inlineStr">
        <is>
          <t>REQ-00242</t>
        </is>
      </c>
      <c r="B238" s="13" t="inlineStr">
        <is>
          <t>252.242-7006 Accounting System Administration. 2012-02 SEC I</t>
        </is>
      </c>
      <c r="C238" t="inlineStr">
        <is>
          <t>UNASSIGNED</t>
        </is>
      </c>
      <c r="D238" t="inlineStr"/>
      <c r="E238" t="inlineStr"/>
      <c r="F238" t="inlineStr">
        <is>
          <t>General</t>
        </is>
      </c>
      <c r="G238" s="9" t="inlineStr">
        <is>
          <t>Desirable</t>
        </is>
      </c>
      <c r="H238" s="6" t="inlineStr">
        <is>
          <t>Medium</t>
        </is>
      </c>
      <c r="I238" t="inlineStr"/>
      <c r="J238" t="inlineStr">
        <is>
          <t>Not Started</t>
        </is>
      </c>
      <c r="K238" t="inlineStr"/>
      <c r="L238" t="inlineStr"/>
      <c r="M238" t="inlineStr"/>
      <c r="N238" t="inlineStr"/>
      <c r="O238" t="inlineStr"/>
      <c r="P238" t="inlineStr"/>
      <c r="Q238" t="inlineStr"/>
      <c r="R238" t="inlineStr"/>
      <c r="S238" t="inlineStr"/>
    </row>
    <row r="239">
      <c r="A239" t="inlineStr">
        <is>
          <t>REQ-00243</t>
        </is>
      </c>
      <c r="B239" s="13" t="inlineStr">
        <is>
          <t>252.243-7002 Requests for Equitable Adjustment. 2022-12 SEC I
DRAFT</t>
        </is>
      </c>
      <c r="C239" t="inlineStr">
        <is>
          <t>UNASSIGNED</t>
        </is>
      </c>
      <c r="D239" t="inlineStr"/>
      <c r="E239" t="inlineStr"/>
      <c r="F239" t="inlineStr">
        <is>
          <t>General</t>
        </is>
      </c>
      <c r="G239" s="9" t="inlineStr">
        <is>
          <t>Desirable</t>
        </is>
      </c>
      <c r="H239" s="6" t="inlineStr">
        <is>
          <t>Medium</t>
        </is>
      </c>
      <c r="I239" t="inlineStr"/>
      <c r="J239" t="inlineStr">
        <is>
          <t>Not Started</t>
        </is>
      </c>
      <c r="K239" t="inlineStr"/>
      <c r="L239" t="inlineStr"/>
      <c r="M239" t="inlineStr"/>
      <c r="N239" t="inlineStr"/>
      <c r="O239" t="inlineStr"/>
      <c r="P239" t="inlineStr"/>
      <c r="Q239" t="inlineStr"/>
      <c r="R239" t="inlineStr"/>
      <c r="S239" t="inlineStr"/>
    </row>
    <row r="240">
      <c r="A240" t="inlineStr">
        <is>
          <t>REQ-00244</t>
        </is>
      </c>
      <c r="B240" s="13" t="inlineStr">
        <is>
          <t>252.244-7000 Subcontracts for Commercial Products or Commercial 
Services.
2023-11 SEC I</t>
        </is>
      </c>
      <c r="C240" t="inlineStr">
        <is>
          <t>UNASSIGNED</t>
        </is>
      </c>
      <c r="D240" t="inlineStr"/>
      <c r="E240" t="inlineStr"/>
      <c r="F240" t="inlineStr">
        <is>
          <t>General</t>
        </is>
      </c>
      <c r="G240" s="9" t="inlineStr">
        <is>
          <t>Desirable</t>
        </is>
      </c>
      <c r="H240" s="6" t="inlineStr">
        <is>
          <t>Medium</t>
        </is>
      </c>
      <c r="I240" t="inlineStr"/>
      <c r="J240" t="inlineStr">
        <is>
          <t>Not Started</t>
        </is>
      </c>
      <c r="K240" t="inlineStr"/>
      <c r="L240" t="inlineStr"/>
      <c r="M240" t="inlineStr"/>
      <c r="N240" t="inlineStr"/>
      <c r="O240" t="inlineStr"/>
      <c r="P240" t="inlineStr"/>
      <c r="Q240" t="inlineStr"/>
      <c r="R240" t="inlineStr"/>
      <c r="S240" t="inlineStr"/>
    </row>
    <row r="241">
      <c r="A241" t="inlineStr">
        <is>
          <t>REQ-00245</t>
        </is>
      </c>
      <c r="B241" s="13" t="inlineStr">
        <is>
          <t>252.245-7003 Contractor Property Management System Administration 2012-04 SEC I</t>
        </is>
      </c>
      <c r="C241" t="inlineStr">
        <is>
          <t>UNASSIGNED</t>
        </is>
      </c>
      <c r="D241" t="inlineStr"/>
      <c r="E241" t="inlineStr"/>
      <c r="F241" t="inlineStr">
        <is>
          <t>General</t>
        </is>
      </c>
      <c r="G241" s="9" t="inlineStr">
        <is>
          <t>Desirable</t>
        </is>
      </c>
      <c r="H241" s="6" t="inlineStr">
        <is>
          <t>Medium</t>
        </is>
      </c>
      <c r="I241" t="inlineStr"/>
      <c r="J241" t="inlineStr">
        <is>
          <t>Not Started</t>
        </is>
      </c>
      <c r="K241" t="inlineStr"/>
      <c r="L241" t="inlineStr"/>
      <c r="M241" t="inlineStr"/>
      <c r="N241" t="inlineStr"/>
      <c r="O241" t="inlineStr"/>
      <c r="P241" t="inlineStr"/>
      <c r="Q241" t="inlineStr"/>
      <c r="R241" t="inlineStr"/>
      <c r="S241" t="inlineStr"/>
    </row>
    <row r="242">
      <c r="A242" t="inlineStr">
        <is>
          <t>REQ-00246</t>
        </is>
      </c>
      <c r="B242" s="13" t="inlineStr">
        <is>
          <t>252.245-7005 Management and Reporting of Government Property. 2024-01 SEC I</t>
        </is>
      </c>
      <c r="C242" t="inlineStr">
        <is>
          <t>UNASSIGNED</t>
        </is>
      </c>
      <c r="D242" t="inlineStr"/>
      <c r="E242" t="inlineStr"/>
      <c r="F242" t="inlineStr">
        <is>
          <t>General</t>
        </is>
      </c>
      <c r="G242" s="9" t="inlineStr">
        <is>
          <t>Desirable</t>
        </is>
      </c>
      <c r="H242" s="6" t="inlineStr">
        <is>
          <t>Medium</t>
        </is>
      </c>
      <c r="I242" t="inlineStr"/>
      <c r="J242" t="inlineStr">
        <is>
          <t>Not Started</t>
        </is>
      </c>
      <c r="K242" t="inlineStr"/>
      <c r="L242" t="inlineStr"/>
      <c r="M242" t="inlineStr"/>
      <c r="N242" t="inlineStr"/>
      <c r="O242" t="inlineStr"/>
      <c r="P242" t="inlineStr"/>
      <c r="Q242" t="inlineStr"/>
      <c r="R242" t="inlineStr"/>
      <c r="S242" t="inlineStr"/>
    </row>
    <row r="243">
      <c r="A243" t="inlineStr">
        <is>
          <t>REQ-00247</t>
        </is>
      </c>
      <c r="B243" s="13" t="inlineStr">
        <is>
          <t>252.246-7008 Sources of Electronic Parts. 2023-01 SEC I</t>
        </is>
      </c>
      <c r="C243" t="inlineStr">
        <is>
          <t>UNASSIGNED</t>
        </is>
      </c>
      <c r="D243" t="inlineStr"/>
      <c r="E243" t="inlineStr"/>
      <c r="F243" t="inlineStr">
        <is>
          <t>General</t>
        </is>
      </c>
      <c r="G243" s="9" t="inlineStr">
        <is>
          <t>Desirable</t>
        </is>
      </c>
      <c r="H243" s="6" t="inlineStr">
        <is>
          <t>Medium</t>
        </is>
      </c>
      <c r="I243" t="inlineStr"/>
      <c r="J243" t="inlineStr">
        <is>
          <t>Not Started</t>
        </is>
      </c>
      <c r="K243" t="inlineStr"/>
      <c r="L243" t="inlineStr"/>
      <c r="M243" t="inlineStr"/>
      <c r="N243" t="inlineStr"/>
      <c r="O243" t="inlineStr"/>
      <c r="P243" t="inlineStr"/>
      <c r="Q243" t="inlineStr"/>
      <c r="R243" t="inlineStr"/>
      <c r="S243" t="inlineStr"/>
    </row>
    <row r="244">
      <c r="A244" t="inlineStr">
        <is>
          <t>REQ-00248</t>
        </is>
      </c>
      <c r="B244" s="13" t="inlineStr">
        <is>
          <t>252.247-7023 Transportation of Supplies by Sea. 2023-01 SEC I</t>
        </is>
      </c>
      <c r="C244" t="inlineStr">
        <is>
          <t>UNASSIGNED</t>
        </is>
      </c>
      <c r="D244" t="inlineStr"/>
      <c r="E244" t="inlineStr"/>
      <c r="F244" t="inlineStr">
        <is>
          <t>General</t>
        </is>
      </c>
      <c r="G244" s="9" t="inlineStr">
        <is>
          <t>Desirable</t>
        </is>
      </c>
      <c r="H244" s="6" t="inlineStr">
        <is>
          <t>Medium</t>
        </is>
      </c>
      <c r="I244" t="inlineStr"/>
      <c r="J244" t="inlineStr">
        <is>
          <t>Not Started</t>
        </is>
      </c>
      <c r="K244" t="inlineStr"/>
      <c r="L244" t="inlineStr"/>
      <c r="M244" t="inlineStr"/>
      <c r="N244" t="inlineStr"/>
      <c r="O244" t="inlineStr"/>
      <c r="P244" t="inlineStr"/>
      <c r="Q244" t="inlineStr"/>
      <c r="R244" t="inlineStr"/>
      <c r="S244" t="inlineStr"/>
    </row>
    <row r="245">
      <c r="A245" t="inlineStr">
        <is>
          <t>REQ-00249</t>
        </is>
      </c>
      <c r="B245" s="13" t="inlineStr">
        <is>
          <t>252.247-7028 Application for U.S. Government Shipping Documentation/ 
Instructions. 2012-06 SEC I</t>
        </is>
      </c>
      <c r="C245" t="inlineStr">
        <is>
          <t>UNASSIGNED</t>
        </is>
      </c>
      <c r="D245" t="inlineStr"/>
      <c r="E245" t="inlineStr"/>
      <c r="F245" t="inlineStr">
        <is>
          <t>General</t>
        </is>
      </c>
      <c r="G245" s="9" t="inlineStr">
        <is>
          <t>Desirable</t>
        </is>
      </c>
      <c r="H245" s="6" t="inlineStr">
        <is>
          <t>Medium</t>
        </is>
      </c>
      <c r="I245" t="inlineStr"/>
      <c r="J245" t="inlineStr">
        <is>
          <t>Not Started</t>
        </is>
      </c>
      <c r="K245" t="inlineStr"/>
      <c r="L245" t="inlineStr"/>
      <c r="M245" t="inlineStr"/>
      <c r="N245" t="inlineStr"/>
      <c r="O245" t="inlineStr"/>
      <c r="P245" t="inlineStr"/>
      <c r="Q245" t="inlineStr"/>
      <c r="R245" t="inlineStr"/>
      <c r="S245" t="inlineStr"/>
    </row>
    <row r="246">
      <c r="A246" t="inlineStr">
        <is>
          <t>REQ-00250</t>
        </is>
      </c>
      <c r="B246" s="13" t="inlineStr">
        <is>
          <t>52.201-1 Acquisition 360: Voluntary Survey. 2023-09 SEC L</t>
        </is>
      </c>
      <c r="C246" t="inlineStr">
        <is>
          <t>UNASSIGNED</t>
        </is>
      </c>
      <c r="D246" t="inlineStr"/>
      <c r="E246" t="inlineStr"/>
      <c r="F246" t="inlineStr">
        <is>
          <t>General</t>
        </is>
      </c>
      <c r="G246" s="9" t="inlineStr">
        <is>
          <t>Desirable</t>
        </is>
      </c>
      <c r="H246" s="6" t="inlineStr">
        <is>
          <t>Medium</t>
        </is>
      </c>
      <c r="I246" t="inlineStr"/>
      <c r="J246" t="inlineStr">
        <is>
          <t>Not Started</t>
        </is>
      </c>
      <c r="K246" t="inlineStr"/>
      <c r="L246" t="inlineStr"/>
      <c r="M246" t="inlineStr"/>
      <c r="N246" t="inlineStr"/>
      <c r="O246" t="inlineStr"/>
      <c r="P246" t="inlineStr"/>
      <c r="Q246" t="inlineStr"/>
      <c r="R246" t="inlineStr"/>
      <c r="S246" t="inlineStr"/>
    </row>
    <row r="247">
      <c r="A247" t="inlineStr">
        <is>
          <t>REQ-00251</t>
        </is>
      </c>
      <c r="B247" s="13" t="inlineStr">
        <is>
          <t>52.204-13 System for Award Management Maintenance. 2018-10 SEC I</t>
        </is>
      </c>
      <c r="C247" t="inlineStr">
        <is>
          <t>UNASSIGNED</t>
        </is>
      </c>
      <c r="D247" t="inlineStr"/>
      <c r="E247" t="inlineStr"/>
      <c r="F247" t="inlineStr">
        <is>
          <t>General</t>
        </is>
      </c>
      <c r="G247" s="9" t="inlineStr">
        <is>
          <t>Desirable</t>
        </is>
      </c>
      <c r="H247" s="6" t="inlineStr">
        <is>
          <t>Medium</t>
        </is>
      </c>
      <c r="I247" t="inlineStr"/>
      <c r="J247" t="inlineStr">
        <is>
          <t>Not Started</t>
        </is>
      </c>
      <c r="K247" t="inlineStr"/>
      <c r="L247" t="inlineStr"/>
      <c r="M247" t="inlineStr"/>
      <c r="N247" t="inlineStr"/>
      <c r="O247" t="inlineStr"/>
      <c r="P247" t="inlineStr"/>
      <c r="Q247" t="inlineStr"/>
      <c r="R247" t="inlineStr"/>
      <c r="S247" t="inlineStr"/>
    </row>
    <row r="248">
      <c r="A248" t="inlineStr">
        <is>
          <t>REQ-00252</t>
        </is>
      </c>
      <c r="B248" s="13" t="inlineStr">
        <is>
          <t>52.204-16 Commercial and Government Entity Code Reporting. 2020-08 SEC L</t>
        </is>
      </c>
      <c r="C248" t="inlineStr">
        <is>
          <t>UNASSIGNED</t>
        </is>
      </c>
      <c r="D248" t="inlineStr"/>
      <c r="E248" t="inlineStr"/>
      <c r="F248" t="inlineStr">
        <is>
          <t>General</t>
        </is>
      </c>
      <c r="G248" s="9" t="inlineStr">
        <is>
          <t>Desirable</t>
        </is>
      </c>
      <c r="H248" s="6" t="inlineStr">
        <is>
          <t>Medium</t>
        </is>
      </c>
      <c r="I248" t="inlineStr"/>
      <c r="J248" t="inlineStr">
        <is>
          <t>Not Started</t>
        </is>
      </c>
      <c r="K248" t="inlineStr"/>
      <c r="L248" t="inlineStr"/>
      <c r="M248" t="inlineStr"/>
      <c r="N248" t="inlineStr"/>
      <c r="O248" t="inlineStr"/>
      <c r="P248" t="inlineStr"/>
      <c r="Q248" t="inlineStr"/>
      <c r="R248" t="inlineStr"/>
      <c r="S248" t="inlineStr"/>
    </row>
    <row r="249">
      <c r="A249" t="inlineStr">
        <is>
          <t>REQ-00253</t>
        </is>
      </c>
      <c r="B249" s="13" t="inlineStr">
        <is>
          <t>52.204-18 Commercial and Government Entity Code Maintenance. 2020-08 SEC I</t>
        </is>
      </c>
      <c r="C249" t="inlineStr">
        <is>
          <t>UNASSIGNED</t>
        </is>
      </c>
      <c r="D249" t="inlineStr"/>
      <c r="E249" t="inlineStr"/>
      <c r="F249" t="inlineStr">
        <is>
          <t>General</t>
        </is>
      </c>
      <c r="G249" s="9" t="inlineStr">
        <is>
          <t>Desirable</t>
        </is>
      </c>
      <c r="H249" s="6" t="inlineStr">
        <is>
          <t>Medium</t>
        </is>
      </c>
      <c r="I249" t="inlineStr"/>
      <c r="J249" t="inlineStr">
        <is>
          <t>Not Started</t>
        </is>
      </c>
      <c r="K249" t="inlineStr"/>
      <c r="L249" t="inlineStr"/>
      <c r="M249" t="inlineStr"/>
      <c r="N249" t="inlineStr"/>
      <c r="O249" t="inlineStr"/>
      <c r="P249" t="inlineStr"/>
      <c r="Q249" t="inlineStr"/>
      <c r="R249" t="inlineStr"/>
      <c r="S249" t="inlineStr"/>
    </row>
    <row r="250">
      <c r="A250" t="inlineStr">
        <is>
          <t>REQ-00254</t>
        </is>
      </c>
      <c r="B250" s="13" t="inlineStr">
        <is>
          <t>52.204-24 Representation Regarding Certain Telecommunications and 
Video Surveillance Services or Equipment. 2021-11 SEC K</t>
        </is>
      </c>
      <c r="C250" t="inlineStr">
        <is>
          <t>K</t>
        </is>
      </c>
      <c r="D250" t="inlineStr"/>
      <c r="E250" t="inlineStr"/>
      <c r="F250" t="inlineStr">
        <is>
          <t>Representation</t>
        </is>
      </c>
      <c r="G250" s="9" t="inlineStr">
        <is>
          <t>Desirable</t>
        </is>
      </c>
      <c r="H250" s="6" t="inlineStr">
        <is>
          <t>Medium</t>
        </is>
      </c>
      <c r="I250" t="inlineStr"/>
      <c r="J250" t="inlineStr">
        <is>
          <t>Not Started</t>
        </is>
      </c>
      <c r="K250" t="inlineStr"/>
      <c r="L250" t="inlineStr"/>
      <c r="M250" t="inlineStr"/>
      <c r="N250" t="inlineStr"/>
      <c r="O250" t="inlineStr"/>
      <c r="P250" t="inlineStr"/>
      <c r="Q250" t="inlineStr"/>
      <c r="R250" t="inlineStr"/>
      <c r="S250" t="inlineStr"/>
    </row>
    <row r="251">
      <c r="A251" t="inlineStr">
        <is>
          <t>REQ-00255</t>
        </is>
      </c>
      <c r="B251" s="13" t="inlineStr">
        <is>
          <t>52.204-29 Federal Acquisition Supply Chain Security Act Orders-
Representation and Disclosures. 2023-12 SEC K</t>
        </is>
      </c>
      <c r="C251" t="inlineStr">
        <is>
          <t>K</t>
        </is>
      </c>
      <c r="D251" t="inlineStr"/>
      <c r="E251" t="inlineStr"/>
      <c r="F251" t="inlineStr">
        <is>
          <t>Representation</t>
        </is>
      </c>
      <c r="G251" s="9" t="inlineStr">
        <is>
          <t>Desirable</t>
        </is>
      </c>
      <c r="H251" s="6" t="inlineStr">
        <is>
          <t>Medium</t>
        </is>
      </c>
      <c r="I251" t="inlineStr"/>
      <c r="J251" t="inlineStr">
        <is>
          <t>Not Started</t>
        </is>
      </c>
      <c r="K251" t="inlineStr"/>
      <c r="L251" t="inlineStr"/>
      <c r="M251" t="inlineStr"/>
      <c r="N251" t="inlineStr"/>
      <c r="O251" t="inlineStr"/>
      <c r="P251" t="inlineStr"/>
      <c r="Q251" t="inlineStr"/>
      <c r="R251" t="inlineStr"/>
      <c r="S251" t="inlineStr"/>
    </row>
    <row r="252">
      <c r="A252" t="inlineStr">
        <is>
          <t>REQ-00256</t>
        </is>
      </c>
      <c r="B252" s="13" t="inlineStr">
        <is>
          <t>52.204-7 System for Award Management. 2018-10 SEC L</t>
        </is>
      </c>
      <c r="C252" t="inlineStr">
        <is>
          <t>UNASSIGNED</t>
        </is>
      </c>
      <c r="D252" t="inlineStr"/>
      <c r="E252" t="inlineStr"/>
      <c r="F252" t="inlineStr">
        <is>
          <t>General</t>
        </is>
      </c>
      <c r="G252" s="9" t="inlineStr">
        <is>
          <t>Desirable</t>
        </is>
      </c>
      <c r="H252" s="6" t="inlineStr">
        <is>
          <t>Medium</t>
        </is>
      </c>
      <c r="I252" t="inlineStr"/>
      <c r="J252" t="inlineStr">
        <is>
          <t>Not Started</t>
        </is>
      </c>
      <c r="K252" t="inlineStr"/>
      <c r="L252" t="inlineStr"/>
      <c r="M252" t="inlineStr"/>
      <c r="N252" t="inlineStr"/>
      <c r="O252" t="inlineStr"/>
      <c r="P252" t="inlineStr"/>
      <c r="Q252" t="inlineStr"/>
      <c r="R252" t="inlineStr"/>
      <c r="S252" t="inlineStr"/>
    </row>
    <row r="253">
      <c r="A253" t="inlineStr">
        <is>
          <t>REQ-00257</t>
        </is>
      </c>
      <c r="B253" s="13" t="inlineStr">
        <is>
          <t>52.209-7 Information Regarding Responsibility Matters. 2018-10 SEC K</t>
        </is>
      </c>
      <c r="C253" t="inlineStr">
        <is>
          <t>UNASSIGNED</t>
        </is>
      </c>
      <c r="D253" t="inlineStr"/>
      <c r="E253" t="inlineStr"/>
      <c r="F253" t="inlineStr">
        <is>
          <t>General</t>
        </is>
      </c>
      <c r="G253" s="9" t="inlineStr">
        <is>
          <t>Desirable</t>
        </is>
      </c>
      <c r="H253" s="6" t="inlineStr">
        <is>
          <t>Medium</t>
        </is>
      </c>
      <c r="I253" t="inlineStr"/>
      <c r="J253" t="inlineStr">
        <is>
          <t>Not Started</t>
        </is>
      </c>
      <c r="K253" t="inlineStr"/>
      <c r="L253" t="inlineStr"/>
      <c r="M253" t="inlineStr"/>
      <c r="N253" t="inlineStr"/>
      <c r="O253" t="inlineStr"/>
      <c r="P253" t="inlineStr"/>
      <c r="Q253" t="inlineStr"/>
      <c r="R253" t="inlineStr"/>
      <c r="S253" t="inlineStr"/>
    </row>
    <row r="254">
      <c r="A254" t="inlineStr">
        <is>
          <t>REQ-00258</t>
        </is>
      </c>
      <c r="B254" s="13" t="inlineStr">
        <is>
          <t>52.212-1 Instructions to Offerors-Commercial Products and Commercial 
Services. 2023-09 SEC L</t>
        </is>
      </c>
      <c r="C254" t="inlineStr">
        <is>
          <t>UNASSIGNED</t>
        </is>
      </c>
      <c r="D254" t="inlineStr"/>
      <c r="E254" t="inlineStr"/>
      <c r="F254" t="inlineStr">
        <is>
          <t>General</t>
        </is>
      </c>
      <c r="G254" s="9" t="inlineStr">
        <is>
          <t>Desirable</t>
        </is>
      </c>
      <c r="H254" s="6" t="inlineStr">
        <is>
          <t>Medium</t>
        </is>
      </c>
      <c r="I254" t="inlineStr"/>
      <c r="J254" t="inlineStr">
        <is>
          <t>Not Started</t>
        </is>
      </c>
      <c r="K254" t="inlineStr"/>
      <c r="L254" t="inlineStr"/>
      <c r="M254" t="inlineStr"/>
      <c r="N254" t="inlineStr"/>
      <c r="O254" t="inlineStr"/>
      <c r="P254" t="inlineStr"/>
      <c r="Q254" t="inlineStr"/>
      <c r="R254" t="inlineStr"/>
      <c r="S254" t="inlineStr"/>
    </row>
    <row r="255">
      <c r="A255" t="inlineStr">
        <is>
          <t>REQ-00259</t>
        </is>
      </c>
      <c r="B255" s="13" t="inlineStr">
        <is>
          <t>52.212-4 Contract Terms and Conditions-Commercial Products and 
Commercial Services. 2023-11 SEC I</t>
        </is>
      </c>
      <c r="C255" t="inlineStr">
        <is>
          <t>UNASSIGNED</t>
        </is>
      </c>
      <c r="D255" t="inlineStr"/>
      <c r="E255" t="inlineStr"/>
      <c r="F255" t="inlineStr">
        <is>
          <t>General</t>
        </is>
      </c>
      <c r="G255" s="9" t="inlineStr">
        <is>
          <t>Desirable</t>
        </is>
      </c>
      <c r="H255" s="6" t="inlineStr">
        <is>
          <t>Medium</t>
        </is>
      </c>
      <c r="I255" t="inlineStr"/>
      <c r="J255" t="inlineStr">
        <is>
          <t>Not Started</t>
        </is>
      </c>
      <c r="K255" t="inlineStr"/>
      <c r="L255" t="inlineStr"/>
      <c r="M255" t="inlineStr"/>
      <c r="N255" t="inlineStr"/>
      <c r="O255" t="inlineStr"/>
      <c r="P255" t="inlineStr"/>
      <c r="Q255" t="inlineStr"/>
      <c r="R255" t="inlineStr"/>
      <c r="S255" t="inlineStr"/>
    </row>
    <row r="256">
      <c r="A256" t="inlineStr">
        <is>
          <t>REQ-00260</t>
        </is>
      </c>
      <c r="B256" s="13" t="inlineStr">
        <is>
          <t>52.217-2 Cancellation Under Multi-year Contracts. 1997-10 SEC I</t>
        </is>
      </c>
      <c r="C256" t="inlineStr">
        <is>
          <t>UNASSIGNED</t>
        </is>
      </c>
      <c r="D256" t="inlineStr"/>
      <c r="E256" t="inlineStr"/>
      <c r="F256" t="inlineStr">
        <is>
          <t>General</t>
        </is>
      </c>
      <c r="G256" s="9" t="inlineStr">
        <is>
          <t>Desirable</t>
        </is>
      </c>
      <c r="H256" s="6" t="inlineStr">
        <is>
          <t>Medium</t>
        </is>
      </c>
      <c r="I256" t="inlineStr"/>
      <c r="J256" t="inlineStr">
        <is>
          <t>Not Started</t>
        </is>
      </c>
      <c r="K256" t="inlineStr"/>
      <c r="L256" t="inlineStr"/>
      <c r="M256" t="inlineStr"/>
      <c r="N256" t="inlineStr"/>
      <c r="O256" t="inlineStr"/>
      <c r="P256" t="inlineStr"/>
      <c r="Q256" t="inlineStr"/>
      <c r="R256" t="inlineStr"/>
      <c r="S256" t="inlineStr"/>
    </row>
    <row r="257">
      <c r="A257" t="inlineStr">
        <is>
          <t>REQ-00261</t>
        </is>
      </c>
      <c r="B257" s="13" t="inlineStr">
        <is>
          <t>52.223-22 Public Disclosure of Greenhouse Gas Emissions and 
Reduction Goals-Representation. 2016-12 SEC K</t>
        </is>
      </c>
      <c r="C257" t="inlineStr">
        <is>
          <t>K</t>
        </is>
      </c>
      <c r="D257" t="inlineStr"/>
      <c r="E257" t="inlineStr"/>
      <c r="F257" t="inlineStr">
        <is>
          <t>Representation</t>
        </is>
      </c>
      <c r="G257" s="9" t="inlineStr">
        <is>
          <t>Desirable</t>
        </is>
      </c>
      <c r="H257" s="6" t="inlineStr">
        <is>
          <t>Medium</t>
        </is>
      </c>
      <c r="I257" t="inlineStr"/>
      <c r="J257" t="inlineStr">
        <is>
          <t>Not Started</t>
        </is>
      </c>
      <c r="K257" t="inlineStr"/>
      <c r="L257" t="inlineStr"/>
      <c r="M257" t="inlineStr"/>
      <c r="N257" t="inlineStr"/>
      <c r="O257" t="inlineStr"/>
      <c r="P257" t="inlineStr"/>
      <c r="Q257" t="inlineStr"/>
      <c r="R257" t="inlineStr"/>
      <c r="S257" t="inlineStr"/>
    </row>
    <row r="258">
      <c r="A258" t="inlineStr">
        <is>
          <t>REQ-00262</t>
        </is>
      </c>
      <c r="B258" s="13" t="inlineStr">
        <is>
          <t>52.223-5 Pollution Prevention and Right-to-Know Information. 2024-05 SEC I</t>
        </is>
      </c>
      <c r="C258" t="inlineStr">
        <is>
          <t>UNASSIGNED</t>
        </is>
      </c>
      <c r="D258" t="inlineStr"/>
      <c r="E258" t="inlineStr"/>
      <c r="F258" t="inlineStr">
        <is>
          <t>General</t>
        </is>
      </c>
      <c r="G258" s="9" t="inlineStr">
        <is>
          <t>Desirable</t>
        </is>
      </c>
      <c r="H258" s="6" t="inlineStr">
        <is>
          <t>Medium</t>
        </is>
      </c>
      <c r="I258" t="inlineStr"/>
      <c r="J258" t="inlineStr">
        <is>
          <t>Not Started</t>
        </is>
      </c>
      <c r="K258" t="inlineStr"/>
      <c r="L258" t="inlineStr"/>
      <c r="M258" t="inlineStr"/>
      <c r="N258" t="inlineStr"/>
      <c r="O258" t="inlineStr"/>
      <c r="P258" t="inlineStr"/>
      <c r="Q258" t="inlineStr"/>
      <c r="R258" t="inlineStr"/>
      <c r="S258" t="inlineStr"/>
    </row>
    <row r="259">
      <c r="A259" t="inlineStr">
        <is>
          <t>REQ-00263</t>
        </is>
      </c>
      <c r="B259" s="13" t="inlineStr">
        <is>
          <t>52.229-11 Tax on Certain Foreign Procurements-Notice and 
Representation. 2020-06 SEC K</t>
        </is>
      </c>
      <c r="C259" t="inlineStr">
        <is>
          <t>K</t>
        </is>
      </c>
      <c r="D259" t="inlineStr"/>
      <c r="E259" t="inlineStr"/>
      <c r="F259" t="inlineStr">
        <is>
          <t>Representation</t>
        </is>
      </c>
      <c r="G259" s="9" t="inlineStr">
        <is>
          <t>Desirable</t>
        </is>
      </c>
      <c r="H259" s="6" t="inlineStr">
        <is>
          <t>Medium</t>
        </is>
      </c>
      <c r="I259" t="inlineStr"/>
      <c r="J259" t="inlineStr">
        <is>
          <t>Not Started</t>
        </is>
      </c>
      <c r="K259" t="inlineStr"/>
      <c r="L259" t="inlineStr"/>
      <c r="M259" t="inlineStr"/>
      <c r="N259" t="inlineStr"/>
      <c r="O259" t="inlineStr"/>
      <c r="P259" t="inlineStr"/>
      <c r="Q259" t="inlineStr"/>
      <c r="R259" t="inlineStr"/>
      <c r="S259" t="inlineStr"/>
    </row>
    <row r="260">
      <c r="A260" t="inlineStr">
        <is>
          <t>REQ-00264</t>
        </is>
      </c>
      <c r="B260" s="13" t="inlineStr">
        <is>
          <t>52.245-1 Government Property. 2021-09 SEC I</t>
        </is>
      </c>
      <c r="C260" t="inlineStr">
        <is>
          <t>UNASSIGNED</t>
        </is>
      </c>
      <c r="D260" t="inlineStr"/>
      <c r="E260" t="inlineStr"/>
      <c r="F260" t="inlineStr">
        <is>
          <t>General</t>
        </is>
      </c>
      <c r="G260" s="9" t="inlineStr">
        <is>
          <t>Desirable</t>
        </is>
      </c>
      <c r="H260" s="6" t="inlineStr">
        <is>
          <t>Medium</t>
        </is>
      </c>
      <c r="I260" t="inlineStr"/>
      <c r="J260" t="inlineStr">
        <is>
          <t>Not Started</t>
        </is>
      </c>
      <c r="K260" t="inlineStr"/>
      <c r="L260" t="inlineStr"/>
      <c r="M260" t="inlineStr"/>
      <c r="N260" t="inlineStr"/>
      <c r="O260" t="inlineStr"/>
      <c r="P260" t="inlineStr"/>
      <c r="Q260" t="inlineStr"/>
      <c r="R260" t="inlineStr"/>
      <c r="S260" t="inlineStr"/>
    </row>
    <row r="261">
      <c r="A261" t="inlineStr">
        <is>
          <t>REQ-00265</t>
        </is>
      </c>
      <c r="B261" s="13" t="inlineStr">
        <is>
          <t>252.227-7010 License to Other Government Agencies. 1984-08 SEC I</t>
        </is>
      </c>
      <c r="C261" t="inlineStr">
        <is>
          <t>UNASSIGNED</t>
        </is>
      </c>
      <c r="D261" t="inlineStr"/>
      <c r="E261" t="inlineStr"/>
      <c r="F261" t="inlineStr">
        <is>
          <t>General</t>
        </is>
      </c>
      <c r="G261" s="9" t="inlineStr">
        <is>
          <t>Desirable</t>
        </is>
      </c>
      <c r="H261" s="6" t="inlineStr">
        <is>
          <t>Medium</t>
        </is>
      </c>
      <c r="I261" t="inlineStr"/>
      <c r="J261" t="inlineStr">
        <is>
          <t>Not Started</t>
        </is>
      </c>
      <c r="K261" t="inlineStr"/>
      <c r="L261" t="inlineStr"/>
      <c r="M261" t="inlineStr"/>
      <c r="N261" t="inlineStr"/>
      <c r="O261" t="inlineStr"/>
      <c r="P261" t="inlineStr"/>
      <c r="Q261" t="inlineStr"/>
      <c r="R261" t="inlineStr"/>
      <c r="S261" t="inlineStr"/>
    </row>
    <row r="262">
      <c r="A262" t="inlineStr">
        <is>
          <t>REQ-00266</t>
        </is>
      </c>
      <c r="B262" s="13" t="inlineStr">
        <is>
          <t>252.211-7008 Use of Government-Assigned Serial Numbers. 2010-09 SEC I</t>
        </is>
      </c>
      <c r="C262" t="inlineStr">
        <is>
          <t>UNASSIGNED</t>
        </is>
      </c>
      <c r="D262" t="inlineStr"/>
      <c r="E262" t="inlineStr"/>
      <c r="F262" t="inlineStr">
        <is>
          <t>General</t>
        </is>
      </c>
      <c r="G262" s="9" t="inlineStr">
        <is>
          <t>Desirable</t>
        </is>
      </c>
      <c r="H262" s="6" t="inlineStr">
        <is>
          <t>Medium</t>
        </is>
      </c>
      <c r="I262" t="inlineStr"/>
      <c r="J262" t="inlineStr">
        <is>
          <t>Not Started</t>
        </is>
      </c>
      <c r="K262" t="inlineStr"/>
      <c r="L262" t="inlineStr"/>
      <c r="M262" t="inlineStr"/>
      <c r="N262" t="inlineStr"/>
      <c r="O262" t="inlineStr"/>
      <c r="P262" t="inlineStr"/>
      <c r="Q262" t="inlineStr"/>
      <c r="R262" t="inlineStr"/>
      <c r="S262" t="inlineStr"/>
    </row>
    <row r="263">
      <c r="A263" t="inlineStr">
        <is>
          <t>REQ-00267</t>
        </is>
      </c>
      <c r="B263" s="13" t="inlineStr">
        <is>
          <t>252.227-7015 Technical Data-Commercial Products and Commercial 
Services. 2023-03 SEC I</t>
        </is>
      </c>
      <c r="C263" t="inlineStr">
        <is>
          <t>UNASSIGNED</t>
        </is>
      </c>
      <c r="D263" t="inlineStr"/>
      <c r="E263" t="inlineStr"/>
      <c r="F263" t="inlineStr">
        <is>
          <t>General</t>
        </is>
      </c>
      <c r="G263" s="9" t="inlineStr">
        <is>
          <t>Desirable</t>
        </is>
      </c>
      <c r="H263" s="6" t="inlineStr">
        <is>
          <t>Medium</t>
        </is>
      </c>
      <c r="I263" t="inlineStr"/>
      <c r="J263" t="inlineStr">
        <is>
          <t>Not Started</t>
        </is>
      </c>
      <c r="K263" t="inlineStr"/>
      <c r="L263" t="inlineStr"/>
      <c r="M263" t="inlineStr"/>
      <c r="N263" t="inlineStr"/>
      <c r="O263" t="inlineStr"/>
      <c r="P263" t="inlineStr"/>
      <c r="Q263" t="inlineStr"/>
      <c r="R263" t="inlineStr"/>
      <c r="S263" t="inlineStr"/>
    </row>
    <row r="264">
      <c r="A264" t="inlineStr">
        <is>
          <t>REQ-00268</t>
        </is>
      </c>
      <c r="B264" s="13" t="inlineStr">
        <is>
          <t>252.227-7016 Rights in Bid or Proposal Information. 2023-01 SEC I</t>
        </is>
      </c>
      <c r="C264" t="inlineStr">
        <is>
          <t>UNASSIGNED</t>
        </is>
      </c>
      <c r="D264" t="inlineStr"/>
      <c r="E264" t="inlineStr"/>
      <c r="F264" t="inlineStr">
        <is>
          <t>General</t>
        </is>
      </c>
      <c r="G264" s="9" t="inlineStr">
        <is>
          <t>Desirable</t>
        </is>
      </c>
      <c r="H264" s="6" t="inlineStr">
        <is>
          <t>Medium</t>
        </is>
      </c>
      <c r="I264" t="inlineStr"/>
      <c r="J264" t="inlineStr">
        <is>
          <t>Not Started</t>
        </is>
      </c>
      <c r="K264" t="inlineStr"/>
      <c r="L264" t="inlineStr"/>
      <c r="M264" t="inlineStr"/>
      <c r="N264" t="inlineStr"/>
      <c r="O264" t="inlineStr"/>
      <c r="P264" t="inlineStr"/>
      <c r="Q264" t="inlineStr"/>
      <c r="R264" t="inlineStr"/>
      <c r="S264" t="inlineStr"/>
    </row>
    <row r="265">
      <c r="A265" t="inlineStr">
        <is>
          <t>REQ-00269</t>
        </is>
      </c>
      <c r="B265" s="13" t="inlineStr">
        <is>
          <t>252.227-7025 Limitations on the Use or Disclosure of Government-
Furnished Information Marked With Restrictive Legends 2023-01 SEC I</t>
        </is>
      </c>
      <c r="C265" t="inlineStr">
        <is>
          <t>UNASSIGNED</t>
        </is>
      </c>
      <c r="D265" t="inlineStr"/>
      <c r="E265" t="inlineStr"/>
      <c r="F265" t="inlineStr">
        <is>
          <t>General</t>
        </is>
      </c>
      <c r="G265" s="9" t="inlineStr">
        <is>
          <t>Desirable</t>
        </is>
      </c>
      <c r="H265" s="6" t="inlineStr">
        <is>
          <t>Medium</t>
        </is>
      </c>
      <c r="I265" t="inlineStr"/>
      <c r="J265" t="inlineStr">
        <is>
          <t>Not Started</t>
        </is>
      </c>
      <c r="K265" t="inlineStr"/>
      <c r="L265" t="inlineStr"/>
      <c r="M265" t="inlineStr"/>
      <c r="N265" t="inlineStr"/>
      <c r="O265" t="inlineStr"/>
      <c r="P265" t="inlineStr"/>
      <c r="Q265" t="inlineStr"/>
      <c r="R265" t="inlineStr"/>
      <c r="S265" t="inlineStr"/>
    </row>
    <row r="266">
      <c r="A266" t="inlineStr">
        <is>
          <t>REQ-00270</t>
        </is>
      </c>
      <c r="B266" s="13" t="inlineStr">
        <is>
          <t>252.227-7028 Technical Data or Computer Software Previously Delivered to 
the Government. 1995-06 SEC K</t>
        </is>
      </c>
      <c r="C266" t="inlineStr">
        <is>
          <t>UNASSIGNED</t>
        </is>
      </c>
      <c r="D266" t="inlineStr"/>
      <c r="E266" t="inlineStr"/>
      <c r="F266" t="inlineStr">
        <is>
          <t>General</t>
        </is>
      </c>
      <c r="G266" s="9" t="inlineStr">
        <is>
          <t>Desirable</t>
        </is>
      </c>
      <c r="H266" s="6" t="inlineStr">
        <is>
          <t>Medium</t>
        </is>
      </c>
      <c r="I266" t="inlineStr"/>
      <c r="J266" t="inlineStr">
        <is>
          <t>Not Started</t>
        </is>
      </c>
      <c r="K266" t="inlineStr"/>
      <c r="L266" t="inlineStr"/>
      <c r="M266" t="inlineStr"/>
      <c r="N266" t="inlineStr"/>
      <c r="O266" t="inlineStr"/>
      <c r="P266" t="inlineStr"/>
      <c r="Q266" t="inlineStr"/>
      <c r="R266" t="inlineStr"/>
      <c r="S266" t="inlineStr"/>
    </row>
    <row r="267">
      <c r="A267" t="inlineStr">
        <is>
          <t>REQ-00271</t>
        </is>
      </c>
      <c r="B267" s="13" t="inlineStr">
        <is>
          <t>252.227-7030 Technical Data--Withholding of Payment. 2000-03 SEC I</t>
        </is>
      </c>
      <c r="C267" t="inlineStr">
        <is>
          <t>UNASSIGNED</t>
        </is>
      </c>
      <c r="D267" t="inlineStr"/>
      <c r="E267" t="inlineStr"/>
      <c r="F267" t="inlineStr">
        <is>
          <t>General</t>
        </is>
      </c>
      <c r="G267" s="9" t="inlineStr">
        <is>
          <t>Desirable</t>
        </is>
      </c>
      <c r="H267" s="6" t="inlineStr">
        <is>
          <t>Medium</t>
        </is>
      </c>
      <c r="I267" t="inlineStr"/>
      <c r="J267" t="inlineStr">
        <is>
          <t>Not Started</t>
        </is>
      </c>
      <c r="K267" t="inlineStr"/>
      <c r="L267" t="inlineStr"/>
      <c r="M267" t="inlineStr"/>
      <c r="N267" t="inlineStr"/>
      <c r="O267" t="inlineStr"/>
      <c r="P267" t="inlineStr"/>
      <c r="Q267" t="inlineStr"/>
      <c r="R267" t="inlineStr"/>
      <c r="S267" t="inlineStr"/>
    </row>
    <row r="268">
      <c r="A268" t="inlineStr">
        <is>
          <t>REQ-00272</t>
        </is>
      </c>
      <c r="B268" s="13" t="inlineStr">
        <is>
          <t>252.227-7037 Validation of Restrictive Markings on Technical Data. 2023-01 SEC I</t>
        </is>
      </c>
      <c r="C268" t="inlineStr">
        <is>
          <t>UNASSIGNED</t>
        </is>
      </c>
      <c r="D268" t="inlineStr"/>
      <c r="E268" t="inlineStr"/>
      <c r="F268" t="inlineStr">
        <is>
          <t>General</t>
        </is>
      </c>
      <c r="G268" s="9" t="inlineStr">
        <is>
          <t>Desirable</t>
        </is>
      </c>
      <c r="H268" s="6" t="inlineStr">
        <is>
          <t>Medium</t>
        </is>
      </c>
      <c r="I268" t="inlineStr"/>
      <c r="J268" t="inlineStr">
        <is>
          <t>Not Started</t>
        </is>
      </c>
      <c r="K268" t="inlineStr"/>
      <c r="L268" t="inlineStr"/>
      <c r="M268" t="inlineStr"/>
      <c r="N268" t="inlineStr"/>
      <c r="O268" t="inlineStr"/>
      <c r="P268" t="inlineStr"/>
      <c r="Q268" t="inlineStr"/>
      <c r="R268" t="inlineStr"/>
      <c r="S268" t="inlineStr"/>
    </row>
    <row r="269">
      <c r="A269" t="inlineStr">
        <is>
          <t>REQ-00273</t>
        </is>
      </c>
      <c r="B269" s="13" t="inlineStr">
        <is>
          <t>252.228-7005 Mishap Reporting and Investigation Involving Aircraft, 
Missiles, and Space Launch Vehicles. 2019-11 SEC I</t>
        </is>
      </c>
      <c r="C269" t="inlineStr">
        <is>
          <t>UNASSIGNED</t>
        </is>
      </c>
      <c r="D269" t="inlineStr"/>
      <c r="E269" t="inlineStr"/>
      <c r="F269" t="inlineStr">
        <is>
          <t>General</t>
        </is>
      </c>
      <c r="G269" s="9" t="inlineStr">
        <is>
          <t>Desirable</t>
        </is>
      </c>
      <c r="H269" s="6" t="inlineStr">
        <is>
          <t>Medium</t>
        </is>
      </c>
      <c r="I269" t="inlineStr"/>
      <c r="J269" t="inlineStr">
        <is>
          <t>Not Started</t>
        </is>
      </c>
      <c r="K269" t="inlineStr"/>
      <c r="L269" t="inlineStr"/>
      <c r="M269" t="inlineStr"/>
      <c r="N269" t="inlineStr"/>
      <c r="O269" t="inlineStr"/>
      <c r="P269" t="inlineStr"/>
      <c r="Q269" t="inlineStr"/>
      <c r="R269" t="inlineStr"/>
      <c r="S269" t="inlineStr"/>
    </row>
    <row r="270">
      <c r="A270" t="inlineStr">
        <is>
          <t>REQ-00274</t>
        </is>
      </c>
      <c r="B270" s="13" t="inlineStr">
        <is>
          <t>52.227-1 Authorization and Consent. 2020-06 SEC I</t>
        </is>
      </c>
      <c r="C270" t="inlineStr">
        <is>
          <t>UNASSIGNED</t>
        </is>
      </c>
      <c r="D270" t="inlineStr"/>
      <c r="E270" t="inlineStr"/>
      <c r="F270" t="inlineStr">
        <is>
          <t>General</t>
        </is>
      </c>
      <c r="G270" s="9" t="inlineStr">
        <is>
          <t>Desirable</t>
        </is>
      </c>
      <c r="H270" s="6" t="inlineStr">
        <is>
          <t>Medium</t>
        </is>
      </c>
      <c r="I270" t="inlineStr"/>
      <c r="J270" t="inlineStr">
        <is>
          <t>Not Started</t>
        </is>
      </c>
      <c r="K270" t="inlineStr"/>
      <c r="L270" t="inlineStr"/>
      <c r="M270" t="inlineStr"/>
      <c r="N270" t="inlineStr"/>
      <c r="O270" t="inlineStr"/>
      <c r="P270" t="inlineStr"/>
      <c r="Q270" t="inlineStr"/>
      <c r="R270" t="inlineStr"/>
      <c r="S270" t="inlineStr"/>
    </row>
    <row r="271">
      <c r="A271" t="inlineStr">
        <is>
          <t>REQ-00275</t>
        </is>
      </c>
      <c r="B271" s="13" t="inlineStr">
        <is>
          <t>52.227-14 Rights in Data-General. 2014-05 SEC I</t>
        </is>
      </c>
      <c r="C271" t="inlineStr">
        <is>
          <t>UNASSIGNED</t>
        </is>
      </c>
      <c r="D271" t="inlineStr"/>
      <c r="E271" t="inlineStr"/>
      <c r="F271" t="inlineStr">
        <is>
          <t>General</t>
        </is>
      </c>
      <c r="G271" s="9" t="inlineStr">
        <is>
          <t>Desirable</t>
        </is>
      </c>
      <c r="H271" s="6" t="inlineStr">
        <is>
          <t>Medium</t>
        </is>
      </c>
      <c r="I271" t="inlineStr"/>
      <c r="J271" t="inlineStr">
        <is>
          <t>Not Started</t>
        </is>
      </c>
      <c r="K271" t="inlineStr"/>
      <c r="L271" t="inlineStr"/>
      <c r="M271" t="inlineStr"/>
      <c r="N271" t="inlineStr"/>
      <c r="O271" t="inlineStr"/>
      <c r="P271" t="inlineStr"/>
      <c r="Q271" t="inlineStr"/>
      <c r="R271" t="inlineStr"/>
      <c r="S271" t="inlineStr"/>
    </row>
    <row r="272">
      <c r="A272" t="inlineStr">
        <is>
          <t>REQ-00276</t>
        </is>
      </c>
      <c r="B272" s="13" t="inlineStr">
        <is>
          <t>52.227-14 ALT II Rights in Data-General. (Alternate II) 2007-12 SEC I</t>
        </is>
      </c>
      <c r="C272" t="inlineStr">
        <is>
          <t>UNASSIGNED</t>
        </is>
      </c>
      <c r="D272" t="inlineStr"/>
      <c r="E272" t="inlineStr"/>
      <c r="F272" t="inlineStr">
        <is>
          <t>General</t>
        </is>
      </c>
      <c r="G272" s="9" t="inlineStr">
        <is>
          <t>Desirable</t>
        </is>
      </c>
      <c r="H272" s="6" t="inlineStr">
        <is>
          <t>Medium</t>
        </is>
      </c>
      <c r="I272" t="inlineStr"/>
      <c r="J272" t="inlineStr">
        <is>
          <t>Not Started</t>
        </is>
      </c>
      <c r="K272" t="inlineStr"/>
      <c r="L272" t="inlineStr"/>
      <c r="M272" t="inlineStr"/>
      <c r="N272" t="inlineStr"/>
      <c r="O272" t="inlineStr"/>
      <c r="P272" t="inlineStr"/>
      <c r="Q272" t="inlineStr"/>
      <c r="R272" t="inlineStr"/>
      <c r="S272" t="inlineStr"/>
    </row>
    <row r="273">
      <c r="A273" t="inlineStr">
        <is>
          <t>REQ-00277</t>
        </is>
      </c>
      <c r="B273" s="13" t="inlineStr">
        <is>
          <t>52.227-14 ALT III Rights in Data-General. (Alternate III) 2007-12 SEC I</t>
        </is>
      </c>
      <c r="C273" t="inlineStr">
        <is>
          <t>UNASSIGNED</t>
        </is>
      </c>
      <c r="D273" t="inlineStr"/>
      <c r="E273" t="inlineStr"/>
      <c r="F273" t="inlineStr">
        <is>
          <t>General</t>
        </is>
      </c>
      <c r="G273" s="9" t="inlineStr">
        <is>
          <t>Desirable</t>
        </is>
      </c>
      <c r="H273" s="6" t="inlineStr">
        <is>
          <t>Medium</t>
        </is>
      </c>
      <c r="I273" t="inlineStr"/>
      <c r="J273" t="inlineStr">
        <is>
          <t>Not Started</t>
        </is>
      </c>
      <c r="K273" t="inlineStr"/>
      <c r="L273" t="inlineStr"/>
      <c r="M273" t="inlineStr"/>
      <c r="N273" t="inlineStr"/>
      <c r="O273" t="inlineStr"/>
      <c r="P273" t="inlineStr"/>
      <c r="Q273" t="inlineStr"/>
      <c r="R273" t="inlineStr"/>
      <c r="S273" t="inlineStr"/>
    </row>
    <row r="274">
      <c r="A274" t="inlineStr">
        <is>
          <t>REQ-00278</t>
        </is>
      </c>
      <c r="B274" s="13" t="inlineStr">
        <is>
          <t>52.227-15 Representation of Limited Rights Data and Restricted 
Computer Software. 2007-12 SEC K</t>
        </is>
      </c>
      <c r="C274" t="inlineStr">
        <is>
          <t>K</t>
        </is>
      </c>
      <c r="D274" t="inlineStr"/>
      <c r="E274" t="inlineStr"/>
      <c r="F274" t="inlineStr">
        <is>
          <t>Representation</t>
        </is>
      </c>
      <c r="G274" s="9" t="inlineStr">
        <is>
          <t>Desirable</t>
        </is>
      </c>
      <c r="H274" s="6" t="inlineStr">
        <is>
          <t>Medium</t>
        </is>
      </c>
      <c r="I274" t="inlineStr"/>
      <c r="J274" t="inlineStr">
        <is>
          <t>Not Started</t>
        </is>
      </c>
      <c r="K274" t="inlineStr"/>
      <c r="L274" t="inlineStr"/>
      <c r="M274" t="inlineStr"/>
      <c r="N274" t="inlineStr"/>
      <c r="O274" t="inlineStr"/>
      <c r="P274" t="inlineStr"/>
      <c r="Q274" t="inlineStr"/>
      <c r="R274" t="inlineStr"/>
      <c r="S274" t="inlineStr"/>
    </row>
    <row r="275">
      <c r="A275" t="inlineStr">
        <is>
          <t>REQ-00279</t>
        </is>
      </c>
      <c r="B275" s="13" t="inlineStr">
        <is>
          <t>52.227-22 Major System-Minimum Rights. 1987-06 SEC I</t>
        </is>
      </c>
      <c r="C275" t="inlineStr">
        <is>
          <t>UNASSIGNED</t>
        </is>
      </c>
      <c r="D275" t="inlineStr"/>
      <c r="E275" t="inlineStr"/>
      <c r="F275" t="inlineStr">
        <is>
          <t>General</t>
        </is>
      </c>
      <c r="G275" s="9" t="inlineStr">
        <is>
          <t>Desirable</t>
        </is>
      </c>
      <c r="H275" s="6" t="inlineStr">
        <is>
          <t>Medium</t>
        </is>
      </c>
      <c r="I275" t="inlineStr"/>
      <c r="J275" t="inlineStr">
        <is>
          <t>Not Started</t>
        </is>
      </c>
      <c r="K275" t="inlineStr"/>
      <c r="L275" t="inlineStr"/>
      <c r="M275" t="inlineStr"/>
      <c r="N275" t="inlineStr"/>
      <c r="O275" t="inlineStr"/>
      <c r="P275" t="inlineStr"/>
      <c r="Q275" t="inlineStr"/>
      <c r="R275" t="inlineStr"/>
      <c r="S275" t="inlineStr"/>
    </row>
    <row r="276">
      <c r="A276" t="inlineStr">
        <is>
          <t>REQ-00280</t>
        </is>
      </c>
      <c r="B276" s="13" t="inlineStr">
        <is>
          <t>52.227-3 Patent Indemnity. 1984-04 SEC I</t>
        </is>
      </c>
      <c r="C276" t="inlineStr">
        <is>
          <t>UNASSIGNED</t>
        </is>
      </c>
      <c r="D276" t="inlineStr"/>
      <c r="E276" t="inlineStr"/>
      <c r="F276" t="inlineStr">
        <is>
          <t>General</t>
        </is>
      </c>
      <c r="G276" s="9" t="inlineStr">
        <is>
          <t>Desirable</t>
        </is>
      </c>
      <c r="H276" s="6" t="inlineStr">
        <is>
          <t>Medium</t>
        </is>
      </c>
      <c r="I276" t="inlineStr"/>
      <c r="J276" t="inlineStr">
        <is>
          <t>Not Started</t>
        </is>
      </c>
      <c r="K276" t="inlineStr"/>
      <c r="L276" t="inlineStr"/>
      <c r="M276" t="inlineStr"/>
      <c r="N276" t="inlineStr"/>
      <c r="O276" t="inlineStr"/>
      <c r="P276" t="inlineStr"/>
      <c r="Q276" t="inlineStr"/>
      <c r="R276" t="inlineStr"/>
      <c r="S276" t="inlineStr"/>
    </row>
    <row r="277">
      <c r="A277" t="inlineStr">
        <is>
          <t>REQ-00281</t>
        </is>
      </c>
      <c r="B277" s="13" t="inlineStr">
        <is>
          <t>52.204-27 Prohibition on a ByteDance Covered Application. 2023-06 SEC I</t>
        </is>
      </c>
      <c r="C277" t="inlineStr">
        <is>
          <t>UNASSIGNED</t>
        </is>
      </c>
      <c r="D277" t="inlineStr"/>
      <c r="E277" t="inlineStr"/>
      <c r="F277" t="inlineStr">
        <is>
          <t>General</t>
        </is>
      </c>
      <c r="G277" s="9" t="inlineStr">
        <is>
          <t>Desirable</t>
        </is>
      </c>
      <c r="H277" s="6" t="inlineStr">
        <is>
          <t>Medium</t>
        </is>
      </c>
      <c r="I277" t="inlineStr"/>
      <c r="J277" t="inlineStr">
        <is>
          <t>Not Started</t>
        </is>
      </c>
      <c r="K277" t="inlineStr"/>
      <c r="L277" t="inlineStr"/>
      <c r="M277" t="inlineStr"/>
      <c r="N277" t="inlineStr"/>
      <c r="O277" t="inlineStr"/>
      <c r="P277" t="inlineStr"/>
      <c r="Q277" t="inlineStr"/>
      <c r="R277" t="inlineStr"/>
      <c r="S277" t="inlineStr"/>
    </row>
    <row r="278">
      <c r="A278" t="inlineStr">
        <is>
          <t>REQ-00282</t>
        </is>
      </c>
      <c r="B278" s="13" t="inlineStr">
        <is>
          <t>52.204-9 Personal Identity Verification of Contractor Personnel. 2011-01 SEC I</t>
        </is>
      </c>
      <c r="C278" t="inlineStr">
        <is>
          <t>UNASSIGNED</t>
        </is>
      </c>
      <c r="D278" t="inlineStr"/>
      <c r="E278" t="inlineStr"/>
      <c r="F278" t="inlineStr">
        <is>
          <t>General</t>
        </is>
      </c>
      <c r="G278" s="9" t="inlineStr">
        <is>
          <t>Desirable</t>
        </is>
      </c>
      <c r="H278" s="6" t="inlineStr">
        <is>
          <t>Medium</t>
        </is>
      </c>
      <c r="I278" t="inlineStr"/>
      <c r="J278" t="inlineStr">
        <is>
          <t>Not Started</t>
        </is>
      </c>
      <c r="K278" t="inlineStr"/>
      <c r="L278" t="inlineStr"/>
      <c r="M278" t="inlineStr"/>
      <c r="N278" t="inlineStr"/>
      <c r="O278" t="inlineStr"/>
      <c r="P278" t="inlineStr"/>
      <c r="Q278" t="inlineStr"/>
      <c r="R278" t="inlineStr"/>
      <c r="S278" t="inlineStr"/>
    </row>
    <row r="279">
      <c r="A279" t="inlineStr">
        <is>
          <t>REQ-00283</t>
        </is>
      </c>
      <c r="B279" s="13" t="inlineStr">
        <is>
          <t>52.204-21 Basic Safeguarding of Covered Contractor Information 
Systems. 2021-11 SEC I</t>
        </is>
      </c>
      <c r="C279" t="inlineStr">
        <is>
          <t>UNASSIGNED</t>
        </is>
      </c>
      <c r="D279" t="inlineStr"/>
      <c r="E279" t="inlineStr"/>
      <c r="F279" t="inlineStr">
        <is>
          <t>General</t>
        </is>
      </c>
      <c r="G279" s="9" t="inlineStr">
        <is>
          <t>Desirable</t>
        </is>
      </c>
      <c r="H279" s="6" t="inlineStr">
        <is>
          <t>Medium</t>
        </is>
      </c>
      <c r="I279" t="inlineStr"/>
      <c r="J279" t="inlineStr">
        <is>
          <t>Not Started</t>
        </is>
      </c>
      <c r="K279" t="inlineStr"/>
      <c r="L279" t="inlineStr"/>
      <c r="M279" t="inlineStr"/>
      <c r="N279" t="inlineStr"/>
      <c r="O279" t="inlineStr"/>
      <c r="P279" t="inlineStr"/>
      <c r="Q279" t="inlineStr"/>
      <c r="R279" t="inlineStr"/>
      <c r="S279" t="inlineStr"/>
    </row>
    <row r="280">
      <c r="A280" t="inlineStr">
        <is>
          <t>REQ-00284</t>
        </is>
      </c>
      <c r="B280" s="13" t="inlineStr">
        <is>
          <t>52.211-17 Delivery of Excess Quantities. 1989-09 SEC F</t>
        </is>
      </c>
      <c r="C280" t="inlineStr">
        <is>
          <t>UNASSIGNED</t>
        </is>
      </c>
      <c r="D280" t="inlineStr"/>
      <c r="E280" t="inlineStr"/>
      <c r="F280" t="inlineStr">
        <is>
          <t>General</t>
        </is>
      </c>
      <c r="G280" s="9" t="inlineStr">
        <is>
          <t>Desirable</t>
        </is>
      </c>
      <c r="H280" s="6" t="inlineStr">
        <is>
          <t>Medium</t>
        </is>
      </c>
      <c r="I280" t="inlineStr"/>
      <c r="J280" t="inlineStr">
        <is>
          <t>Not Started</t>
        </is>
      </c>
      <c r="K280" t="inlineStr"/>
      <c r="L280" t="inlineStr"/>
      <c r="M280" t="inlineStr"/>
      <c r="N280" t="inlineStr"/>
      <c r="O280" t="inlineStr"/>
      <c r="P280" t="inlineStr"/>
      <c r="Q280" t="inlineStr"/>
      <c r="R280" t="inlineStr"/>
      <c r="S280" t="inlineStr"/>
    </row>
    <row r="281">
      <c r="A281" t="inlineStr">
        <is>
          <t>REQ-00285</t>
        </is>
      </c>
      <c r="B281" s="13" t="inlineStr">
        <is>
          <t>52.227-14 ALT I Rights in Data-General. (Alternate I) 2007-12 SEC I
DRAFT</t>
        </is>
      </c>
      <c r="C281" t="inlineStr">
        <is>
          <t>UNASSIGNED</t>
        </is>
      </c>
      <c r="D281" t="inlineStr"/>
      <c r="E281" t="inlineStr"/>
      <c r="F281" t="inlineStr">
        <is>
          <t>General</t>
        </is>
      </c>
      <c r="G281" s="9" t="inlineStr">
        <is>
          <t>Desirable</t>
        </is>
      </c>
      <c r="H281" s="6" t="inlineStr">
        <is>
          <t>Medium</t>
        </is>
      </c>
      <c r="I281" t="inlineStr"/>
      <c r="J281" t="inlineStr">
        <is>
          <t>Not Started</t>
        </is>
      </c>
      <c r="K281" t="inlineStr"/>
      <c r="L281" t="inlineStr"/>
      <c r="M281" t="inlineStr"/>
      <c r="N281" t="inlineStr"/>
      <c r="O281" t="inlineStr"/>
      <c r="P281" t="inlineStr"/>
      <c r="Q281" t="inlineStr"/>
      <c r="R281" t="inlineStr"/>
      <c r="S281" t="inlineStr"/>
    </row>
    <row r="282">
      <c r="A282" t="inlineStr">
        <is>
          <t>REQ-00286</t>
        </is>
      </c>
      <c r="B282" s="13" t="inlineStr">
        <is>
          <t>52.242-15 Stop-Work Order. 1989-08 SEC F</t>
        </is>
      </c>
      <c r="C282" t="inlineStr">
        <is>
          <t>UNASSIGNED</t>
        </is>
      </c>
      <c r="D282" t="inlineStr"/>
      <c r="E282" t="inlineStr"/>
      <c r="F282" t="inlineStr">
        <is>
          <t>General</t>
        </is>
      </c>
      <c r="G282" s="9" t="inlineStr">
        <is>
          <t>Desirable</t>
        </is>
      </c>
      <c r="H282" s="6" t="inlineStr">
        <is>
          <t>Medium</t>
        </is>
      </c>
      <c r="I282" t="inlineStr"/>
      <c r="J282" t="inlineStr">
        <is>
          <t>Not Started</t>
        </is>
      </c>
      <c r="K282" t="inlineStr"/>
      <c r="L282" t="inlineStr"/>
      <c r="M282" t="inlineStr"/>
      <c r="N282" t="inlineStr"/>
      <c r="O282" t="inlineStr"/>
      <c r="P282" t="inlineStr"/>
      <c r="Q282" t="inlineStr"/>
      <c r="R282" t="inlineStr"/>
      <c r="S282" t="inlineStr"/>
    </row>
    <row r="283">
      <c r="A283" t="inlineStr">
        <is>
          <t>REQ-00287</t>
        </is>
      </c>
      <c r="B283" s="13" t="inlineStr">
        <is>
          <t>52.242-17 Government Delay of Work. 1984-04 SEC F</t>
        </is>
      </c>
      <c r="C283" t="inlineStr">
        <is>
          <t>UNASSIGNED</t>
        </is>
      </c>
      <c r="D283" t="inlineStr"/>
      <c r="E283" t="inlineStr"/>
      <c r="F283" t="inlineStr">
        <is>
          <t>General</t>
        </is>
      </c>
      <c r="G283" s="9" t="inlineStr">
        <is>
          <t>Desirable</t>
        </is>
      </c>
      <c r="H283" s="6" t="inlineStr">
        <is>
          <t>Medium</t>
        </is>
      </c>
      <c r="I283" t="inlineStr"/>
      <c r="J283" t="inlineStr">
        <is>
          <t>Not Started</t>
        </is>
      </c>
      <c r="K283" t="inlineStr"/>
      <c r="L283" t="inlineStr"/>
      <c r="M283" t="inlineStr"/>
      <c r="N283" t="inlineStr"/>
      <c r="O283" t="inlineStr"/>
      <c r="P283" t="inlineStr"/>
      <c r="Q283" t="inlineStr"/>
      <c r="R283" t="inlineStr"/>
      <c r="S283" t="inlineStr"/>
    </row>
    <row r="284">
      <c r="A284" t="inlineStr">
        <is>
          <t>REQ-00288</t>
        </is>
      </c>
      <c r="B284" s="13" t="inlineStr">
        <is>
          <t>52.243-1 Changes-Fixed-Price. 1987-08 SEC I</t>
        </is>
      </c>
      <c r="C284" t="inlineStr">
        <is>
          <t>UNASSIGNED</t>
        </is>
      </c>
      <c r="D284" t="inlineStr"/>
      <c r="E284" t="inlineStr"/>
      <c r="F284" t="inlineStr">
        <is>
          <t>General</t>
        </is>
      </c>
      <c r="G284" s="9" t="inlineStr">
        <is>
          <t>Desirable</t>
        </is>
      </c>
      <c r="H284" s="6" t="inlineStr">
        <is>
          <t>Medium</t>
        </is>
      </c>
      <c r="I284" t="inlineStr"/>
      <c r="J284" t="inlineStr">
        <is>
          <t>Not Started</t>
        </is>
      </c>
      <c r="K284" t="inlineStr"/>
      <c r="L284" t="inlineStr"/>
      <c r="M284" t="inlineStr"/>
      <c r="N284" t="inlineStr"/>
      <c r="O284" t="inlineStr"/>
      <c r="P284" t="inlineStr"/>
      <c r="Q284" t="inlineStr"/>
      <c r="R284" t="inlineStr"/>
      <c r="S284" t="inlineStr"/>
    </row>
    <row r="285">
      <c r="A285" t="inlineStr">
        <is>
          <t>REQ-00289</t>
        </is>
      </c>
      <c r="B285" s="13" t="inlineStr">
        <is>
          <t>52.243-2 Changes-Cost-Reimbursement. 1987-08 SEC I</t>
        </is>
      </c>
      <c r="C285" t="inlineStr">
        <is>
          <t>UNASSIGNED</t>
        </is>
      </c>
      <c r="D285" t="inlineStr"/>
      <c r="E285" t="inlineStr"/>
      <c r="F285" t="inlineStr">
        <is>
          <t>General</t>
        </is>
      </c>
      <c r="G285" s="9" t="inlineStr">
        <is>
          <t>Desirable</t>
        </is>
      </c>
      <c r="H285" s="6" t="inlineStr">
        <is>
          <t>Medium</t>
        </is>
      </c>
      <c r="I285" t="inlineStr"/>
      <c r="J285" t="inlineStr">
        <is>
          <t>Not Started</t>
        </is>
      </c>
      <c r="K285" t="inlineStr"/>
      <c r="L285" t="inlineStr"/>
      <c r="M285" t="inlineStr"/>
      <c r="N285" t="inlineStr"/>
      <c r="O285" t="inlineStr"/>
      <c r="P285" t="inlineStr"/>
      <c r="Q285" t="inlineStr"/>
      <c r="R285" t="inlineStr"/>
      <c r="S285" t="inlineStr"/>
    </row>
    <row r="286">
      <c r="A286" t="inlineStr">
        <is>
          <t>REQ-00290</t>
        </is>
      </c>
      <c r="B286" s="13" t="inlineStr">
        <is>
          <t>52.246-2 Inspection of Supplies-Fixed-Price. 1996-08 SEC E</t>
        </is>
      </c>
      <c r="C286" t="inlineStr">
        <is>
          <t>UNASSIGNED</t>
        </is>
      </c>
      <c r="D286" t="inlineStr"/>
      <c r="E286" t="inlineStr"/>
      <c r="F286" t="inlineStr">
        <is>
          <t>General</t>
        </is>
      </c>
      <c r="G286" s="9" t="inlineStr">
        <is>
          <t>Desirable</t>
        </is>
      </c>
      <c r="H286" s="6" t="inlineStr">
        <is>
          <t>Medium</t>
        </is>
      </c>
      <c r="I286" t="inlineStr"/>
      <c r="J286" t="inlineStr">
        <is>
          <t>Not Started</t>
        </is>
      </c>
      <c r="K286" t="inlineStr"/>
      <c r="L286" t="inlineStr"/>
      <c r="M286" t="inlineStr"/>
      <c r="N286" t="inlineStr"/>
      <c r="O286" t="inlineStr"/>
      <c r="P286" t="inlineStr"/>
      <c r="Q286" t="inlineStr"/>
      <c r="R286" t="inlineStr"/>
      <c r="S286" t="inlineStr"/>
    </row>
    <row r="287">
      <c r="A287" t="inlineStr">
        <is>
          <t>REQ-00291</t>
        </is>
      </c>
      <c r="B287" s="13" t="inlineStr">
        <is>
          <t>252.203-7003 Agency Office of the Inspector General. 2019-08 SEC I</t>
        </is>
      </c>
      <c r="C287" t="inlineStr">
        <is>
          <t>UNASSIGNED</t>
        </is>
      </c>
      <c r="D287" t="inlineStr"/>
      <c r="E287" t="inlineStr"/>
      <c r="F287" t="inlineStr">
        <is>
          <t>General</t>
        </is>
      </c>
      <c r="G287" s="9" t="inlineStr">
        <is>
          <t>Desirable</t>
        </is>
      </c>
      <c r="H287" s="6" t="inlineStr">
        <is>
          <t>Medium</t>
        </is>
      </c>
      <c r="I287" t="inlineStr"/>
      <c r="J287" t="inlineStr">
        <is>
          <t>Not Started</t>
        </is>
      </c>
      <c r="K287" t="inlineStr"/>
      <c r="L287" t="inlineStr"/>
      <c r="M287" t="inlineStr"/>
      <c r="N287" t="inlineStr"/>
      <c r="O287" t="inlineStr"/>
      <c r="P287" t="inlineStr"/>
      <c r="Q287" t="inlineStr"/>
      <c r="R287" t="inlineStr"/>
      <c r="S287" t="inlineStr"/>
    </row>
    <row r="288">
      <c r="A288" t="inlineStr">
        <is>
          <t>REQ-00292</t>
        </is>
      </c>
      <c r="B288" s="13" t="inlineStr">
        <is>
          <t>252.225-7058 Postaward Disclosure of Employment of Individuals Who 
Work in the People's Republic of China. 2023-01 SEC I</t>
        </is>
      </c>
      <c r="C288" t="inlineStr">
        <is>
          <t>UNASSIGNED</t>
        </is>
      </c>
      <c r="D288" t="inlineStr"/>
      <c r="E288" t="inlineStr"/>
      <c r="F288" t="inlineStr">
        <is>
          <t>General</t>
        </is>
      </c>
      <c r="G288" s="9" t="inlineStr">
        <is>
          <t>Desirable</t>
        </is>
      </c>
      <c r="H288" s="6" t="inlineStr">
        <is>
          <t>Medium</t>
        </is>
      </c>
      <c r="I288" t="inlineStr"/>
      <c r="J288" t="inlineStr">
        <is>
          <t>Not Started</t>
        </is>
      </c>
      <c r="K288" t="inlineStr"/>
      <c r="L288" t="inlineStr"/>
      <c r="M288" t="inlineStr"/>
      <c r="N288" t="inlineStr"/>
      <c r="O288" t="inlineStr"/>
      <c r="P288" t="inlineStr"/>
      <c r="Q288" t="inlineStr"/>
      <c r="R288" t="inlineStr"/>
      <c r="S288" t="inlineStr"/>
    </row>
    <row r="289">
      <c r="A289" t="inlineStr">
        <is>
          <t>REQ-00293</t>
        </is>
      </c>
      <c r="B289" s="13" t="inlineStr">
        <is>
          <t>252.225-7057 Preaward Disclosure of Employment of Individuals Who Work 
in the People's Republic of China. 2022-08 SEC K</t>
        </is>
      </c>
      <c r="C289" t="inlineStr">
        <is>
          <t>UNASSIGNED</t>
        </is>
      </c>
      <c r="D289" t="inlineStr"/>
      <c r="E289" t="inlineStr"/>
      <c r="F289" t="inlineStr">
        <is>
          <t>General</t>
        </is>
      </c>
      <c r="G289" s="9" t="inlineStr">
        <is>
          <t>Desirable</t>
        </is>
      </c>
      <c r="H289" s="6" t="inlineStr">
        <is>
          <t>Medium</t>
        </is>
      </c>
      <c r="I289" t="inlineStr"/>
      <c r="J289" t="inlineStr">
        <is>
          <t>Not Started</t>
        </is>
      </c>
      <c r="K289" t="inlineStr"/>
      <c r="L289" t="inlineStr"/>
      <c r="M289" t="inlineStr"/>
      <c r="N289" t="inlineStr"/>
      <c r="O289" t="inlineStr"/>
      <c r="P289" t="inlineStr"/>
      <c r="Q289" t="inlineStr"/>
      <c r="R289" t="inlineStr"/>
      <c r="S289" t="inlineStr"/>
    </row>
    <row r="290">
      <c r="A290" t="inlineStr">
        <is>
          <t>REQ-00294</t>
        </is>
      </c>
      <c r="B290" s="13" t="inlineStr">
        <is>
          <t>252.227-7027 Deferred Ordering of Technical Data or Computer Software. 1988-04 SEC I</t>
        </is>
      </c>
      <c r="C290" t="inlineStr">
        <is>
          <t>UNASSIGNED</t>
        </is>
      </c>
      <c r="D290" t="inlineStr"/>
      <c r="E290" t="inlineStr"/>
      <c r="F290" t="inlineStr">
        <is>
          <t>General</t>
        </is>
      </c>
      <c r="G290" s="9" t="inlineStr">
        <is>
          <t>Desirable</t>
        </is>
      </c>
      <c r="H290" s="6" t="inlineStr">
        <is>
          <t>Medium</t>
        </is>
      </c>
      <c r="I290" t="inlineStr"/>
      <c r="J290" t="inlineStr">
        <is>
          <t>Not Started</t>
        </is>
      </c>
      <c r="K290" t="inlineStr"/>
      <c r="L290" t="inlineStr"/>
      <c r="M290" t="inlineStr"/>
      <c r="N290" t="inlineStr"/>
      <c r="O290" t="inlineStr"/>
      <c r="P290" t="inlineStr"/>
      <c r="Q290" t="inlineStr"/>
      <c r="R290" t="inlineStr"/>
      <c r="S290" t="inlineStr"/>
    </row>
    <row r="291">
      <c r="A291" t="inlineStr">
        <is>
          <t>REQ-00295</t>
        </is>
      </c>
      <c r="B291" s="13" t="inlineStr">
        <is>
          <t>252.239-7010 Cloud Computing Services. 2023-01 SEC I</t>
        </is>
      </c>
      <c r="C291" t="inlineStr">
        <is>
          <t>UNASSIGNED</t>
        </is>
      </c>
      <c r="D291" t="inlineStr"/>
      <c r="E291" t="inlineStr"/>
      <c r="F291" t="inlineStr">
        <is>
          <t>General</t>
        </is>
      </c>
      <c r="G291" s="9" t="inlineStr">
        <is>
          <t>Desirable</t>
        </is>
      </c>
      <c r="H291" s="6" t="inlineStr">
        <is>
          <t>Medium</t>
        </is>
      </c>
      <c r="I291" t="inlineStr"/>
      <c r="J291" t="inlineStr">
        <is>
          <t>Not Started</t>
        </is>
      </c>
      <c r="K291" t="inlineStr"/>
      <c r="L291" t="inlineStr"/>
      <c r="M291" t="inlineStr"/>
      <c r="N291" t="inlineStr"/>
      <c r="O291" t="inlineStr"/>
      <c r="P291" t="inlineStr"/>
      <c r="Q291" t="inlineStr"/>
      <c r="R291" t="inlineStr"/>
      <c r="S291" t="inlineStr"/>
    </row>
    <row r="292">
      <c r="A292" t="inlineStr">
        <is>
          <t>REQ-00296</t>
        </is>
      </c>
      <c r="B292" s="13" t="inlineStr">
        <is>
          <t>252.243-7001 Pricing of Contract Modifications. 1991-12 SEC I</t>
        </is>
      </c>
      <c r="C292" t="inlineStr">
        <is>
          <t>UNASSIGNED</t>
        </is>
      </c>
      <c r="D292" t="inlineStr"/>
      <c r="E292" t="inlineStr"/>
      <c r="F292" t="inlineStr">
        <is>
          <t>General</t>
        </is>
      </c>
      <c r="G292" s="9" t="inlineStr">
        <is>
          <t>Desirable</t>
        </is>
      </c>
      <c r="H292" s="6" t="inlineStr">
        <is>
          <t>Medium</t>
        </is>
      </c>
      <c r="I292" t="inlineStr"/>
      <c r="J292" t="inlineStr">
        <is>
          <t>Not Started</t>
        </is>
      </c>
      <c r="K292" t="inlineStr"/>
      <c r="L292" t="inlineStr"/>
      <c r="M292" t="inlineStr"/>
      <c r="N292" t="inlineStr"/>
      <c r="O292" t="inlineStr"/>
      <c r="P292" t="inlineStr"/>
      <c r="Q292" t="inlineStr"/>
      <c r="R292" t="inlineStr"/>
      <c r="S292" t="inlineStr"/>
    </row>
    <row r="293">
      <c r="A293" t="inlineStr">
        <is>
          <t>REQ-00297</t>
        </is>
      </c>
      <c r="B293" s="13" t="inlineStr">
        <is>
          <t>252.227-7014 Rights in Other Than Commercial Computer Software and 
Other Than Commercial Computer Software Documentation. 2023-03 SEC I</t>
        </is>
      </c>
      <c r="C293" t="inlineStr">
        <is>
          <t>UNASSIGNED</t>
        </is>
      </c>
      <c r="D293" t="inlineStr"/>
      <c r="E293" t="inlineStr"/>
      <c r="F293" t="inlineStr">
        <is>
          <t>General</t>
        </is>
      </c>
      <c r="G293" s="9" t="inlineStr">
        <is>
          <t>Desirable</t>
        </is>
      </c>
      <c r="H293" s="6" t="inlineStr">
        <is>
          <t>Medium</t>
        </is>
      </c>
      <c r="I293" t="inlineStr"/>
      <c r="J293" t="inlineStr">
        <is>
          <t>Not Started</t>
        </is>
      </c>
      <c r="K293" t="inlineStr"/>
      <c r="L293" t="inlineStr"/>
      <c r="M293" t="inlineStr"/>
      <c r="N293" t="inlineStr"/>
      <c r="O293" t="inlineStr"/>
      <c r="P293" t="inlineStr"/>
      <c r="Q293" t="inlineStr"/>
      <c r="R293" t="inlineStr"/>
      <c r="S293" t="inlineStr"/>
    </row>
    <row r="294">
      <c r="A294" t="inlineStr">
        <is>
          <t>REQ-00298</t>
        </is>
      </c>
      <c r="B294" s="13" t="inlineStr">
        <is>
          <t>252.227-7013 Rights in Technical Data-Other Than Commercial Products 
and Commercial Services. 2023-03 SEC I</t>
        </is>
      </c>
      <c r="C294" t="inlineStr">
        <is>
          <t>UNASSIGNED</t>
        </is>
      </c>
      <c r="D294" t="inlineStr"/>
      <c r="E294" t="inlineStr"/>
      <c r="F294" t="inlineStr">
        <is>
          <t>General</t>
        </is>
      </c>
      <c r="G294" s="9" t="inlineStr">
        <is>
          <t>Desirable</t>
        </is>
      </c>
      <c r="H294" s="6" t="inlineStr">
        <is>
          <t>Medium</t>
        </is>
      </c>
      <c r="I294" t="inlineStr"/>
      <c r="J294" t="inlineStr">
        <is>
          <t>Not Started</t>
        </is>
      </c>
      <c r="K294" t="inlineStr"/>
      <c r="L294" t="inlineStr"/>
      <c r="M294" t="inlineStr"/>
      <c r="N294" t="inlineStr"/>
      <c r="O294" t="inlineStr"/>
      <c r="P294" t="inlineStr"/>
      <c r="Q294" t="inlineStr"/>
      <c r="R294" t="inlineStr"/>
      <c r="S294" t="inlineStr"/>
    </row>
    <row r="295">
      <c r="A295" t="inlineStr">
        <is>
          <t>REQ-00299</t>
        </is>
      </c>
      <c r="B295" s="13" t="inlineStr">
        <is>
          <t>252.227-7015 ALT I Technical Data-Commercial Products and Commercial 
Services. (Alternate I) 2022-03 SEC I</t>
        </is>
      </c>
      <c r="C295" t="inlineStr">
        <is>
          <t>UNASSIGNED</t>
        </is>
      </c>
      <c r="D295" t="inlineStr"/>
      <c r="E295" t="inlineStr"/>
      <c r="F295" t="inlineStr">
        <is>
          <t>General</t>
        </is>
      </c>
      <c r="G295" s="9" t="inlineStr">
        <is>
          <t>Desirable</t>
        </is>
      </c>
      <c r="H295" s="6" t="inlineStr">
        <is>
          <t>Medium</t>
        </is>
      </c>
      <c r="I295" t="inlineStr"/>
      <c r="J295" t="inlineStr">
        <is>
          <t>Not Started</t>
        </is>
      </c>
      <c r="K295" t="inlineStr"/>
      <c r="L295" t="inlineStr"/>
      <c r="M295" t="inlineStr"/>
      <c r="N295" t="inlineStr"/>
      <c r="O295" t="inlineStr"/>
      <c r="P295" t="inlineStr"/>
      <c r="Q295" t="inlineStr"/>
      <c r="R295" t="inlineStr"/>
      <c r="S295" t="inlineStr"/>
    </row>
    <row r="296">
      <c r="A296" t="inlineStr">
        <is>
          <t>REQ-00300</t>
        </is>
      </c>
      <c r="B296" s="13" t="inlineStr">
        <is>
          <t>252.239-7000 Protection Against Compromising Emanations. 2019-10 SEC I</t>
        </is>
      </c>
      <c r="C296" t="inlineStr">
        <is>
          <t>UNASSIGNED</t>
        </is>
      </c>
      <c r="D296" t="inlineStr"/>
      <c r="E296" t="inlineStr"/>
      <c r="F296" t="inlineStr">
        <is>
          <t>General</t>
        </is>
      </c>
      <c r="G296" s="9" t="inlineStr">
        <is>
          <t>Desirable</t>
        </is>
      </c>
      <c r="H296" s="6" t="inlineStr">
        <is>
          <t>Medium</t>
        </is>
      </c>
      <c r="I296" t="inlineStr"/>
      <c r="J296" t="inlineStr">
        <is>
          <t>Not Started</t>
        </is>
      </c>
      <c r="K296" t="inlineStr"/>
      <c r="L296" t="inlineStr"/>
      <c r="M296" t="inlineStr"/>
      <c r="N296" t="inlineStr"/>
      <c r="O296" t="inlineStr"/>
      <c r="P296" t="inlineStr"/>
      <c r="Q296" t="inlineStr"/>
      <c r="R296" t="inlineStr"/>
      <c r="S296" t="inlineStr"/>
    </row>
    <row r="297">
      <c r="A297" t="inlineStr">
        <is>
          <t>REQ-00301</t>
        </is>
      </c>
      <c r="B297" s="13" t="inlineStr">
        <is>
          <t>252.204-7009 Limitations on the Use or Disclosure of Third-Party Contractor 
Reported Cyber Incident Information. 2023-01 SEC I</t>
        </is>
      </c>
      <c r="C297" t="inlineStr">
        <is>
          <t>UNASSIGNED</t>
        </is>
      </c>
      <c r="D297" t="inlineStr"/>
      <c r="E297" t="inlineStr"/>
      <c r="F297" t="inlineStr">
        <is>
          <t>General</t>
        </is>
      </c>
      <c r="G297" s="9" t="inlineStr">
        <is>
          <t>Desirable</t>
        </is>
      </c>
      <c r="H297" s="6" t="inlineStr">
        <is>
          <t>Medium</t>
        </is>
      </c>
      <c r="I297" t="inlineStr"/>
      <c r="J297" t="inlineStr">
        <is>
          <t>Not Started</t>
        </is>
      </c>
      <c r="K297" t="inlineStr"/>
      <c r="L297" t="inlineStr"/>
      <c r="M297" t="inlineStr"/>
      <c r="N297" t="inlineStr"/>
      <c r="O297" t="inlineStr"/>
      <c r="P297" t="inlineStr"/>
      <c r="Q297" t="inlineStr"/>
      <c r="R297" t="inlineStr"/>
      <c r="S297" t="inlineStr"/>
    </row>
    <row r="298">
      <c r="A298" t="inlineStr">
        <is>
          <t>REQ-00302</t>
        </is>
      </c>
      <c r="B298" s="13" t="inlineStr">
        <is>
          <t>52.249-2 Termination for Convenience of the Government (Fixed-Price). 2012-04 SEC I</t>
        </is>
      </c>
      <c r="C298" t="inlineStr">
        <is>
          <t>UNASSIGNED</t>
        </is>
      </c>
      <c r="D298" t="inlineStr"/>
      <c r="E298" t="inlineStr"/>
      <c r="F298" t="inlineStr">
        <is>
          <t>General</t>
        </is>
      </c>
      <c r="G298" s="9" t="inlineStr">
        <is>
          <t>Desirable</t>
        </is>
      </c>
      <c r="H298" s="6" t="inlineStr">
        <is>
          <t>Medium</t>
        </is>
      </c>
      <c r="I298" t="inlineStr"/>
      <c r="J298" t="inlineStr">
        <is>
          <t>Not Started</t>
        </is>
      </c>
      <c r="K298" t="inlineStr"/>
      <c r="L298" t="inlineStr"/>
      <c r="M298" t="inlineStr"/>
      <c r="N298" t="inlineStr"/>
      <c r="O298" t="inlineStr"/>
      <c r="P298" t="inlineStr"/>
      <c r="Q298" t="inlineStr"/>
      <c r="R298" t="inlineStr"/>
      <c r="S298" t="inlineStr"/>
    </row>
    <row r="299">
      <c r="A299" t="inlineStr">
        <is>
          <t>REQ-00303</t>
        </is>
      </c>
      <c r="B299" s="13" t="inlineStr">
        <is>
          <t>52.249-14 Excusable Delays. 1984-04 SEC I</t>
        </is>
      </c>
      <c r="C299" t="inlineStr">
        <is>
          <t>UNASSIGNED</t>
        </is>
      </c>
      <c r="D299" t="inlineStr"/>
      <c r="E299" t="inlineStr"/>
      <c r="F299" t="inlineStr">
        <is>
          <t>General</t>
        </is>
      </c>
      <c r="G299" s="9" t="inlineStr">
        <is>
          <t>Desirable</t>
        </is>
      </c>
      <c r="H299" s="6" t="inlineStr">
        <is>
          <t>Medium</t>
        </is>
      </c>
      <c r="I299" t="inlineStr"/>
      <c r="J299" t="inlineStr">
        <is>
          <t>Not Started</t>
        </is>
      </c>
      <c r="K299" t="inlineStr"/>
      <c r="L299" t="inlineStr"/>
      <c r="M299" t="inlineStr"/>
      <c r="N299" t="inlineStr"/>
      <c r="O299" t="inlineStr"/>
      <c r="P299" t="inlineStr"/>
      <c r="Q299" t="inlineStr"/>
      <c r="R299" t="inlineStr"/>
      <c r="S299" t="inlineStr"/>
    </row>
    <row r="300">
      <c r="A300" t="inlineStr">
        <is>
          <t>REQ-00304</t>
        </is>
      </c>
      <c r="B300" s="13" t="inlineStr">
        <is>
          <t>52.249-9 Default (Fixed-Price Research and Development). 1984-04 SEC I</t>
        </is>
      </c>
      <c r="C300" t="inlineStr">
        <is>
          <t>UNASSIGNED</t>
        </is>
      </c>
      <c r="D300" t="inlineStr"/>
      <c r="E300" t="inlineStr"/>
      <c r="F300" t="inlineStr">
        <is>
          <t>General</t>
        </is>
      </c>
      <c r="G300" s="9" t="inlineStr">
        <is>
          <t>Desirable</t>
        </is>
      </c>
      <c r="H300" s="6" t="inlineStr">
        <is>
          <t>Medium</t>
        </is>
      </c>
      <c r="I300" t="inlineStr"/>
      <c r="J300" t="inlineStr">
        <is>
          <t>Not Started</t>
        </is>
      </c>
      <c r="K300" t="inlineStr"/>
      <c r="L300" t="inlineStr"/>
      <c r="M300" t="inlineStr"/>
      <c r="N300" t="inlineStr"/>
      <c r="O300" t="inlineStr"/>
      <c r="P300" t="inlineStr"/>
      <c r="Q300" t="inlineStr"/>
      <c r="R300" t="inlineStr"/>
      <c r="S300" t="inlineStr"/>
    </row>
    <row r="301">
      <c r="A301" t="inlineStr">
        <is>
          <t>REQ-00305</t>
        </is>
      </c>
      <c r="B301" s="13" t="inlineStr">
        <is>
          <t>52.246-3 Inspection of Supplies-Cost-Reimbursement. 2001-05 SEC E
CLAUSES IN FULL TEXT
CLAUSE 
NO
ALT NO/ 
DEV NO CLAUSE TITLE YEAR-
MO
CLAUSE TEXT</t>
        </is>
      </c>
      <c r="C301" t="inlineStr">
        <is>
          <t>UNASSIGNED</t>
        </is>
      </c>
      <c r="D301" t="inlineStr"/>
      <c r="E301" t="inlineStr"/>
      <c r="F301" t="inlineStr">
        <is>
          <t>General</t>
        </is>
      </c>
      <c r="G301" s="9" t="inlineStr">
        <is>
          <t>Desirable</t>
        </is>
      </c>
      <c r="H301" s="6" t="inlineStr">
        <is>
          <t>Medium</t>
        </is>
      </c>
      <c r="I301" t="inlineStr"/>
      <c r="J301" t="inlineStr">
        <is>
          <t>Not Started</t>
        </is>
      </c>
      <c r="K301" t="inlineStr"/>
      <c r="L301" t="inlineStr"/>
      <c r="M301" t="inlineStr"/>
      <c r="N301" t="inlineStr"/>
      <c r="O301" t="inlineStr"/>
      <c r="P301" t="inlineStr"/>
      <c r="Q301" t="inlineStr"/>
      <c r="R301" t="inlineStr"/>
      <c r="S301" t="inlineStr"/>
    </row>
    <row r="302">
      <c r="A302" t="inlineStr">
        <is>
          <t>REQ-00306</t>
        </is>
      </c>
      <c r="B302" s="13" t="inlineStr">
        <is>
          <t>252.211-7003 Item Unique Identification and Valuation. 2023-01
As prescribed in 211.274-5(a), use the following clause:
ITEM UNIQUE IDENTIFICATION AND VALUATION (JAN 2023)</t>
        </is>
      </c>
      <c r="C302" t="inlineStr">
        <is>
          <t>UNASSIGNED</t>
        </is>
      </c>
      <c r="D302" t="inlineStr"/>
      <c r="E302" t="inlineStr"/>
      <c r="F302" t="inlineStr">
        <is>
          <t>General</t>
        </is>
      </c>
      <c r="G302" s="9" t="inlineStr">
        <is>
          <t>Desirable</t>
        </is>
      </c>
      <c r="H302" s="6" t="inlineStr">
        <is>
          <t>Medium</t>
        </is>
      </c>
      <c r="I302" t="inlineStr"/>
      <c r="J302" t="inlineStr">
        <is>
          <t>Not Started</t>
        </is>
      </c>
      <c r="K302" t="inlineStr"/>
      <c r="L302" t="inlineStr"/>
      <c r="M302" t="inlineStr"/>
      <c r="N302" t="inlineStr"/>
      <c r="O302" t="inlineStr"/>
      <c r="P302" t="inlineStr"/>
      <c r="Q302" t="inlineStr"/>
      <c r="R302" t="inlineStr"/>
      <c r="S302" t="inlineStr"/>
    </row>
    <row r="303">
      <c r="A303" t="inlineStr">
        <is>
          <t>REQ-00307</t>
        </is>
      </c>
      <c r="B303" s="13" t="inlineStr">
        <is>
          <t>(a) . As used in this clause-        Definitions   
"Automatic identification device" means a device, such as a reader or interrogator, used to               
retrieve data encoded on machine-readable media.
"Concatenated unique item identifier" means-</t>
        </is>
      </c>
      <c r="C303" t="inlineStr">
        <is>
          <t>A</t>
        </is>
      </c>
      <c r="D303" t="inlineStr"/>
      <c r="E303" t="inlineStr"/>
      <c r="F303" t="inlineStr">
        <is>
          <t>Contract Form</t>
        </is>
      </c>
      <c r="G303" s="9" t="inlineStr">
        <is>
          <t>Desirable</t>
        </is>
      </c>
      <c r="H303" s="6" t="inlineStr">
        <is>
          <t>Medium</t>
        </is>
      </c>
      <c r="I303" t="inlineStr"/>
      <c r="J303" t="inlineStr">
        <is>
          <t>Not Started</t>
        </is>
      </c>
      <c r="K303" t="inlineStr"/>
      <c r="L303" t="inlineStr"/>
      <c r="M303" t="inlineStr"/>
      <c r="N303" t="inlineStr"/>
      <c r="O303" t="inlineStr"/>
      <c r="P303" t="inlineStr"/>
      <c r="Q303" t="inlineStr"/>
      <c r="R303" t="inlineStr"/>
      <c r="S303" t="inlineStr"/>
    </row>
    <row r="304">
      <c r="A304" t="inlineStr">
        <is>
          <t>REQ-00308</t>
        </is>
      </c>
      <c r="B304" s="13" t="inlineStr">
        <is>
          <t>(1) For items that are serialized within the enterprise identifier, the linking together of                        
the unique identifier data elements in order of the issuing agency code, enterprise identifier, and unique 
serial number within the enterprise identifier; or
DRAFT</t>
        </is>
      </c>
      <c r="C304" t="inlineStr">
        <is>
          <t>UNASSIGNED</t>
        </is>
      </c>
      <c r="D304" t="inlineStr"/>
      <c r="E304" t="inlineStr"/>
      <c r="F304" t="inlineStr">
        <is>
          <t>General</t>
        </is>
      </c>
      <c r="G304" s="9" t="inlineStr">
        <is>
          <t>Desirable</t>
        </is>
      </c>
      <c r="H304" s="6" t="inlineStr">
        <is>
          <t>Medium</t>
        </is>
      </c>
      <c r="I304" t="inlineStr"/>
      <c r="J304" t="inlineStr">
        <is>
          <t>Not Started</t>
        </is>
      </c>
      <c r="K304" t="inlineStr"/>
      <c r="L304" t="inlineStr"/>
      <c r="M304" t="inlineStr"/>
      <c r="N304" t="inlineStr"/>
      <c r="O304" t="inlineStr"/>
      <c r="P304" t="inlineStr"/>
      <c r="Q304" t="inlineStr"/>
      <c r="R304" t="inlineStr"/>
      <c r="S304" t="inlineStr"/>
    </row>
    <row r="305">
      <c r="A305" t="inlineStr">
        <is>
          <t>REQ-00309</t>
        </is>
      </c>
      <c r="B305" s="13" t="inlineStr">
        <is>
          <t>(2)  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t>
        </is>
      </c>
      <c r="C305" t="inlineStr">
        <is>
          <t>C</t>
        </is>
      </c>
      <c r="D305" t="inlineStr"/>
      <c r="E305" t="inlineStr"/>
      <c r="F305" t="inlineStr">
        <is>
          <t>Technical Requirement</t>
        </is>
      </c>
      <c r="G305" s="8" t="inlineStr">
        <is>
          <t>Mandatory</t>
        </is>
      </c>
      <c r="H305" s="5" t="inlineStr">
        <is>
          <t>High</t>
        </is>
      </c>
      <c r="I305" t="inlineStr"/>
      <c r="J305" t="inlineStr">
        <is>
          <t>Not Started</t>
        </is>
      </c>
      <c r="K305" t="inlineStr"/>
      <c r="L305" t="inlineStr"/>
      <c r="M305" t="inlineStr"/>
      <c r="N305" t="inlineStr"/>
      <c r="O305" t="inlineStr"/>
      <c r="P305" t="inlineStr"/>
      <c r="Q305" t="inlineStr"/>
      <c r="R305" t="inlineStr"/>
      <c r="S305" t="inlineStr"/>
    </row>
    <row r="306">
      <c r="A306" t="inlineStr">
        <is>
          <t>REQ-00310</t>
        </is>
      </c>
      <c r="B306" s="13" t="inlineStr">
        <is>
          <t>(1) For fixed-price type line, subline, or exhibit line items, the unit price identified in the                       
contract at the time of delivery;</t>
        </is>
      </c>
      <c r="C306" t="inlineStr">
        <is>
          <t>UNASSIGNED</t>
        </is>
      </c>
      <c r="D306" t="inlineStr"/>
      <c r="E306" t="inlineStr"/>
      <c r="F306" t="inlineStr">
        <is>
          <t>General</t>
        </is>
      </c>
      <c r="G306" s="9" t="inlineStr">
        <is>
          <t>Desirable</t>
        </is>
      </c>
      <c r="H306" s="6" t="inlineStr">
        <is>
          <t>Medium</t>
        </is>
      </c>
      <c r="I306" t="inlineStr"/>
      <c r="J306" t="inlineStr">
        <is>
          <t>Not Started</t>
        </is>
      </c>
      <c r="K306" t="inlineStr"/>
      <c r="L306" t="inlineStr"/>
      <c r="M306" t="inlineStr"/>
      <c r="N306" t="inlineStr"/>
      <c r="O306" t="inlineStr"/>
      <c r="P306" t="inlineStr"/>
      <c r="Q306" t="inlineStr"/>
      <c r="R306" t="inlineStr"/>
      <c r="S306" t="inlineStr"/>
    </row>
    <row r="307">
      <c r="A307" t="inlineStr">
        <is>
          <t>REQ-00311</t>
        </is>
      </c>
      <c r="B307" s="13" t="inlineStr">
        <is>
          <t>(2) For cost-type or undefinitized line, subline, or exhibit line items, the Contractor's                       
estimated fully burdened unit cost to the Government at the time of delivery; and</t>
        </is>
      </c>
      <c r="C307" t="inlineStr">
        <is>
          <t>UNASSIGNED</t>
        </is>
      </c>
      <c r="D307" t="inlineStr"/>
      <c r="E307" t="inlineStr"/>
      <c r="F307" t="inlineStr">
        <is>
          <t>General</t>
        </is>
      </c>
      <c r="G307" s="9" t="inlineStr">
        <is>
          <t>Desirable</t>
        </is>
      </c>
      <c r="H307" s="6" t="inlineStr">
        <is>
          <t>Medium</t>
        </is>
      </c>
      <c r="I307" t="inlineStr"/>
      <c r="J307" t="inlineStr">
        <is>
          <t>Not Started</t>
        </is>
      </c>
      <c r="K307" t="inlineStr"/>
      <c r="L307" t="inlineStr"/>
      <c r="M307" t="inlineStr"/>
      <c r="N307" t="inlineStr"/>
      <c r="O307" t="inlineStr"/>
      <c r="P307" t="inlineStr"/>
      <c r="Q307" t="inlineStr"/>
      <c r="R307" t="inlineStr"/>
      <c r="S307" t="inlineStr"/>
    </row>
    <row r="308">
      <c r="A308" t="inlineStr">
        <is>
          <t>REQ-00312</t>
        </is>
      </c>
      <c r="B308" s="13" t="inlineStr">
        <is>
          <t>(3) For items produced under a time-and-materials contract, the Contractor's estimated                       
fully burdened unit cost to the Government at the time of delivery.
"Issuing agency" means an organization responsible for assigning a globally unique identifier               
to an enterprise, as indicated in the Register of Issuing Agency Codes for ISO/IEC 15459, located at 
http://w...</t>
        </is>
      </c>
      <c r="C308" t="inlineStr">
        <is>
          <t>UNASSIGNED</t>
        </is>
      </c>
      <c r="D308" t="inlineStr"/>
      <c r="E308" t="inlineStr"/>
      <c r="F308" t="inlineStr">
        <is>
          <t>General</t>
        </is>
      </c>
      <c r="G308" s="9" t="inlineStr">
        <is>
          <t>Desirable</t>
        </is>
      </c>
      <c r="H308" s="6" t="inlineStr">
        <is>
          <t>Medium</t>
        </is>
      </c>
      <c r="I308" t="inlineStr"/>
      <c r="J308" t="inlineStr">
        <is>
          <t>Not Started</t>
        </is>
      </c>
      <c r="K308" t="inlineStr"/>
      <c r="L308" t="inlineStr"/>
      <c r="M308" t="inlineStr"/>
      <c r="N308" t="inlineStr"/>
      <c r="O308" t="inlineStr"/>
      <c r="P308" t="inlineStr"/>
      <c r="Q308" t="inlineStr"/>
      <c r="R308" t="inlineStr"/>
      <c r="S308" t="inlineStr"/>
    </row>
    <row r="309">
      <c r="A309" t="inlineStr">
        <is>
          <t>REQ-00315</t>
        </is>
      </c>
      <c r="B309" s="13" t="inlineStr">
        <is>
          <t>(b) The Contractor shall deliver all items under a contract line, subline, or exhibit line item.</t>
        </is>
      </c>
      <c r="C309" t="inlineStr">
        <is>
          <t>B</t>
        </is>
      </c>
      <c r="D309" t="inlineStr"/>
      <c r="E309" t="inlineStr"/>
      <c r="F309" t="inlineStr">
        <is>
          <t>Pricing</t>
        </is>
      </c>
      <c r="G309" s="8" t="inlineStr">
        <is>
          <t>Mandatory</t>
        </is>
      </c>
      <c r="H309" s="5" t="inlineStr">
        <is>
          <t>High</t>
        </is>
      </c>
      <c r="I309" t="inlineStr"/>
      <c r="J309" t="inlineStr">
        <is>
          <t>Not Started</t>
        </is>
      </c>
      <c r="K309" t="inlineStr"/>
      <c r="L309" t="inlineStr"/>
      <c r="M309" t="inlineStr"/>
      <c r="N309" t="inlineStr"/>
      <c r="O309" t="inlineStr"/>
      <c r="P309" t="inlineStr"/>
      <c r="Q309" t="inlineStr"/>
      <c r="R309" t="inlineStr"/>
      <c r="S309" t="inlineStr"/>
    </row>
    <row r="310">
      <c r="A310" t="inlineStr">
        <is>
          <t>REQ-00316</t>
        </is>
      </c>
      <c r="B310" s="13" t="inlineStr">
        <is>
          <t>(1) The Contractor shall provide a unique item identifier for the following:</t>
        </is>
      </c>
      <c r="C310" t="inlineStr">
        <is>
          <t>C</t>
        </is>
      </c>
      <c r="D310" t="inlineStr"/>
      <c r="E310" t="inlineStr"/>
      <c r="F310" t="inlineStr">
        <is>
          <t>Technical Requirement</t>
        </is>
      </c>
      <c r="G310" s="8" t="inlineStr">
        <is>
          <t>Mandatory</t>
        </is>
      </c>
      <c r="H310" s="5" t="inlineStr">
        <is>
          <t>High</t>
        </is>
      </c>
      <c r="I310" t="inlineStr"/>
      <c r="J310" t="inlineStr">
        <is>
          <t>Not Started</t>
        </is>
      </c>
      <c r="K310" t="inlineStr"/>
      <c r="L310" t="inlineStr"/>
      <c r="M310" t="inlineStr"/>
      <c r="N310" t="inlineStr"/>
      <c r="O310" t="inlineStr"/>
      <c r="P310" t="inlineStr"/>
      <c r="Q310" t="inlineStr"/>
      <c r="R310" t="inlineStr"/>
      <c r="S310" t="inlineStr"/>
    </row>
    <row r="311">
      <c r="A311" t="inlineStr">
        <is>
          <t>REQ-00317</t>
        </is>
      </c>
      <c r="B311" s="13" t="inlineStr">
        <is>
          <t>(i) Delivered items for which the Government's unit acquisition cost is $5,000 or more,                       
except for the following line items:    
Contract Line, Subline, or                                                   
Exhibit Line Item Number Item Description                                               
                                               ____ ____
                     ...</t>
        </is>
      </c>
      <c r="C311" t="inlineStr">
        <is>
          <t>I</t>
        </is>
      </c>
      <c r="D311" t="inlineStr"/>
      <c r="E311" t="inlineStr"/>
      <c r="F311" t="inlineStr">
        <is>
          <t>Clause</t>
        </is>
      </c>
      <c r="G311" s="9" t="inlineStr">
        <is>
          <t>Desirable</t>
        </is>
      </c>
      <c r="H311" s="6" t="inlineStr">
        <is>
          <t>Medium</t>
        </is>
      </c>
      <c r="I311" t="inlineStr"/>
      <c r="J311" t="inlineStr">
        <is>
          <t>Not Started</t>
        </is>
      </c>
      <c r="K311" t="inlineStr"/>
      <c r="L311" t="inlineStr"/>
      <c r="M311" t="inlineStr"/>
      <c r="N311" t="inlineStr"/>
      <c r="O311" t="inlineStr"/>
      <c r="P311" t="inlineStr"/>
      <c r="Q311" t="inlineStr"/>
      <c r="R311" t="inlineStr"/>
      <c r="S311" t="inlineStr"/>
    </row>
    <row r="312">
      <c r="A312" t="inlineStr">
        <is>
          <t>REQ-00318</t>
        </is>
      </c>
      <c r="B312" s="13" t="inlineStr">
        <is>
          <t>(v) Any item not included in (i), (ii), (iii), or (iv) for which the contractor creates and                       
marks a unique item identifier for traceability.</t>
        </is>
      </c>
      <c r="C312" t="inlineStr">
        <is>
          <t>UNASSIGNED</t>
        </is>
      </c>
      <c r="D312" t="inlineStr"/>
      <c r="E312" t="inlineStr"/>
      <c r="F312" t="inlineStr">
        <is>
          <t>General</t>
        </is>
      </c>
      <c r="G312" s="9" t="inlineStr">
        <is>
          <t>Desirable</t>
        </is>
      </c>
      <c r="H312" s="6" t="inlineStr">
        <is>
          <t>Medium</t>
        </is>
      </c>
      <c r="I312" t="inlineStr"/>
      <c r="J312" t="inlineStr">
        <is>
          <t>Not Started</t>
        </is>
      </c>
      <c r="K312" t="inlineStr"/>
      <c r="L312" t="inlineStr"/>
      <c r="M312" t="inlineStr"/>
      <c r="N312" t="inlineStr"/>
      <c r="O312" t="inlineStr"/>
      <c r="P312" t="inlineStr"/>
      <c r="Q312" t="inlineStr"/>
      <c r="R312" t="inlineStr"/>
      <c r="S312" t="inlineStr"/>
    </row>
    <row r="313">
      <c r="A313" t="inlineStr">
        <is>
          <t>REQ-00319</t>
        </is>
      </c>
      <c r="B313" s="13" t="inlineStr">
        <is>
          <t>(2) The unique item identifier assignment and its component data element combination shall                 
not be duplicated on any other item marked or registered in the DoD Item Unique Identification Registry 
by the contractor.</t>
        </is>
      </c>
      <c r="C313" t="inlineStr">
        <is>
          <t>C</t>
        </is>
      </c>
      <c r="D313" t="inlineStr"/>
      <c r="E313" t="inlineStr"/>
      <c r="F313" t="inlineStr">
        <is>
          <t>Technical Requirement</t>
        </is>
      </c>
      <c r="G313" s="8" t="inlineStr">
        <is>
          <t>Mandatory</t>
        </is>
      </c>
      <c r="H313" s="5" t="inlineStr">
        <is>
          <t>High</t>
        </is>
      </c>
      <c r="I313" t="inlineStr"/>
      <c r="J313" t="inlineStr">
        <is>
          <t>Not Started</t>
        </is>
      </c>
      <c r="K313" t="inlineStr"/>
      <c r="L313" t="inlineStr"/>
      <c r="M313" t="inlineStr"/>
      <c r="N313" t="inlineStr"/>
      <c r="O313" t="inlineStr"/>
      <c r="P313" t="inlineStr"/>
      <c r="Q313" t="inlineStr"/>
      <c r="R313" t="inlineStr"/>
      <c r="S313" t="inlineStr"/>
    </row>
    <row r="314">
      <c r="A314" t="inlineStr">
        <is>
          <t>REQ-00320</t>
        </is>
      </c>
      <c r="B314" s="13" t="inlineStr">
        <is>
          <t>(3) The unique item identifier component data elements shall be marked on an item using                 
two dimensional data matrix symbology that complies with ISO/IEC International Standard 16022, 
Information technology - International symbology specification - Data matrix; ECC200 data matrix 
specification.</t>
        </is>
      </c>
      <c r="C314" t="inlineStr">
        <is>
          <t>L</t>
        </is>
      </c>
      <c r="D314" t="inlineStr"/>
      <c r="E314" t="inlineStr"/>
      <c r="F314" t="inlineStr">
        <is>
          <t>Proposal Instruction</t>
        </is>
      </c>
      <c r="G314" s="8" t="inlineStr">
        <is>
          <t>Mandatory</t>
        </is>
      </c>
      <c r="H314" s="5" t="inlineStr">
        <is>
          <t>High</t>
        </is>
      </c>
      <c r="I314" t="inlineStr"/>
      <c r="J314" t="inlineStr">
        <is>
          <t>Not Started</t>
        </is>
      </c>
      <c r="K314" t="inlineStr"/>
      <c r="L314" t="inlineStr"/>
      <c r="M314" t="inlineStr"/>
      <c r="N314" t="inlineStr"/>
      <c r="O314" t="inlineStr"/>
      <c r="P314" t="inlineStr"/>
      <c r="Q314" t="inlineStr"/>
      <c r="R314" t="inlineStr"/>
      <c r="S314" t="inlineStr"/>
    </row>
    <row r="315">
      <c r="A315" t="inlineStr">
        <is>
          <t>REQ-00321</t>
        </is>
      </c>
      <c r="B315" s="13" t="inlineStr">
        <is>
          <t>(4) The Contractor shall ensure that-                
Data syntax and semantics of unique item identifiers.</t>
        </is>
      </c>
      <c r="C315" t="inlineStr">
        <is>
          <t>C</t>
        </is>
      </c>
      <c r="D315" t="inlineStr"/>
      <c r="E315" t="inlineStr"/>
      <c r="F315" t="inlineStr">
        <is>
          <t>Technical Requirement</t>
        </is>
      </c>
      <c r="G315" s="8" t="inlineStr">
        <is>
          <t>Mandatory</t>
        </is>
      </c>
      <c r="H315" s="5" t="inlineStr">
        <is>
          <t>High</t>
        </is>
      </c>
      <c r="I315" t="inlineStr"/>
      <c r="J315" t="inlineStr">
        <is>
          <t>Not Started</t>
        </is>
      </c>
      <c r="K315" t="inlineStr"/>
      <c r="L315" t="inlineStr"/>
      <c r="M315" t="inlineStr"/>
      <c r="N315" t="inlineStr"/>
      <c r="O315" t="inlineStr"/>
      <c r="P315" t="inlineStr"/>
      <c r="Q315" t="inlineStr"/>
      <c r="R315" t="inlineStr"/>
      <c r="S315" t="inlineStr"/>
    </row>
    <row r="316">
      <c r="A316" t="inlineStr">
        <is>
          <t>REQ-00322</t>
        </is>
      </c>
      <c r="B316" s="13" t="inlineStr">
        <is>
          <t>(i) The data elements (except issuing agency code) of the unique item identifier are                       
encoded within the data matrix symbol that is marked on the item using one of the following three types 
of data qualifiers, as determined by the Contractor:
(A) Application Identifiers (AIs) (Format Indicator 05 of ISO/IEC International                               
Standard 15434), in ...</t>
        </is>
      </c>
      <c r="C316" t="inlineStr">
        <is>
          <t>I</t>
        </is>
      </c>
      <c r="D316" t="inlineStr"/>
      <c r="E316" t="inlineStr"/>
      <c r="F316" t="inlineStr">
        <is>
          <t>Clause</t>
        </is>
      </c>
      <c r="G316" s="9" t="inlineStr">
        <is>
          <t>Desirable</t>
        </is>
      </c>
      <c r="H316" s="6" t="inlineStr">
        <is>
          <t>Medium</t>
        </is>
      </c>
      <c r="I316" t="inlineStr"/>
      <c r="J316" t="inlineStr">
        <is>
          <t>Not Started</t>
        </is>
      </c>
      <c r="K316" t="inlineStr"/>
      <c r="L316" t="inlineStr"/>
      <c r="M316" t="inlineStr"/>
      <c r="N316" t="inlineStr"/>
      <c r="O316" t="inlineStr"/>
      <c r="P316" t="inlineStr"/>
      <c r="Q316" t="inlineStr"/>
      <c r="R316" t="inlineStr"/>
      <c r="S316" t="inlineStr"/>
    </row>
    <row r="317">
      <c r="A317" t="inlineStr">
        <is>
          <t>REQ-00323</t>
        </is>
      </c>
      <c r="B317" s="13" t="inlineStr">
        <is>
          <t>(5) .                
Unique item identifier</t>
        </is>
      </c>
      <c r="C317" t="inlineStr">
        <is>
          <t>UNASSIGNED</t>
        </is>
      </c>
      <c r="D317" t="inlineStr"/>
      <c r="E317" t="inlineStr"/>
      <c r="F317" t="inlineStr">
        <is>
          <t>General</t>
        </is>
      </c>
      <c r="G317" s="9" t="inlineStr">
        <is>
          <t>Desirable</t>
        </is>
      </c>
      <c r="H317" s="6" t="inlineStr">
        <is>
          <t>Medium</t>
        </is>
      </c>
      <c r="I317" t="inlineStr"/>
      <c r="J317" t="inlineStr">
        <is>
          <t>Not Started</t>
        </is>
      </c>
      <c r="K317" t="inlineStr"/>
      <c r="L317" t="inlineStr"/>
      <c r="M317" t="inlineStr"/>
      <c r="N317" t="inlineStr"/>
      <c r="O317" t="inlineStr"/>
      <c r="P317" t="inlineStr"/>
      <c r="Q317" t="inlineStr"/>
      <c r="R317" t="inlineStr"/>
      <c r="S317" t="inlineStr"/>
    </row>
    <row r="318">
      <c r="A318" t="inlineStr">
        <is>
          <t>REQ-00324</t>
        </is>
      </c>
      <c r="B318" s="13" t="inlineStr">
        <is>
          <t>(i) The Contractor shall-                      
(A) Determine whether to-                              
Serialize within the enterprise identifier;                                    (1)   
DRAFT</t>
        </is>
      </c>
      <c r="C318" t="inlineStr">
        <is>
          <t>I</t>
        </is>
      </c>
      <c r="D318" t="inlineStr"/>
      <c r="E318" t="inlineStr"/>
      <c r="F318" t="inlineStr">
        <is>
          <t>Clause</t>
        </is>
      </c>
      <c r="G318" s="8" t="inlineStr">
        <is>
          <t>Mandatory</t>
        </is>
      </c>
      <c r="H318" s="5" t="inlineStr">
        <is>
          <t>High</t>
        </is>
      </c>
      <c r="I318" t="inlineStr"/>
      <c r="J318" t="inlineStr">
        <is>
          <t>Not Started</t>
        </is>
      </c>
      <c r="K318" t="inlineStr"/>
      <c r="L318" t="inlineStr"/>
      <c r="M318" t="inlineStr"/>
      <c r="N318" t="inlineStr"/>
      <c r="O318" t="inlineStr"/>
      <c r="P318" t="inlineStr"/>
      <c r="Q318" t="inlineStr"/>
      <c r="R318" t="inlineStr"/>
      <c r="S318" t="inlineStr"/>
    </row>
    <row r="319">
      <c r="A319" t="inlineStr">
        <is>
          <t>REQ-00326</t>
        </is>
      </c>
      <c r="B319" s="13" t="inlineStr">
        <is>
          <t>(d) 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t>
        </is>
      </c>
      <c r="C319" t="inlineStr">
        <is>
          <t>D</t>
        </is>
      </c>
      <c r="D319" t="inlineStr"/>
      <c r="E319" t="inlineStr"/>
      <c r="F319" t="inlineStr">
        <is>
          <t>Packaging</t>
        </is>
      </c>
      <c r="G319" s="8" t="inlineStr">
        <is>
          <t>Mandatory</t>
        </is>
      </c>
      <c r="H319" s="5" t="inlineStr">
        <is>
          <t>High</t>
        </is>
      </c>
      <c r="I319" t="inlineStr"/>
      <c r="J319" t="inlineStr">
        <is>
          <t>Not Started</t>
        </is>
      </c>
      <c r="K319" t="inlineStr"/>
      <c r="L319" t="inlineStr"/>
      <c r="M319" t="inlineStr"/>
      <c r="N319" t="inlineStr"/>
      <c r="O319" t="inlineStr"/>
      <c r="P319" t="inlineStr"/>
      <c r="Q319" t="inlineStr"/>
      <c r="R319" t="inlineStr"/>
      <c r="S319" t="inlineStr"/>
    </row>
    <row r="320">
      <c r="A320" t="inlineStr">
        <is>
          <t>REQ-00327</t>
        </is>
      </c>
      <c r="B320" s="13" t="inlineStr">
        <is>
          <t>(3) Issuing agency code (if concatenated unique item identifier is used).</t>
        </is>
      </c>
      <c r="C320" t="inlineStr">
        <is>
          <t>UNASSIGNED</t>
        </is>
      </c>
      <c r="D320" t="inlineStr"/>
      <c r="E320" t="inlineStr"/>
      <c r="F320" t="inlineStr">
        <is>
          <t>General</t>
        </is>
      </c>
      <c r="G320" s="9" t="inlineStr">
        <is>
          <t>Desirable</t>
        </is>
      </c>
      <c r="H320" s="6" t="inlineStr">
        <is>
          <t>Medium</t>
        </is>
      </c>
      <c r="I320" t="inlineStr"/>
      <c r="J320" t="inlineStr">
        <is>
          <t>Not Started</t>
        </is>
      </c>
      <c r="K320" t="inlineStr"/>
      <c r="L320" t="inlineStr"/>
      <c r="M320" t="inlineStr"/>
      <c r="N320" t="inlineStr"/>
      <c r="O320" t="inlineStr"/>
      <c r="P320" t="inlineStr"/>
      <c r="Q320" t="inlineStr"/>
      <c r="R320" t="inlineStr"/>
      <c r="S320" t="inlineStr"/>
    </row>
    <row r="321">
      <c r="A321" t="inlineStr">
        <is>
          <t>REQ-00328</t>
        </is>
      </c>
      <c r="B321" s="13" t="inlineStr">
        <is>
          <t>(4) identifier (if concatenated unique item identifier is used).                
Enterprise</t>
        </is>
      </c>
      <c r="C321" t="inlineStr">
        <is>
          <t>UNASSIGNED</t>
        </is>
      </c>
      <c r="D321" t="inlineStr"/>
      <c r="E321" t="inlineStr"/>
      <c r="F321" t="inlineStr">
        <is>
          <t>General</t>
        </is>
      </c>
      <c r="G321" s="9" t="inlineStr">
        <is>
          <t>Desirable</t>
        </is>
      </c>
      <c r="H321" s="6" t="inlineStr">
        <is>
          <t>Medium</t>
        </is>
      </c>
      <c r="I321" t="inlineStr"/>
      <c r="J321" t="inlineStr">
        <is>
          <t>Not Started</t>
        </is>
      </c>
      <c r="K321" t="inlineStr"/>
      <c r="L321" t="inlineStr"/>
      <c r="M321" t="inlineStr"/>
      <c r="N321" t="inlineStr"/>
      <c r="O321" t="inlineStr"/>
      <c r="P321" t="inlineStr"/>
      <c r="Q321" t="inlineStr"/>
      <c r="R321" t="inlineStr"/>
      <c r="S321" t="inlineStr"/>
    </row>
    <row r="322">
      <c r="A322" t="inlineStr">
        <is>
          <t>REQ-00329</t>
        </is>
      </c>
      <c r="B322" s="13" t="inlineStr">
        <is>
          <t>(5) Original part number (if there is serialization within the original part number).</t>
        </is>
      </c>
      <c r="C322" t="inlineStr">
        <is>
          <t>UNASSIGNED</t>
        </is>
      </c>
      <c r="D322" t="inlineStr"/>
      <c r="E322" t="inlineStr"/>
      <c r="F322" t="inlineStr">
        <is>
          <t>General</t>
        </is>
      </c>
      <c r="G322" s="9" t="inlineStr">
        <is>
          <t>Desirable</t>
        </is>
      </c>
      <c r="H322" s="6" t="inlineStr">
        <is>
          <t>Medium</t>
        </is>
      </c>
      <c r="I322" t="inlineStr"/>
      <c r="J322" t="inlineStr">
        <is>
          <t>Not Started</t>
        </is>
      </c>
      <c r="K322" t="inlineStr"/>
      <c r="L322" t="inlineStr"/>
      <c r="M322" t="inlineStr"/>
      <c r="N322" t="inlineStr"/>
      <c r="O322" t="inlineStr"/>
      <c r="P322" t="inlineStr"/>
      <c r="Q322" t="inlineStr"/>
      <c r="R322" t="inlineStr"/>
      <c r="S322" t="inlineStr"/>
    </row>
    <row r="323">
      <c r="A323" t="inlineStr">
        <is>
          <t>REQ-00330</t>
        </is>
      </c>
      <c r="B323" s="13" t="inlineStr">
        <is>
          <t>(6) or batch number (if there is serialization within the lot or batch number).                Lot 
DRAFT</t>
        </is>
      </c>
      <c r="C323" t="inlineStr">
        <is>
          <t>UNASSIGNED</t>
        </is>
      </c>
      <c r="D323" t="inlineStr"/>
      <c r="E323" t="inlineStr"/>
      <c r="F323" t="inlineStr">
        <is>
          <t>General</t>
        </is>
      </c>
      <c r="G323" s="9" t="inlineStr">
        <is>
          <t>Desirable</t>
        </is>
      </c>
      <c r="H323" s="6" t="inlineStr">
        <is>
          <t>Medium</t>
        </is>
      </c>
      <c r="I323" t="inlineStr"/>
      <c r="J323" t="inlineStr">
        <is>
          <t>Not Started</t>
        </is>
      </c>
      <c r="K323" t="inlineStr"/>
      <c r="L323" t="inlineStr"/>
      <c r="M323" t="inlineStr"/>
      <c r="N323" t="inlineStr"/>
      <c r="O323" t="inlineStr"/>
      <c r="P323" t="inlineStr"/>
      <c r="Q323" t="inlineStr"/>
      <c r="R323" t="inlineStr"/>
      <c r="S323" t="inlineStr"/>
    </row>
    <row r="324">
      <c r="A324" t="inlineStr">
        <is>
          <t>REQ-00331</t>
        </is>
      </c>
      <c r="B324" s="13" t="inlineStr">
        <is>
          <t>(7) Current part number (optional and only if not the same as the original part number).</t>
        </is>
      </c>
      <c r="C324" t="inlineStr">
        <is>
          <t>UNASSIGNED</t>
        </is>
      </c>
      <c r="D324" t="inlineStr"/>
      <c r="E324" t="inlineStr"/>
      <c r="F324" t="inlineStr">
        <is>
          <t>General</t>
        </is>
      </c>
      <c r="G324" s="9" t="inlineStr">
        <is>
          <t>Desirable</t>
        </is>
      </c>
      <c r="H324" s="7" t="inlineStr">
        <is>
          <t>Low</t>
        </is>
      </c>
      <c r="I324" t="inlineStr"/>
      <c r="J324" t="inlineStr">
        <is>
          <t>Not Started</t>
        </is>
      </c>
      <c r="K324" t="inlineStr"/>
      <c r="L324" t="inlineStr"/>
      <c r="M324" t="inlineStr"/>
      <c r="N324" t="inlineStr"/>
      <c r="O324" t="inlineStr"/>
      <c r="P324" t="inlineStr"/>
      <c r="Q324" t="inlineStr"/>
      <c r="R324" t="inlineStr"/>
      <c r="S324" t="inlineStr"/>
    </row>
    <row r="325">
      <c r="A325" t="inlineStr">
        <is>
          <t>REQ-00332</t>
        </is>
      </c>
      <c r="B325" s="13" t="inlineStr">
        <is>
          <t>(8) Current part number effective date (optional and only if current part number is used).</t>
        </is>
      </c>
      <c r="C325" t="inlineStr">
        <is>
          <t>UNASSIGNED</t>
        </is>
      </c>
      <c r="D325" t="inlineStr"/>
      <c r="E325" t="inlineStr"/>
      <c r="F325" t="inlineStr">
        <is>
          <t>General</t>
        </is>
      </c>
      <c r="G325" s="9" t="inlineStr">
        <is>
          <t>Desirable</t>
        </is>
      </c>
      <c r="H325" s="7" t="inlineStr">
        <is>
          <t>Low</t>
        </is>
      </c>
      <c r="I325" t="inlineStr"/>
      <c r="J325" t="inlineStr">
        <is>
          <t>Not Started</t>
        </is>
      </c>
      <c r="K325" t="inlineStr"/>
      <c r="L325" t="inlineStr"/>
      <c r="M325" t="inlineStr"/>
      <c r="N325" t="inlineStr"/>
      <c r="O325" t="inlineStr"/>
      <c r="P325" t="inlineStr"/>
      <c r="Q325" t="inlineStr"/>
      <c r="R325" t="inlineStr"/>
      <c r="S325" t="inlineStr"/>
    </row>
    <row r="326">
      <c r="A326" t="inlineStr">
        <is>
          <t>REQ-00333</t>
        </is>
      </c>
      <c r="B326" s="13" t="inlineStr">
        <is>
          <t>(9) Serial number (if concatenated unique item identifier is used).</t>
        </is>
      </c>
      <c r="C326" t="inlineStr">
        <is>
          <t>UNASSIGNED</t>
        </is>
      </c>
      <c r="D326" t="inlineStr"/>
      <c r="E326" t="inlineStr"/>
      <c r="F326" t="inlineStr">
        <is>
          <t>General</t>
        </is>
      </c>
      <c r="G326" s="9" t="inlineStr">
        <is>
          <t>Desirable</t>
        </is>
      </c>
      <c r="H326" s="6" t="inlineStr">
        <is>
          <t>Medium</t>
        </is>
      </c>
      <c r="I326" t="inlineStr"/>
      <c r="J326" t="inlineStr">
        <is>
          <t>Not Started</t>
        </is>
      </c>
      <c r="K326" t="inlineStr"/>
      <c r="L326" t="inlineStr"/>
      <c r="M326" t="inlineStr"/>
      <c r="N326" t="inlineStr"/>
      <c r="O326" t="inlineStr"/>
      <c r="P326" t="inlineStr"/>
      <c r="Q326" t="inlineStr"/>
      <c r="R326" t="inlineStr"/>
      <c r="S326" t="inlineStr"/>
    </row>
    <row r="327">
      <c r="A327" t="inlineStr">
        <is>
          <t>REQ-00334</t>
        </is>
      </c>
      <c r="B327" s="13" t="inlineStr">
        <is>
          <t>(10) Government's unit acquisition cost.</t>
        </is>
      </c>
      <c r="C327" t="inlineStr">
        <is>
          <t>UNASSIGNED</t>
        </is>
      </c>
      <c r="D327" t="inlineStr"/>
      <c r="E327" t="inlineStr"/>
      <c r="F327" t="inlineStr">
        <is>
          <t>General</t>
        </is>
      </c>
      <c r="G327" s="9" t="inlineStr">
        <is>
          <t>Desirable</t>
        </is>
      </c>
      <c r="H327" s="6" t="inlineStr">
        <is>
          <t>Medium</t>
        </is>
      </c>
      <c r="I327" t="inlineStr"/>
      <c r="J327" t="inlineStr">
        <is>
          <t>Not Started</t>
        </is>
      </c>
      <c r="K327" t="inlineStr"/>
      <c r="L327" t="inlineStr"/>
      <c r="M327" t="inlineStr"/>
      <c r="N327" t="inlineStr"/>
      <c r="O327" t="inlineStr"/>
      <c r="P327" t="inlineStr"/>
      <c r="Q327" t="inlineStr"/>
      <c r="R327" t="inlineStr"/>
      <c r="S327" t="inlineStr"/>
    </row>
    <row r="328">
      <c r="A328" t="inlineStr">
        <is>
          <t>REQ-00335</t>
        </is>
      </c>
      <c r="B328" s="13" t="inlineStr">
        <is>
          <t>(12) Type designation of the item as specified in the contract schedule, if any.</t>
        </is>
      </c>
      <c r="C328" t="inlineStr">
        <is>
          <t>UNASSIGNED</t>
        </is>
      </c>
      <c r="D328" t="inlineStr"/>
      <c r="E328" t="inlineStr"/>
      <c r="F328" t="inlineStr">
        <is>
          <t>General</t>
        </is>
      </c>
      <c r="G328" s="9" t="inlineStr">
        <is>
          <t>Desirable</t>
        </is>
      </c>
      <c r="H328" s="6" t="inlineStr">
        <is>
          <t>Medium</t>
        </is>
      </c>
      <c r="I328" t="inlineStr"/>
      <c r="J328" t="inlineStr">
        <is>
          <t>Not Started</t>
        </is>
      </c>
      <c r="K328" t="inlineStr"/>
      <c r="L328" t="inlineStr"/>
      <c r="M328" t="inlineStr"/>
      <c r="N328" t="inlineStr"/>
      <c r="O328" t="inlineStr"/>
      <c r="P328" t="inlineStr"/>
      <c r="Q328" t="inlineStr"/>
      <c r="R328" t="inlineStr"/>
      <c r="S328" t="inlineStr"/>
    </row>
    <row r="329">
      <c r="A329" t="inlineStr">
        <is>
          <t>REQ-00336</t>
        </is>
      </c>
      <c r="B329" s="13" t="inlineStr">
        <is>
          <t>(13) Whether the item is an item of Special Tooling or Special Test Equipment.</t>
        </is>
      </c>
      <c r="C329" t="inlineStr">
        <is>
          <t>UNASSIGNED</t>
        </is>
      </c>
      <c r="D329" t="inlineStr"/>
      <c r="E329" t="inlineStr"/>
      <c r="F329" t="inlineStr">
        <is>
          <t>General</t>
        </is>
      </c>
      <c r="G329" s="9" t="inlineStr">
        <is>
          <t>Desirable</t>
        </is>
      </c>
      <c r="H329" s="6" t="inlineStr">
        <is>
          <t>Medium</t>
        </is>
      </c>
      <c r="I329" t="inlineStr"/>
      <c r="J329" t="inlineStr">
        <is>
          <t>Not Started</t>
        </is>
      </c>
      <c r="K329" t="inlineStr"/>
      <c r="L329" t="inlineStr"/>
      <c r="M329" t="inlineStr"/>
      <c r="N329" t="inlineStr"/>
      <c r="O329" t="inlineStr"/>
      <c r="P329" t="inlineStr"/>
      <c r="Q329" t="inlineStr"/>
      <c r="R329" t="inlineStr"/>
      <c r="S329" t="inlineStr"/>
    </row>
    <row r="330">
      <c r="A330" t="inlineStr">
        <is>
          <t>REQ-00337</t>
        </is>
      </c>
      <c r="B330" s="13" t="inlineStr">
        <is>
          <t>(14) Whether the item is covered by a warranty.</t>
        </is>
      </c>
      <c r="C330" t="inlineStr">
        <is>
          <t>UNASSIGNED</t>
        </is>
      </c>
      <c r="D330" t="inlineStr"/>
      <c r="E330" t="inlineStr"/>
      <c r="F330" t="inlineStr">
        <is>
          <t>General</t>
        </is>
      </c>
      <c r="G330" s="9" t="inlineStr">
        <is>
          <t>Desirable</t>
        </is>
      </c>
      <c r="H330" s="6" t="inlineStr">
        <is>
          <t>Medium</t>
        </is>
      </c>
      <c r="I330" t="inlineStr"/>
      <c r="J330" t="inlineStr">
        <is>
          <t>Not Started</t>
        </is>
      </c>
      <c r="K330" t="inlineStr"/>
      <c r="L330" t="inlineStr"/>
      <c r="M330" t="inlineStr"/>
      <c r="N330" t="inlineStr"/>
      <c r="O330" t="inlineStr"/>
      <c r="P330" t="inlineStr"/>
      <c r="Q330" t="inlineStr"/>
      <c r="R330" t="inlineStr"/>
      <c r="S330" t="inlineStr"/>
    </row>
    <row r="331">
      <c r="A331" t="inlineStr">
        <is>
          <t>REQ-00338</t>
        </is>
      </c>
      <c r="B331" s="13" t="inlineStr">
        <is>
          <t>(e) 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t>
        </is>
      </c>
      <c r="C331" t="inlineStr">
        <is>
          <t>E</t>
        </is>
      </c>
      <c r="D331" t="inlineStr"/>
      <c r="E331" t="inlineStr"/>
      <c r="F331" t="inlineStr">
        <is>
          <t>Inspection</t>
        </is>
      </c>
      <c r="G331" s="8" t="inlineStr">
        <is>
          <t>Mandatory</t>
        </is>
      </c>
      <c r="H331" s="5" t="inlineStr">
        <is>
          <t>High</t>
        </is>
      </c>
      <c r="I331" t="inlineStr"/>
      <c r="J331" t="inlineStr">
        <is>
          <t>Not Started</t>
        </is>
      </c>
      <c r="K331" t="inlineStr"/>
      <c r="L331" t="inlineStr"/>
      <c r="M331" t="inlineStr"/>
      <c r="N331" t="inlineStr"/>
      <c r="O331" t="inlineStr"/>
      <c r="P331" t="inlineStr"/>
      <c r="Q331" t="inlineStr"/>
      <c r="R331" t="inlineStr"/>
      <c r="S331" t="inlineStr"/>
    </row>
    <row r="332">
      <c r="A332" t="inlineStr">
        <is>
          <t>REQ-00339</t>
        </is>
      </c>
      <c r="B332" s="13" t="inlineStr">
        <is>
          <t>(1) Unique item identifier of the parent item under paragraph (c)(1) of this clause that                 
contains the embedded subassembly, component, or part.</t>
        </is>
      </c>
      <c r="C332" t="inlineStr">
        <is>
          <t>UNASSIGNED</t>
        </is>
      </c>
      <c r="D332" t="inlineStr"/>
      <c r="E332" t="inlineStr"/>
      <c r="F332" t="inlineStr">
        <is>
          <t>General</t>
        </is>
      </c>
      <c r="G332" s="9" t="inlineStr">
        <is>
          <t>Desirable</t>
        </is>
      </c>
      <c r="H332" s="6" t="inlineStr">
        <is>
          <t>Medium</t>
        </is>
      </c>
      <c r="I332" t="inlineStr"/>
      <c r="J332" t="inlineStr">
        <is>
          <t>Not Started</t>
        </is>
      </c>
      <c r="K332" t="inlineStr"/>
      <c r="L332" t="inlineStr"/>
      <c r="M332" t="inlineStr"/>
      <c r="N332" t="inlineStr"/>
      <c r="O332" t="inlineStr"/>
      <c r="P332" t="inlineStr"/>
      <c r="Q332" t="inlineStr"/>
      <c r="R332" t="inlineStr"/>
      <c r="S332" t="inlineStr"/>
    </row>
    <row r="333">
      <c r="A333" t="inlineStr">
        <is>
          <t>REQ-00340</t>
        </is>
      </c>
      <c r="B333" s="13" t="inlineStr">
        <is>
          <t>(2) Unique item identifier of the embedded subassembly, component, or part.</t>
        </is>
      </c>
      <c r="C333" t="inlineStr">
        <is>
          <t>UNASSIGNED</t>
        </is>
      </c>
      <c r="D333" t="inlineStr"/>
      <c r="E333" t="inlineStr"/>
      <c r="F333" t="inlineStr">
        <is>
          <t>General</t>
        </is>
      </c>
      <c r="G333" s="9" t="inlineStr">
        <is>
          <t>Desirable</t>
        </is>
      </c>
      <c r="H333" s="6" t="inlineStr">
        <is>
          <t>Medium</t>
        </is>
      </c>
      <c r="I333" t="inlineStr"/>
      <c r="J333" t="inlineStr">
        <is>
          <t>Not Started</t>
        </is>
      </c>
      <c r="K333" t="inlineStr"/>
      <c r="L333" t="inlineStr"/>
      <c r="M333" t="inlineStr"/>
      <c r="N333" t="inlineStr"/>
      <c r="O333" t="inlineStr"/>
      <c r="P333" t="inlineStr"/>
      <c r="Q333" t="inlineStr"/>
      <c r="R333" t="inlineStr"/>
      <c r="S333" t="inlineStr"/>
    </row>
    <row r="334">
      <c r="A334" t="inlineStr">
        <is>
          <t>REQ-00341</t>
        </is>
      </c>
      <c r="B334" s="13" t="inlineStr">
        <is>
          <t>(4) Issuing agency code (if concatenated unique item                
identifier is used).**</t>
        </is>
      </c>
      <c r="C334" t="inlineStr">
        <is>
          <t>UNASSIGNED</t>
        </is>
      </c>
      <c r="D334" t="inlineStr"/>
      <c r="E334" t="inlineStr"/>
      <c r="F334" t="inlineStr">
        <is>
          <t>General</t>
        </is>
      </c>
      <c r="G334" s="9" t="inlineStr">
        <is>
          <t>Desirable</t>
        </is>
      </c>
      <c r="H334" s="6" t="inlineStr">
        <is>
          <t>Medium</t>
        </is>
      </c>
      <c r="I334" t="inlineStr"/>
      <c r="J334" t="inlineStr">
        <is>
          <t>Not Started</t>
        </is>
      </c>
      <c r="K334" t="inlineStr"/>
      <c r="L334" t="inlineStr"/>
      <c r="M334" t="inlineStr"/>
      <c r="N334" t="inlineStr"/>
      <c r="O334" t="inlineStr"/>
      <c r="P334" t="inlineStr"/>
      <c r="Q334" t="inlineStr"/>
      <c r="R334" t="inlineStr"/>
      <c r="S334" t="inlineStr"/>
    </row>
    <row r="335">
      <c r="A335" t="inlineStr">
        <is>
          <t>REQ-00342</t>
        </is>
      </c>
      <c r="B335" s="13" t="inlineStr">
        <is>
          <t>(5) identifier (if concatenated unique item identifier is used).**                Enterprise</t>
        </is>
      </c>
      <c r="C335" t="inlineStr">
        <is>
          <t>UNASSIGNED</t>
        </is>
      </c>
      <c r="D335" t="inlineStr"/>
      <c r="E335" t="inlineStr"/>
      <c r="F335" t="inlineStr">
        <is>
          <t>General</t>
        </is>
      </c>
      <c r="G335" s="9" t="inlineStr">
        <is>
          <t>Desirable</t>
        </is>
      </c>
      <c r="H335" s="6" t="inlineStr">
        <is>
          <t>Medium</t>
        </is>
      </c>
      <c r="I335" t="inlineStr"/>
      <c r="J335" t="inlineStr">
        <is>
          <t>Not Started</t>
        </is>
      </c>
      <c r="K335" t="inlineStr"/>
      <c r="L335" t="inlineStr"/>
      <c r="M335" t="inlineStr"/>
      <c r="N335" t="inlineStr"/>
      <c r="O335" t="inlineStr"/>
      <c r="P335" t="inlineStr"/>
      <c r="Q335" t="inlineStr"/>
      <c r="R335" t="inlineStr"/>
      <c r="S335" t="inlineStr"/>
    </row>
    <row r="336">
      <c r="A336" t="inlineStr">
        <is>
          <t>REQ-00343</t>
        </is>
      </c>
      <c r="B336" s="13" t="inlineStr">
        <is>
          <t>(6) Original part number (if there is serialization within the original part number).**</t>
        </is>
      </c>
      <c r="C336" t="inlineStr">
        <is>
          <t>UNASSIGNED</t>
        </is>
      </c>
      <c r="D336" t="inlineStr"/>
      <c r="E336" t="inlineStr"/>
      <c r="F336" t="inlineStr">
        <is>
          <t>General</t>
        </is>
      </c>
      <c r="G336" s="9" t="inlineStr">
        <is>
          <t>Desirable</t>
        </is>
      </c>
      <c r="H336" s="6" t="inlineStr">
        <is>
          <t>Medium</t>
        </is>
      </c>
      <c r="I336" t="inlineStr"/>
      <c r="J336" t="inlineStr">
        <is>
          <t>Not Started</t>
        </is>
      </c>
      <c r="K336" t="inlineStr"/>
      <c r="L336" t="inlineStr"/>
      <c r="M336" t="inlineStr"/>
      <c r="N336" t="inlineStr"/>
      <c r="O336" t="inlineStr"/>
      <c r="P336" t="inlineStr"/>
      <c r="Q336" t="inlineStr"/>
      <c r="R336" t="inlineStr"/>
      <c r="S336" t="inlineStr"/>
    </row>
    <row r="337">
      <c r="A337" t="inlineStr">
        <is>
          <t>REQ-00344</t>
        </is>
      </c>
      <c r="B337" s="13" t="inlineStr">
        <is>
          <t>(7) or batch number (if there is serialization within the lot or batch number).**                Lot 
DRAFT</t>
        </is>
      </c>
      <c r="C337" t="inlineStr">
        <is>
          <t>UNASSIGNED</t>
        </is>
      </c>
      <c r="D337" t="inlineStr"/>
      <c r="E337" t="inlineStr"/>
      <c r="F337" t="inlineStr">
        <is>
          <t>General</t>
        </is>
      </c>
      <c r="G337" s="9" t="inlineStr">
        <is>
          <t>Desirable</t>
        </is>
      </c>
      <c r="H337" s="6" t="inlineStr">
        <is>
          <t>Medium</t>
        </is>
      </c>
      <c r="I337" t="inlineStr"/>
      <c r="J337" t="inlineStr">
        <is>
          <t>Not Started</t>
        </is>
      </c>
      <c r="K337" t="inlineStr"/>
      <c r="L337" t="inlineStr"/>
      <c r="M337" t="inlineStr"/>
      <c r="N337" t="inlineStr"/>
      <c r="O337" t="inlineStr"/>
      <c r="P337" t="inlineStr"/>
      <c r="Q337" t="inlineStr"/>
      <c r="R337" t="inlineStr"/>
      <c r="S337" t="inlineStr"/>
    </row>
    <row r="338">
      <c r="A338" t="inlineStr">
        <is>
          <t>REQ-00345</t>
        </is>
      </c>
      <c r="B338" s="13" t="inlineStr">
        <is>
          <t>(8) Current part number (optional and only if not the same as the original part number).**</t>
        </is>
      </c>
      <c r="C338" t="inlineStr">
        <is>
          <t>UNASSIGNED</t>
        </is>
      </c>
      <c r="D338" t="inlineStr"/>
      <c r="E338" t="inlineStr"/>
      <c r="F338" t="inlineStr">
        <is>
          <t>General</t>
        </is>
      </c>
      <c r="G338" s="9" t="inlineStr">
        <is>
          <t>Desirable</t>
        </is>
      </c>
      <c r="H338" s="7" t="inlineStr">
        <is>
          <t>Low</t>
        </is>
      </c>
      <c r="I338" t="inlineStr"/>
      <c r="J338" t="inlineStr">
        <is>
          <t>Not Started</t>
        </is>
      </c>
      <c r="K338" t="inlineStr"/>
      <c r="L338" t="inlineStr"/>
      <c r="M338" t="inlineStr"/>
      <c r="N338" t="inlineStr"/>
      <c r="O338" t="inlineStr"/>
      <c r="P338" t="inlineStr"/>
      <c r="Q338" t="inlineStr"/>
      <c r="R338" t="inlineStr"/>
      <c r="S338" t="inlineStr"/>
    </row>
    <row r="339">
      <c r="A339" t="inlineStr">
        <is>
          <t>REQ-00346</t>
        </is>
      </c>
      <c r="B339" s="13" t="inlineStr">
        <is>
          <t>(9) Current part number effective date (optional and only if current part number is used).**</t>
        </is>
      </c>
      <c r="C339" t="inlineStr">
        <is>
          <t>UNASSIGNED</t>
        </is>
      </c>
      <c r="D339" t="inlineStr"/>
      <c r="E339" t="inlineStr"/>
      <c r="F339" t="inlineStr">
        <is>
          <t>General</t>
        </is>
      </c>
      <c r="G339" s="9" t="inlineStr">
        <is>
          <t>Desirable</t>
        </is>
      </c>
      <c r="H339" s="7" t="inlineStr">
        <is>
          <t>Low</t>
        </is>
      </c>
      <c r="I339" t="inlineStr"/>
      <c r="J339" t="inlineStr">
        <is>
          <t>Not Started</t>
        </is>
      </c>
      <c r="K339" t="inlineStr"/>
      <c r="L339" t="inlineStr"/>
      <c r="M339" t="inlineStr"/>
      <c r="N339" t="inlineStr"/>
      <c r="O339" t="inlineStr"/>
      <c r="P339" t="inlineStr"/>
      <c r="Q339" t="inlineStr"/>
      <c r="R339" t="inlineStr"/>
      <c r="S339" t="inlineStr"/>
    </row>
    <row r="340">
      <c r="A340" t="inlineStr">
        <is>
          <t>REQ-00347</t>
        </is>
      </c>
      <c r="B340" s="13" t="inlineStr">
        <is>
          <t>(10) Serial number (if concatenated unique item identifier is used).**</t>
        </is>
      </c>
      <c r="C340" t="inlineStr">
        <is>
          <t>UNASSIGNED</t>
        </is>
      </c>
      <c r="D340" t="inlineStr"/>
      <c r="E340" t="inlineStr"/>
      <c r="F340" t="inlineStr">
        <is>
          <t>General</t>
        </is>
      </c>
      <c r="G340" s="9" t="inlineStr">
        <is>
          <t>Desirable</t>
        </is>
      </c>
      <c r="H340" s="6" t="inlineStr">
        <is>
          <t>Medium</t>
        </is>
      </c>
      <c r="I340" t="inlineStr"/>
      <c r="J340" t="inlineStr">
        <is>
          <t>Not Started</t>
        </is>
      </c>
      <c r="K340" t="inlineStr"/>
      <c r="L340" t="inlineStr"/>
      <c r="M340" t="inlineStr"/>
      <c r="N340" t="inlineStr"/>
      <c r="O340" t="inlineStr"/>
      <c r="P340" t="inlineStr"/>
      <c r="Q340" t="inlineStr"/>
      <c r="R340" t="inlineStr"/>
      <c r="S340" t="inlineStr"/>
    </row>
    <row r="341">
      <c r="A341" t="inlineStr">
        <is>
          <t>REQ-00348</t>
        </is>
      </c>
      <c r="B341" s="13" t="inlineStr">
        <is>
          <t>(11) Description.                
** Once per item.</t>
        </is>
      </c>
      <c r="C341" t="inlineStr">
        <is>
          <t>UNASSIGNED</t>
        </is>
      </c>
      <c r="D341" t="inlineStr"/>
      <c r="E341" t="inlineStr"/>
      <c r="F341" t="inlineStr">
        <is>
          <t>General</t>
        </is>
      </c>
      <c r="G341" s="9" t="inlineStr">
        <is>
          <t>Desirable</t>
        </is>
      </c>
      <c r="H341" s="6" t="inlineStr">
        <is>
          <t>Medium</t>
        </is>
      </c>
      <c r="I341" t="inlineStr"/>
      <c r="J341" t="inlineStr">
        <is>
          <t>Not Started</t>
        </is>
      </c>
      <c r="K341" t="inlineStr"/>
      <c r="L341" t="inlineStr"/>
      <c r="M341" t="inlineStr"/>
      <c r="N341" t="inlineStr"/>
      <c r="O341" t="inlineStr"/>
      <c r="P341" t="inlineStr"/>
      <c r="Q341" t="inlineStr"/>
      <c r="R341" t="inlineStr"/>
      <c r="S341" t="inlineStr"/>
    </row>
    <row r="342">
      <c r="A342" t="inlineStr">
        <is>
          <t>REQ-00349</t>
        </is>
      </c>
      <c r="B342" s="13" t="inlineStr">
        <is>
          <t>(f) The Contractor shall submit the information required by paragraphs (d) and (e) of this clause as         
follows:</t>
        </is>
      </c>
      <c r="C342" t="inlineStr">
        <is>
          <t>F</t>
        </is>
      </c>
      <c r="D342" t="inlineStr"/>
      <c r="E342" t="inlineStr"/>
      <c r="F342" t="inlineStr">
        <is>
          <t>Delivery</t>
        </is>
      </c>
      <c r="G342" s="8" t="inlineStr">
        <is>
          <t>Mandatory</t>
        </is>
      </c>
      <c r="H342" s="5" t="inlineStr">
        <is>
          <t>High</t>
        </is>
      </c>
      <c r="I342" t="inlineStr"/>
      <c r="J342" t="inlineStr">
        <is>
          <t>Not Started</t>
        </is>
      </c>
      <c r="K342" t="inlineStr"/>
      <c r="L342" t="inlineStr"/>
      <c r="M342" t="inlineStr"/>
      <c r="N342" t="inlineStr"/>
      <c r="O342" t="inlineStr"/>
      <c r="P342" t="inlineStr"/>
      <c r="Q342" t="inlineStr"/>
      <c r="R342" t="inlineStr"/>
      <c r="S342" t="inlineStr"/>
    </row>
    <row r="343">
      <c r="A343" t="inlineStr">
        <is>
          <t>REQ-00350</t>
        </is>
      </c>
      <c r="B343" s="13" t="inlineStr">
        <is>
          <t>(1) End items shall be reported using the receiving report capability in Wide Area WorkFlow                 
(WAWF) in accordance with the clause at 252.232-7003. If WAWF is not required by this contract, and 
the contractor is not using WAWF, follow the procedures at http://dodprocurementtoolbox.com/site
/uidregistry/.</t>
        </is>
      </c>
      <c r="C343" t="inlineStr">
        <is>
          <t>C</t>
        </is>
      </c>
      <c r="D343" t="inlineStr"/>
      <c r="E343" t="inlineStr"/>
      <c r="F343" t="inlineStr">
        <is>
          <t>Technical Requirement</t>
        </is>
      </c>
      <c r="G343" s="8" t="inlineStr">
        <is>
          <t>Mandatory</t>
        </is>
      </c>
      <c r="H343" s="5" t="inlineStr">
        <is>
          <t>High</t>
        </is>
      </c>
      <c r="I343" t="inlineStr"/>
      <c r="J343" t="inlineStr">
        <is>
          <t>Not Started</t>
        </is>
      </c>
      <c r="K343" t="inlineStr"/>
      <c r="L343" t="inlineStr"/>
      <c r="M343" t="inlineStr"/>
      <c r="N343" t="inlineStr"/>
      <c r="O343" t="inlineStr"/>
      <c r="P343" t="inlineStr"/>
      <c r="Q343" t="inlineStr"/>
      <c r="R343" t="inlineStr"/>
      <c r="S343" t="inlineStr"/>
    </row>
    <row r="344">
      <c r="A344" t="inlineStr">
        <is>
          <t>REQ-00351</t>
        </is>
      </c>
      <c r="B344" s="13" t="inlineStr">
        <is>
          <t>(2) Embedded items shall be reported by one of the following methods-</t>
        </is>
      </c>
      <c r="C344" t="inlineStr">
        <is>
          <t>C</t>
        </is>
      </c>
      <c r="D344" t="inlineStr"/>
      <c r="E344" t="inlineStr"/>
      <c r="F344" t="inlineStr">
        <is>
          <t>Technical Requirement</t>
        </is>
      </c>
      <c r="G344" s="8" t="inlineStr">
        <is>
          <t>Mandatory</t>
        </is>
      </c>
      <c r="H344" s="5" t="inlineStr">
        <is>
          <t>High</t>
        </is>
      </c>
      <c r="I344" t="inlineStr"/>
      <c r="J344" t="inlineStr">
        <is>
          <t>Not Started</t>
        </is>
      </c>
      <c r="K344" t="inlineStr"/>
      <c r="L344" t="inlineStr"/>
      <c r="M344" t="inlineStr"/>
      <c r="N344" t="inlineStr"/>
      <c r="O344" t="inlineStr"/>
      <c r="P344" t="inlineStr"/>
      <c r="Q344" t="inlineStr"/>
      <c r="R344" t="inlineStr"/>
      <c r="S344" t="inlineStr"/>
    </row>
    <row r="345">
      <c r="A345" t="inlineStr">
        <is>
          <t>REQ-00352</t>
        </is>
      </c>
      <c r="B345" s="13" t="inlineStr">
        <is>
          <t>(i) Use of the embedded items capability in WAWF;                      
(ii) Direct data submission to the IUID Registry following the procedures and formats at                       
http://dodprocurementtoolbox.com/site/uidregistry/; or
(iii) Via WAWF as a deliverable attachment for exhibit line item number (fill in) ,                       ____
Unique Item Identifier Report for Embedded Item...</t>
        </is>
      </c>
      <c r="C345" t="inlineStr">
        <is>
          <t>I</t>
        </is>
      </c>
      <c r="D345" t="inlineStr"/>
      <c r="E345" t="inlineStr"/>
      <c r="F345" t="inlineStr">
        <is>
          <t>Clause</t>
        </is>
      </c>
      <c r="G345" s="9" t="inlineStr">
        <is>
          <t>Desirable</t>
        </is>
      </c>
      <c r="H345" s="6" t="inlineStr">
        <is>
          <t>Medium</t>
        </is>
      </c>
      <c r="I345" t="inlineStr"/>
      <c r="J345" t="inlineStr">
        <is>
          <t>Not Started</t>
        </is>
      </c>
      <c r="K345" t="inlineStr"/>
      <c r="L345" t="inlineStr"/>
      <c r="M345" t="inlineStr"/>
      <c r="N345" t="inlineStr"/>
      <c r="O345" t="inlineStr"/>
      <c r="P345" t="inlineStr"/>
      <c r="Q345" t="inlineStr"/>
      <c r="R345" t="inlineStr"/>
      <c r="S345" t="inlineStr"/>
    </row>
    <row r="346">
      <c r="A346" t="inlineStr">
        <is>
          <t>REQ-00353</t>
        </is>
      </c>
      <c r="B346" s="13" t="inlineStr">
        <is>
          <t>(g) . If the Contractor acquires by subcontract, any item(s) for which item unique         Subcontracts   
identification is required in accordance with paragraph (c)(1) of this clause, the Contractor shall include 
this clause, including this paragraph (g), in the applicable subcontract(s), including subcontracts for 
commercial products or commercial services.
(End of clause)</t>
        </is>
      </c>
      <c r="C346" t="inlineStr">
        <is>
          <t>G</t>
        </is>
      </c>
      <c r="D346" t="inlineStr"/>
      <c r="E346" t="inlineStr"/>
      <c r="F346" t="inlineStr">
        <is>
          <t>Administration</t>
        </is>
      </c>
      <c r="G346" s="8" t="inlineStr">
        <is>
          <t>Mandatory</t>
        </is>
      </c>
      <c r="H346" s="5" t="inlineStr">
        <is>
          <t>High</t>
        </is>
      </c>
      <c r="I346" t="inlineStr"/>
      <c r="J346" t="inlineStr">
        <is>
          <t>Not Started</t>
        </is>
      </c>
      <c r="K346" t="inlineStr"/>
      <c r="L346" t="inlineStr"/>
      <c r="M346" t="inlineStr"/>
      <c r="N346" t="inlineStr"/>
      <c r="O346" t="inlineStr"/>
      <c r="P346" t="inlineStr"/>
      <c r="Q346" t="inlineStr"/>
      <c r="R346" t="inlineStr"/>
      <c r="S346" t="inlineStr"/>
    </row>
    <row r="347">
      <c r="A347" t="inlineStr">
        <is>
          <t>REQ-00354</t>
        </is>
      </c>
      <c r="B347" s="13" t="inlineStr">
        <is>
          <t>252.215-7008 Only One Offer. 2022-12
As prescribed at 215.408(3), use the following provision:
ONLY ONE OFFER (DEC 2022)
DRAFT</t>
        </is>
      </c>
      <c r="C347" t="inlineStr">
        <is>
          <t>UNASSIGNED</t>
        </is>
      </c>
      <c r="D347" t="inlineStr"/>
      <c r="E347" t="inlineStr"/>
      <c r="F347" t="inlineStr">
        <is>
          <t>General</t>
        </is>
      </c>
      <c r="G347" s="9" t="inlineStr">
        <is>
          <t>Desirable</t>
        </is>
      </c>
      <c r="H347" s="6" t="inlineStr">
        <is>
          <t>Medium</t>
        </is>
      </c>
      <c r="I347" t="inlineStr"/>
      <c r="J347" t="inlineStr">
        <is>
          <t>Not Started</t>
        </is>
      </c>
      <c r="K347" t="inlineStr"/>
      <c r="L347" t="inlineStr"/>
      <c r="M347" t="inlineStr"/>
      <c r="N347" t="inlineStr"/>
      <c r="O347" t="inlineStr"/>
      <c r="P347" t="inlineStr"/>
      <c r="Q347" t="inlineStr"/>
      <c r="R347" t="inlineStr"/>
      <c r="S347" t="inlineStr"/>
    </row>
    <row r="348">
      <c r="A348" t="inlineStr">
        <is>
          <t>REQ-00355</t>
        </is>
      </c>
      <c r="B348" s="13" t="inlineStr">
        <is>
          <t>(a)  .  After initial submission of offers, if the Contracting Cost or pricing data requirements
Officer notifies the Offeror that only one offer was received, the Offeror agrees to-</t>
        </is>
      </c>
      <c r="C348" t="inlineStr">
        <is>
          <t>A</t>
        </is>
      </c>
      <c r="D348" t="inlineStr"/>
      <c r="E348" t="inlineStr"/>
      <c r="F348" t="inlineStr">
        <is>
          <t>Contract Form</t>
        </is>
      </c>
      <c r="G348" s="9" t="inlineStr">
        <is>
          <t>Desirable</t>
        </is>
      </c>
      <c r="H348" s="6" t="inlineStr">
        <is>
          <t>Medium</t>
        </is>
      </c>
      <c r="I348" t="inlineStr"/>
      <c r="J348" t="inlineStr">
        <is>
          <t>Not Started</t>
        </is>
      </c>
      <c r="K348" t="inlineStr"/>
      <c r="L348" t="inlineStr"/>
      <c r="M348" t="inlineStr"/>
      <c r="N348" t="inlineStr"/>
      <c r="O348" t="inlineStr"/>
      <c r="P348" t="inlineStr"/>
      <c r="Q348" t="inlineStr"/>
      <c r="R348" t="inlineStr"/>
      <c r="S348" t="inlineStr"/>
    </row>
    <row r="349">
      <c r="A349" t="inlineStr">
        <is>
          <t>REQ-00356</t>
        </is>
      </c>
      <c r="B349" s="13" t="inlineStr">
        <is>
          <t>(1)  Submit any additional cost or pricing data that is required in order to determine whether 
the price is fair and reasonable (10 U.S.C. 3705) or to comply with the statutory requirement for certified 
cost or pricing data (10 U.S.C. 3702 and FAR 15.403-3); and</t>
        </is>
      </c>
      <c r="C349" t="inlineStr">
        <is>
          <t>UNASSIGNED</t>
        </is>
      </c>
      <c r="D349" t="inlineStr"/>
      <c r="E349" t="inlineStr"/>
      <c r="F349" t="inlineStr">
        <is>
          <t>General</t>
        </is>
      </c>
      <c r="G349" s="8" t="inlineStr">
        <is>
          <t>Mandatory</t>
        </is>
      </c>
      <c r="H349" s="6" t="inlineStr">
        <is>
          <t>Medium</t>
        </is>
      </c>
      <c r="I349" t="inlineStr"/>
      <c r="J349" t="inlineStr">
        <is>
          <t>Not Started</t>
        </is>
      </c>
      <c r="K349" t="inlineStr"/>
      <c r="L349" t="inlineStr"/>
      <c r="M349" t="inlineStr"/>
      <c r="N349" t="inlineStr"/>
      <c r="O349" t="inlineStr"/>
      <c r="P349" t="inlineStr"/>
      <c r="Q349" t="inlineStr"/>
      <c r="R349" t="inlineStr"/>
      <c r="S349" t="inlineStr"/>
    </row>
    <row r="350">
      <c r="A350" t="inlineStr">
        <is>
          <t>REQ-00357</t>
        </is>
      </c>
      <c r="B350" s="13" t="inlineStr">
        <is>
          <t>(2)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t>
        </is>
      </c>
      <c r="C350" t="inlineStr">
        <is>
          <t>UNASSIGNED</t>
        </is>
      </c>
      <c r="D350" t="inlineStr"/>
      <c r="E350" t="inlineStr"/>
      <c r="F350" t="inlineStr">
        <is>
          <t>General</t>
        </is>
      </c>
      <c r="G350" s="9" t="inlineStr">
        <is>
          <t>Desirable</t>
        </is>
      </c>
      <c r="H350" s="6" t="inlineStr">
        <is>
          <t>Medium</t>
        </is>
      </c>
      <c r="I350" t="inlineStr"/>
      <c r="J350" t="inlineStr">
        <is>
          <t>Not Started</t>
        </is>
      </c>
      <c r="K350" t="inlineStr"/>
      <c r="L350" t="inlineStr"/>
      <c r="M350" t="inlineStr"/>
      <c r="N350" t="inlineStr"/>
      <c r="O350" t="inlineStr"/>
      <c r="P350" t="inlineStr"/>
      <c r="Q350" t="inlineStr"/>
      <c r="R350" t="inlineStr"/>
      <c r="S350" t="inlineStr"/>
    </row>
    <row r="351">
      <c r="A351" t="inlineStr">
        <is>
          <t>REQ-00358</t>
        </is>
      </c>
      <c r="B351" s="13" t="inlineStr">
        <is>
          <t>(b)  .  If the Offeror is the Canadian Commercial Corporation, Canadian Commercial Corporation
certified cost or pricing data are not required. If the Contracting Officer notifies the Canadian 
Commercial Corporation that additional data other than certified cost or pricing data are required in 
accordance with DFARS 225.870-4(c), the Canadian Commercial Corporation shall obtain and provide 
th...</t>
        </is>
      </c>
      <c r="C351" t="inlineStr">
        <is>
          <t>B</t>
        </is>
      </c>
      <c r="D351" t="inlineStr"/>
      <c r="E351" t="inlineStr"/>
      <c r="F351" t="inlineStr">
        <is>
          <t>Pricing</t>
        </is>
      </c>
      <c r="G351" s="8" t="inlineStr">
        <is>
          <t>Mandatory</t>
        </is>
      </c>
      <c r="H351" s="5" t="inlineStr">
        <is>
          <t>High</t>
        </is>
      </c>
      <c r="I351" t="inlineStr"/>
      <c r="J351" t="inlineStr">
        <is>
          <t>Not Started</t>
        </is>
      </c>
      <c r="K351" t="inlineStr"/>
      <c r="L351" t="inlineStr"/>
      <c r="M351" t="inlineStr"/>
      <c r="N351" t="inlineStr"/>
      <c r="O351" t="inlineStr"/>
      <c r="P351" t="inlineStr"/>
      <c r="Q351" t="inlineStr"/>
      <c r="R351" t="inlineStr"/>
      <c r="S351" t="inlineStr"/>
    </row>
    <row r="352">
      <c r="A352" t="inlineStr">
        <is>
          <t>REQ-00359</t>
        </is>
      </c>
      <c r="B352" s="13" t="inlineStr">
        <is>
          <t>(2) Analysis provided by Public Works and Government Services Canada to the Canadian 
Commercial Corporation to determine a fair and reasonable price (comparable to the analysis required at 
FAR 15.404-1).</t>
        </is>
      </c>
      <c r="C352" t="inlineStr">
        <is>
          <t>UNASSIGNED</t>
        </is>
      </c>
      <c r="D352" t="inlineStr"/>
      <c r="E352" t="inlineStr"/>
      <c r="F352" t="inlineStr">
        <is>
          <t>General</t>
        </is>
      </c>
      <c r="G352" s="8" t="inlineStr">
        <is>
          <t>Mandatory</t>
        </is>
      </c>
      <c r="H352" s="6" t="inlineStr">
        <is>
          <t>Medium</t>
        </is>
      </c>
      <c r="I352" t="inlineStr"/>
      <c r="J352" t="inlineStr">
        <is>
          <t>Not Started</t>
        </is>
      </c>
      <c r="K352" t="inlineStr"/>
      <c r="L352" t="inlineStr"/>
      <c r="M352" t="inlineStr"/>
      <c r="N352" t="inlineStr"/>
      <c r="O352" t="inlineStr"/>
      <c r="P352" t="inlineStr"/>
      <c r="Q352" t="inlineStr"/>
      <c r="R352" t="inlineStr"/>
      <c r="S352" t="inlineStr"/>
    </row>
    <row r="353">
      <c r="A353" t="inlineStr">
        <is>
          <t>REQ-00360</t>
        </is>
      </c>
      <c r="B353" s="13" t="inlineStr">
        <is>
          <t>(3) Data other than certified cost or pricing data necessary to permit a determination by the U.</t>
        </is>
      </c>
      <c r="C353" t="inlineStr">
        <is>
          <t>UNASSIGNED</t>
        </is>
      </c>
      <c r="D353" t="inlineStr"/>
      <c r="E353" t="inlineStr"/>
      <c r="F353" t="inlineStr">
        <is>
          <t>General</t>
        </is>
      </c>
      <c r="G353" s="9" t="inlineStr">
        <is>
          <t>Desirable</t>
        </is>
      </c>
      <c r="H353" s="6" t="inlineStr">
        <is>
          <t>Medium</t>
        </is>
      </c>
      <c r="I353" t="inlineStr"/>
      <c r="J353" t="inlineStr">
        <is>
          <t>Not Started</t>
        </is>
      </c>
      <c r="K353" t="inlineStr"/>
      <c r="L353" t="inlineStr"/>
      <c r="M353" t="inlineStr"/>
      <c r="N353" t="inlineStr"/>
      <c r="O353" t="inlineStr"/>
      <c r="P353" t="inlineStr"/>
      <c r="Q353" t="inlineStr"/>
      <c r="R353" t="inlineStr"/>
      <c r="S353" t="inlineStr"/>
    </row>
    <row r="354">
      <c r="A354" t="inlineStr">
        <is>
          <t>REQ-00361</t>
        </is>
      </c>
      <c r="B354" s="13" t="inlineStr">
        <is>
          <t>S. Contracting Officer that the proposed price is fair and reasonable [
____ U.S. Contracting Officer to 
].provide description of the data required in accordance with FAR 15.403-3(a)(1) with the notification</t>
        </is>
      </c>
      <c r="C354" t="inlineStr">
        <is>
          <t>UNASSIGNED</t>
        </is>
      </c>
      <c r="D354" t="inlineStr"/>
      <c r="E354" t="inlineStr"/>
      <c r="F354" t="inlineStr">
        <is>
          <t>General</t>
        </is>
      </c>
      <c r="G354" s="8" t="inlineStr">
        <is>
          <t>Mandatory</t>
        </is>
      </c>
      <c r="H354" s="6" t="inlineStr">
        <is>
          <t>Medium</t>
        </is>
      </c>
      <c r="I354" t="inlineStr"/>
      <c r="J354" t="inlineStr">
        <is>
          <t>Not Started</t>
        </is>
      </c>
      <c r="K354" t="inlineStr"/>
      <c r="L354" t="inlineStr"/>
      <c r="M354" t="inlineStr"/>
      <c r="N354" t="inlineStr"/>
      <c r="O354" t="inlineStr"/>
      <c r="P354" t="inlineStr"/>
      <c r="Q354" t="inlineStr"/>
      <c r="R354" t="inlineStr"/>
      <c r="S354" t="inlineStr"/>
    </row>
    <row r="355">
      <c r="A355" t="inlineStr">
        <is>
          <t>REQ-00362</t>
        </is>
      </c>
      <c r="B355" s="13" t="inlineStr">
        <is>
          <t>(4)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t>
        </is>
      </c>
      <c r="C355" t="inlineStr">
        <is>
          <t>UNASSIGNED</t>
        </is>
      </c>
      <c r="D355" t="inlineStr"/>
      <c r="E355" t="inlineStr"/>
      <c r="F355" t="inlineStr">
        <is>
          <t>General</t>
        </is>
      </c>
      <c r="G355" s="9" t="inlineStr">
        <is>
          <t>Desirable</t>
        </is>
      </c>
      <c r="H355" s="6" t="inlineStr">
        <is>
          <t>Medium</t>
        </is>
      </c>
      <c r="I355" t="inlineStr"/>
      <c r="J355" t="inlineStr">
        <is>
          <t>Not Started</t>
        </is>
      </c>
      <c r="K355" t="inlineStr"/>
      <c r="L355" t="inlineStr"/>
      <c r="M355" t="inlineStr"/>
      <c r="N355" t="inlineStr"/>
      <c r="O355" t="inlineStr"/>
      <c r="P355" t="inlineStr"/>
      <c r="Q355" t="inlineStr"/>
      <c r="R355" t="inlineStr"/>
      <c r="S355" t="inlineStr"/>
    </row>
    <row r="356">
      <c r="A356" t="inlineStr">
        <is>
          <t>REQ-00363</t>
        </is>
      </c>
      <c r="B356" s="13" t="inlineStr">
        <is>
          <t>(c)  .  Unless the Offeror is the Canadian Commercial Corporation, the Offeror shall Subcontracts
insert the substance of this provision, including this paragraph (c), in all subcontracts exceeding the 
simplified acquisition threshold defined in FAR part 2.
(End of provision)</t>
        </is>
      </c>
      <c r="C356" t="inlineStr">
        <is>
          <t>C</t>
        </is>
      </c>
      <c r="D356" t="inlineStr"/>
      <c r="E356" t="inlineStr"/>
      <c r="F356" t="inlineStr">
        <is>
          <t>Technical Requirement</t>
        </is>
      </c>
      <c r="G356" s="8" t="inlineStr">
        <is>
          <t>Mandatory</t>
        </is>
      </c>
      <c r="H356" s="5" t="inlineStr">
        <is>
          <t>High</t>
        </is>
      </c>
      <c r="I356" t="inlineStr"/>
      <c r="J356" t="inlineStr">
        <is>
          <t>Not Started</t>
        </is>
      </c>
      <c r="K356" t="inlineStr"/>
      <c r="L356" t="inlineStr"/>
      <c r="M356" t="inlineStr"/>
      <c r="N356" t="inlineStr"/>
      <c r="O356" t="inlineStr"/>
      <c r="P356" t="inlineStr"/>
      <c r="Q356" t="inlineStr"/>
      <c r="R356" t="inlineStr"/>
      <c r="S356" t="inlineStr"/>
    </row>
    <row r="357">
      <c r="A357" t="inlineStr">
        <is>
          <t>REQ-00364</t>
        </is>
      </c>
      <c r="B357" s="13" t="inlineStr">
        <is>
          <t>252.215-7010 ALT I Requirements for Certified Cost or Pricing Data and Data Other 
Than Certified Cost or Pricing Data. (Alternate I) 2024-08
. As prescribed in 215.408(5)(i) and (5)(i)(B), use the following provision, which includes Alternate I   
different paragraphs (c)(1) and (d)(3) than the basic clause.
REQUIREMENTS FOR CERTIFIED COST OR PRICING DATA AND DATA OTHER THAN 
CERTIFIED COST OR...</t>
        </is>
      </c>
      <c r="C357" t="inlineStr">
        <is>
          <t>UNASSIGNED</t>
        </is>
      </c>
      <c r="D357" t="inlineStr"/>
      <c r="E357" t="inlineStr"/>
      <c r="F357" t="inlineStr">
        <is>
          <t>General</t>
        </is>
      </c>
      <c r="G357" s="9" t="inlineStr">
        <is>
          <t>Desirable</t>
        </is>
      </c>
      <c r="H357" s="6" t="inlineStr">
        <is>
          <t>Medium</t>
        </is>
      </c>
      <c r="I357" t="inlineStr"/>
      <c r="J357" t="inlineStr">
        <is>
          <t>Not Started</t>
        </is>
      </c>
      <c r="K357" t="inlineStr"/>
      <c r="L357" t="inlineStr"/>
      <c r="M357" t="inlineStr"/>
      <c r="N357" t="inlineStr"/>
      <c r="O357" t="inlineStr"/>
      <c r="P357" t="inlineStr"/>
      <c r="Q357" t="inlineStr"/>
      <c r="R357" t="inlineStr"/>
      <c r="S357" t="inlineStr"/>
    </row>
    <row r="358">
      <c r="A358" t="inlineStr">
        <is>
          <t>REQ-00365</t>
        </is>
      </c>
      <c r="B358" s="13" t="inlineStr">
        <is>
          <t>(a) . As used in this provision-        Definitions   
DRAFT</t>
        </is>
      </c>
      <c r="C358" t="inlineStr">
        <is>
          <t>A</t>
        </is>
      </c>
      <c r="D358" t="inlineStr"/>
      <c r="E358" t="inlineStr"/>
      <c r="F358" t="inlineStr">
        <is>
          <t>Contract Form</t>
        </is>
      </c>
      <c r="G358" s="9" t="inlineStr">
        <is>
          <t>Desirable</t>
        </is>
      </c>
      <c r="H358" s="6" t="inlineStr">
        <is>
          <t>Medium</t>
        </is>
      </c>
      <c r="I358" t="inlineStr"/>
      <c r="J358" t="inlineStr">
        <is>
          <t>Not Started</t>
        </is>
      </c>
      <c r="K358" t="inlineStr"/>
      <c r="L358" t="inlineStr"/>
      <c r="M358" t="inlineStr"/>
      <c r="N358" t="inlineStr"/>
      <c r="O358" t="inlineStr"/>
      <c r="P358" t="inlineStr"/>
      <c r="Q358" t="inlineStr"/>
      <c r="R358" t="inlineStr"/>
      <c r="S358" t="inlineStr"/>
    </row>
    <row r="359">
      <c r="A359" t="inlineStr">
        <is>
          <t>REQ-00367</t>
        </is>
      </c>
      <c r="B359" s="13" t="inlineStr">
        <is>
          <t>15.404-1(b)(2)(ii)(B).
"Uncertified cost data" means the subset of "data other than certified cost or pricing data" (see       
FAR 2.101) that relates to cost.</t>
        </is>
      </c>
      <c r="C359" t="inlineStr">
        <is>
          <t>UNASSIGNED</t>
        </is>
      </c>
      <c r="D359" t="inlineStr"/>
      <c r="E359" t="inlineStr"/>
      <c r="F359" t="inlineStr">
        <is>
          <t>General</t>
        </is>
      </c>
      <c r="G359" s="9" t="inlineStr">
        <is>
          <t>Desirable</t>
        </is>
      </c>
      <c r="H359" s="6" t="inlineStr">
        <is>
          <t>Medium</t>
        </is>
      </c>
      <c r="I359" t="inlineStr"/>
      <c r="J359" t="inlineStr">
        <is>
          <t>Not Started</t>
        </is>
      </c>
      <c r="K359" t="inlineStr"/>
      <c r="L359" t="inlineStr"/>
      <c r="M359" t="inlineStr"/>
      <c r="N359" t="inlineStr"/>
      <c r="O359" t="inlineStr"/>
      <c r="P359" t="inlineStr"/>
      <c r="Q359" t="inlineStr"/>
      <c r="R359" t="inlineStr"/>
      <c r="S359" t="inlineStr"/>
    </row>
    <row r="360">
      <c r="A360" t="inlineStr">
        <is>
          <t>REQ-00368</t>
        </is>
      </c>
      <c r="B360" s="13" t="inlineStr">
        <is>
          <t>(b) .        
Exceptions from certified cost or pricing data</t>
        </is>
      </c>
      <c r="C360" t="inlineStr">
        <is>
          <t>B</t>
        </is>
      </c>
      <c r="D360" t="inlineStr"/>
      <c r="E360" t="inlineStr"/>
      <c r="F360" t="inlineStr">
        <is>
          <t>Pricing</t>
        </is>
      </c>
      <c r="G360" s="9" t="inlineStr">
        <is>
          <t>Desirable</t>
        </is>
      </c>
      <c r="H360" s="6" t="inlineStr">
        <is>
          <t>Medium</t>
        </is>
      </c>
      <c r="I360" t="inlineStr"/>
      <c r="J360" t="inlineStr">
        <is>
          <t>Not Started</t>
        </is>
      </c>
      <c r="K360" t="inlineStr"/>
      <c r="L360" t="inlineStr"/>
      <c r="M360" t="inlineStr"/>
      <c r="N360" t="inlineStr"/>
      <c r="O360" t="inlineStr"/>
      <c r="P360" t="inlineStr"/>
      <c r="Q360" t="inlineStr"/>
      <c r="R360" t="inlineStr"/>
      <c r="S360" t="inlineStr"/>
    </row>
    <row r="361">
      <c r="A361" t="inlineStr">
        <is>
          <t>REQ-00369</t>
        </is>
      </c>
      <c r="B361" s="13" t="inlineStr">
        <is>
          <t>(1) In lieu of submitting certified cost or pricing data, the Offeror may submit a written                 
request for exception by submitting the information described in paragraphs (b)(1)(i) and (ii) of this 
provision. The Contracting Officer may require additional supporting information, but only to the extent 
necessary to determine whether an exception should be granted and whether the p...</t>
        </is>
      </c>
      <c r="C361" t="inlineStr">
        <is>
          <t>C</t>
        </is>
      </c>
      <c r="D361" t="inlineStr"/>
      <c r="E361" t="inlineStr"/>
      <c r="F361" t="inlineStr">
        <is>
          <t>Technical Requirement</t>
        </is>
      </c>
      <c r="G361" s="9" t="inlineStr">
        <is>
          <t>Desirable</t>
        </is>
      </c>
      <c r="H361" s="6" t="inlineStr">
        <is>
          <t>Medium</t>
        </is>
      </c>
      <c r="I361" t="inlineStr"/>
      <c r="J361" t="inlineStr">
        <is>
          <t>Not Started</t>
        </is>
      </c>
      <c r="K361" t="inlineStr"/>
      <c r="L361" t="inlineStr"/>
      <c r="M361" t="inlineStr"/>
      <c r="N361" t="inlineStr"/>
      <c r="O361" t="inlineStr"/>
      <c r="P361" t="inlineStr"/>
      <c r="Q361" t="inlineStr"/>
      <c r="R361" t="inlineStr"/>
      <c r="S361" t="inlineStr"/>
    </row>
    <row r="362">
      <c r="A362" t="inlineStr">
        <is>
          <t>REQ-00370</t>
        </is>
      </c>
      <c r="B362" s="13" t="inlineStr">
        <is>
          <t>(i)                      
Exception for price set by law or regulation - Identification of the law or regulation 
. If the price is controlled under law by periodic rulings, reviews, or similar establishing the price offered
actions of a governmental body, attach a copy of the controlling document, unless it was previously 
submitted to the contracting office.
(ii) . For a commercial product or...</t>
        </is>
      </c>
      <c r="C362" t="inlineStr">
        <is>
          <t>I</t>
        </is>
      </c>
      <c r="D362" t="inlineStr"/>
      <c r="E362" t="inlineStr"/>
      <c r="F362" t="inlineStr">
        <is>
          <t>Clause</t>
        </is>
      </c>
      <c r="G362" s="8" t="inlineStr">
        <is>
          <t>Mandatory</t>
        </is>
      </c>
      <c r="H362" s="5" t="inlineStr">
        <is>
          <t>High</t>
        </is>
      </c>
      <c r="I362" t="inlineStr"/>
      <c r="J362" t="inlineStr">
        <is>
          <t>Not Started</t>
        </is>
      </c>
      <c r="K362" t="inlineStr"/>
      <c r="L362" t="inlineStr"/>
      <c r="M362" t="inlineStr"/>
      <c r="N362" t="inlineStr"/>
      <c r="O362" t="inlineStr"/>
      <c r="P362" t="inlineStr"/>
      <c r="Q362" t="inlineStr"/>
      <c r="R362" t="inlineStr"/>
      <c r="S362" t="inlineStr"/>
    </row>
    <row r="363">
      <c r="A363" t="inlineStr">
        <is>
          <t>REQ-00373</t>
        </is>
      </c>
      <c r="B363" s="13" t="inlineStr">
        <is>
          <t>(2) The Offeror grants the Contracting Officer or an authorized representative the right to                 
examine, at any time before award, books, records, documents, or other directly pertinent records to 
verify any request for an exception under this provision, and to determine the reasonableness of price.</t>
        </is>
      </c>
      <c r="C363" t="inlineStr">
        <is>
          <t>UNASSIGNED</t>
        </is>
      </c>
      <c r="D363" t="inlineStr"/>
      <c r="E363" t="inlineStr"/>
      <c r="F363" t="inlineStr">
        <is>
          <t>General</t>
        </is>
      </c>
      <c r="G363" s="9" t="inlineStr">
        <is>
          <t>Desirable</t>
        </is>
      </c>
      <c r="H363" s="6" t="inlineStr">
        <is>
          <t>Medium</t>
        </is>
      </c>
      <c r="I363" t="inlineStr"/>
      <c r="J363" t="inlineStr">
        <is>
          <t>Not Started</t>
        </is>
      </c>
      <c r="K363" t="inlineStr"/>
      <c r="L363" t="inlineStr"/>
      <c r="M363" t="inlineStr"/>
      <c r="N363" t="inlineStr"/>
      <c r="O363" t="inlineStr"/>
      <c r="P363" t="inlineStr"/>
      <c r="Q363" t="inlineStr"/>
      <c r="R363" t="inlineStr"/>
      <c r="S363" t="inlineStr"/>
    </row>
    <row r="364">
      <c r="A364" t="inlineStr">
        <is>
          <t>REQ-00374</t>
        </is>
      </c>
      <c r="B364" s="13" t="inlineStr">
        <is>
          <t>(c) . If the Offeror is not granted an exception from         
Requirements for certified cost or pricing data
the requirement to submit certified cost or pricing data, the following applies:</t>
        </is>
      </c>
      <c r="C364" t="inlineStr">
        <is>
          <t>C</t>
        </is>
      </c>
      <c r="D364" t="inlineStr"/>
      <c r="E364" t="inlineStr"/>
      <c r="F364" t="inlineStr">
        <is>
          <t>Technical Requirement</t>
        </is>
      </c>
      <c r="G364" s="9" t="inlineStr">
        <is>
          <t>Desirable</t>
        </is>
      </c>
      <c r="H364" s="6" t="inlineStr">
        <is>
          <t>Medium</t>
        </is>
      </c>
      <c r="I364" t="inlineStr"/>
      <c r="J364" t="inlineStr">
        <is>
          <t>Not Started</t>
        </is>
      </c>
      <c r="K364" t="inlineStr"/>
      <c r="L364" t="inlineStr"/>
      <c r="M364" t="inlineStr"/>
      <c r="N364" t="inlineStr"/>
      <c r="O364" t="inlineStr"/>
      <c r="P364" t="inlineStr"/>
      <c r="Q364" t="inlineStr"/>
      <c r="R364" t="inlineStr"/>
      <c r="S364" t="inlineStr"/>
    </row>
    <row r="365">
      <c r="A365" t="inlineStr">
        <is>
          <t>REQ-00375</t>
        </is>
      </c>
      <c r="B365" s="13" t="inlineStr">
        <is>
          <t>(1) The Offeror shall submit certified cost or pricing data and supporting attachments in the                 
following format:  [Insert description of the data and format that are required, and include access ____
to records necessary to permit an adequate evaluation of the proposed price in accordance with FAR</t>
        </is>
      </c>
      <c r="C365" t="inlineStr">
        <is>
          <t>L</t>
        </is>
      </c>
      <c r="D365" t="inlineStr"/>
      <c r="E365" t="inlineStr"/>
      <c r="F365" t="inlineStr">
        <is>
          <t>Proposal Instruction</t>
        </is>
      </c>
      <c r="G365" s="8" t="inlineStr">
        <is>
          <t>Mandatory</t>
        </is>
      </c>
      <c r="H365" s="5" t="inlineStr">
        <is>
          <t>High</t>
        </is>
      </c>
      <c r="I365" t="inlineStr"/>
      <c r="J365" t="inlineStr">
        <is>
          <t>Not Started</t>
        </is>
      </c>
      <c r="K365" t="inlineStr"/>
      <c r="L365" t="inlineStr"/>
      <c r="M365" t="inlineStr"/>
      <c r="N365" t="inlineStr"/>
      <c r="O365" t="inlineStr"/>
      <c r="P365" t="inlineStr"/>
      <c r="Q365" t="inlineStr"/>
      <c r="R365" t="inlineStr"/>
      <c r="S365" t="inlineStr"/>
    </row>
    <row r="366">
      <c r="A366" t="inlineStr">
        <is>
          <t>REQ-00376</t>
        </is>
      </c>
      <c r="B366" s="13" t="inlineStr">
        <is>
          <t>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the description as the 
result of negotiations.]</t>
        </is>
      </c>
      <c r="C366" t="inlineStr">
        <is>
          <t>M</t>
        </is>
      </c>
      <c r="D366" t="inlineStr"/>
      <c r="E366" t="inlineStr"/>
      <c r="F366" t="inlineStr">
        <is>
          <t>Evaluation Factor</t>
        </is>
      </c>
      <c r="G366" s="8" t="inlineStr">
        <is>
          <t>Mandatory</t>
        </is>
      </c>
      <c r="H366" s="5" t="inlineStr">
        <is>
          <t>High</t>
        </is>
      </c>
      <c r="I366" t="inlineStr"/>
      <c r="J366" t="inlineStr">
        <is>
          <t>Not Started</t>
        </is>
      </c>
      <c r="K366" t="inlineStr"/>
      <c r="L366" t="inlineStr"/>
      <c r="M366" t="inlineStr"/>
      <c r="N366" t="inlineStr"/>
      <c r="O366" t="inlineStr"/>
      <c r="P366" t="inlineStr"/>
      <c r="Q366" t="inlineStr"/>
      <c r="R366" t="inlineStr"/>
      <c r="S366" t="inlineStr"/>
    </row>
    <row r="367">
      <c r="A367" t="inlineStr">
        <is>
          <t>REQ-00377</t>
        </is>
      </c>
      <c r="B367" s="13" t="inlineStr">
        <is>
          <t>(2) As soon as practicable after agreement on price, but before contract award (except for                 
unpriced actions such as letter contracts), the Offeror shall submit a Certificate of Current Cost or Pricing 
Data, as prescribed by FAR 15.406-2.</t>
        </is>
      </c>
      <c r="C367" t="inlineStr">
        <is>
          <t>L</t>
        </is>
      </c>
      <c r="D367" t="inlineStr"/>
      <c r="E367" t="inlineStr"/>
      <c r="F367" t="inlineStr">
        <is>
          <t>Proposal Instruction</t>
        </is>
      </c>
      <c r="G367" s="8" t="inlineStr">
        <is>
          <t>Mandatory</t>
        </is>
      </c>
      <c r="H367" s="5" t="inlineStr">
        <is>
          <t>High</t>
        </is>
      </c>
      <c r="I367" t="inlineStr"/>
      <c r="J367" t="inlineStr">
        <is>
          <t>Not Started</t>
        </is>
      </c>
      <c r="K367" t="inlineStr"/>
      <c r="L367" t="inlineStr"/>
      <c r="M367" t="inlineStr"/>
      <c r="N367" t="inlineStr"/>
      <c r="O367" t="inlineStr"/>
      <c r="P367" t="inlineStr"/>
      <c r="Q367" t="inlineStr"/>
      <c r="R367" t="inlineStr"/>
      <c r="S367" t="inlineStr"/>
    </row>
    <row r="368">
      <c r="A368" t="inlineStr">
        <is>
          <t>REQ-00378</t>
        </is>
      </c>
      <c r="B368" s="13" t="inlineStr">
        <is>
          <t>(3) The Offeror is responsible for determining whether a subcontractor qualifies for an                 
exception from the requirement for submission of certified cost or pricing data on the basis of adequate 
price competition, i.e., two or more responsible offerors, competing independently, submit priced offers 
that satisfy the Government's expressed requirement in accordance with FAR 15.40...</t>
        </is>
      </c>
      <c r="C368" t="inlineStr">
        <is>
          <t>UNASSIGNED</t>
        </is>
      </c>
      <c r="D368" t="inlineStr"/>
      <c r="E368" t="inlineStr"/>
      <c r="F368" t="inlineStr">
        <is>
          <t>General</t>
        </is>
      </c>
      <c r="G368" s="9" t="inlineStr">
        <is>
          <t>Desirable</t>
        </is>
      </c>
      <c r="H368" s="6" t="inlineStr">
        <is>
          <t>Medium</t>
        </is>
      </c>
      <c r="I368" t="inlineStr"/>
      <c r="J368" t="inlineStr">
        <is>
          <t>Not Started</t>
        </is>
      </c>
      <c r="K368" t="inlineStr"/>
      <c r="L368" t="inlineStr"/>
      <c r="M368" t="inlineStr"/>
      <c r="N368" t="inlineStr"/>
      <c r="O368" t="inlineStr"/>
      <c r="P368" t="inlineStr"/>
      <c r="Q368" t="inlineStr"/>
      <c r="R368" t="inlineStr"/>
      <c r="S368" t="inlineStr"/>
    </row>
    <row r="369">
      <c r="A369" t="inlineStr">
        <is>
          <t>REQ-00379</t>
        </is>
      </c>
      <c r="B369" s="13" t="inlineStr">
        <is>
          <t>(d) .        
Requirements for data other than certified cost or pricing data</t>
        </is>
      </c>
      <c r="C369" t="inlineStr">
        <is>
          <t>D</t>
        </is>
      </c>
      <c r="D369" t="inlineStr"/>
      <c r="E369" t="inlineStr"/>
      <c r="F369" t="inlineStr">
        <is>
          <t>Packaging</t>
        </is>
      </c>
      <c r="G369" s="9" t="inlineStr">
        <is>
          <t>Desirable</t>
        </is>
      </c>
      <c r="H369" s="6" t="inlineStr">
        <is>
          <t>Medium</t>
        </is>
      </c>
      <c r="I369" t="inlineStr"/>
      <c r="J369" t="inlineStr">
        <is>
          <t>Not Started</t>
        </is>
      </c>
      <c r="K369" t="inlineStr"/>
      <c r="L369" t="inlineStr"/>
      <c r="M369" t="inlineStr"/>
      <c r="N369" t="inlineStr"/>
      <c r="O369" t="inlineStr"/>
      <c r="P369" t="inlineStr"/>
      <c r="Q369" t="inlineStr"/>
      <c r="R369" t="inlineStr"/>
      <c r="S369" t="inlineStr"/>
    </row>
    <row r="370">
      <c r="A370" t="inlineStr">
        <is>
          <t>REQ-00380</t>
        </is>
      </c>
      <c r="B370" s="13" t="inlineStr">
        <is>
          <t>(1) Data other than certified cost or pricing data submitted in accordance with this provision                 
shall include all data necessary to permit a determination that the proposed price is fair and reasonable, 
to include the requirements in Defense Federal Acquisition Regulation Supplement (DFARS) 215.402(a)</t>
        </is>
      </c>
      <c r="C370" t="inlineStr">
        <is>
          <t>L</t>
        </is>
      </c>
      <c r="D370" t="inlineStr"/>
      <c r="E370" t="inlineStr"/>
      <c r="F370" t="inlineStr">
        <is>
          <t>Proposal Instruction</t>
        </is>
      </c>
      <c r="G370" s="8" t="inlineStr">
        <is>
          <t>Mandatory</t>
        </is>
      </c>
      <c r="H370" s="5" t="inlineStr">
        <is>
          <t>High</t>
        </is>
      </c>
      <c r="I370" t="inlineStr"/>
      <c r="J370" t="inlineStr">
        <is>
          <t>Not Started</t>
        </is>
      </c>
      <c r="K370" t="inlineStr"/>
      <c r="L370" t="inlineStr"/>
      <c r="M370" t="inlineStr"/>
      <c r="N370" t="inlineStr"/>
      <c r="O370" t="inlineStr"/>
      <c r="P370" t="inlineStr"/>
      <c r="Q370" t="inlineStr"/>
      <c r="R370" t="inlineStr"/>
      <c r="S370" t="inlineStr"/>
    </row>
    <row r="371">
      <c r="A371" t="inlineStr">
        <is>
          <t>REQ-00381</t>
        </is>
      </c>
      <c r="B371" s="13" t="inlineStr">
        <is>
          <t>(2) In cases in which uncertified cost data is required, the information shall be provided in                 
the form in which it is regularly maintained by the Offeror or prospective subcontractor in its business 
operations.</t>
        </is>
      </c>
      <c r="C371" t="inlineStr">
        <is>
          <t>C</t>
        </is>
      </c>
      <c r="D371" t="inlineStr"/>
      <c r="E371" t="inlineStr"/>
      <c r="F371" t="inlineStr">
        <is>
          <t>Technical Requirement</t>
        </is>
      </c>
      <c r="G371" s="8" t="inlineStr">
        <is>
          <t>Mandatory</t>
        </is>
      </c>
      <c r="H371" s="5" t="inlineStr">
        <is>
          <t>High</t>
        </is>
      </c>
      <c r="I371" t="inlineStr"/>
      <c r="J371" t="inlineStr">
        <is>
          <t>Not Started</t>
        </is>
      </c>
      <c r="K371" t="inlineStr"/>
      <c r="L371" t="inlineStr"/>
      <c r="M371" t="inlineStr"/>
      <c r="N371" t="inlineStr"/>
      <c r="O371" t="inlineStr"/>
      <c r="P371" t="inlineStr"/>
      <c r="Q371" t="inlineStr"/>
      <c r="R371" t="inlineStr"/>
      <c r="S371" t="inlineStr"/>
    </row>
    <row r="372">
      <c r="A372" t="inlineStr">
        <is>
          <t>REQ-00382</t>
        </is>
      </c>
      <c r="B372" s="13" t="inlineStr">
        <is>
          <t>(3) If the Offeror redacts data that identifies the customer (see DFARS 234.7002(e)(2)), then                 
the Offeror shall include, for each sale, the following signed statement with the data submitted:
"By submission of this data, the Offeror  certifies that the [Offeror insert company name]
____
customer was [Offeror insert one or more of the following as applicable: a government ____
c...</t>
        </is>
      </c>
      <c r="C372" t="inlineStr">
        <is>
          <t>L</t>
        </is>
      </c>
      <c r="D372" t="inlineStr"/>
      <c r="E372" t="inlineStr"/>
      <c r="F372" t="inlineStr">
        <is>
          <t>Proposal Instruction</t>
        </is>
      </c>
      <c r="G372" s="8" t="inlineStr">
        <is>
          <t>Mandatory</t>
        </is>
      </c>
      <c r="H372" s="5" t="inlineStr">
        <is>
          <t>High</t>
        </is>
      </c>
      <c r="I372" t="inlineStr"/>
      <c r="J372" t="inlineStr">
        <is>
          <t>Not Started</t>
        </is>
      </c>
      <c r="K372" t="inlineStr"/>
      <c r="L372" t="inlineStr"/>
      <c r="M372" t="inlineStr"/>
      <c r="N372" t="inlineStr"/>
      <c r="O372" t="inlineStr"/>
      <c r="P372" t="inlineStr"/>
      <c r="Q372" t="inlineStr"/>
      <c r="R372" t="inlineStr"/>
      <c r="S372" t="inlineStr"/>
    </row>
    <row r="373">
      <c r="A373" t="inlineStr">
        <is>
          <t>REQ-00384</t>
        </is>
      </c>
      <c r="B373" s="13" t="inlineStr">
        <is>
          <t>(4) The Offeror shall provide information described as follows:                [Insert description of the   
data and the format that are required, including access to records necessary to permit an adequate 
.evaluation of the proposed price in accordance with FAR 15.403-3 or DFARS 234.7002(e)]</t>
        </is>
      </c>
      <c r="C373" t="inlineStr">
        <is>
          <t>L</t>
        </is>
      </c>
      <c r="D373" t="inlineStr"/>
      <c r="E373" t="inlineStr"/>
      <c r="F373" t="inlineStr">
        <is>
          <t>Proposal Instruction</t>
        </is>
      </c>
      <c r="G373" s="8" t="inlineStr">
        <is>
          <t>Mandatory</t>
        </is>
      </c>
      <c r="H373" s="5" t="inlineStr">
        <is>
          <t>High</t>
        </is>
      </c>
      <c r="I373" t="inlineStr"/>
      <c r="J373" t="inlineStr">
        <is>
          <t>Not Started</t>
        </is>
      </c>
      <c r="K373" t="inlineStr"/>
      <c r="L373" t="inlineStr"/>
      <c r="M373" t="inlineStr"/>
      <c r="N373" t="inlineStr"/>
      <c r="O373" t="inlineStr"/>
      <c r="P373" t="inlineStr"/>
      <c r="Q373" t="inlineStr"/>
      <c r="R373" t="inlineStr"/>
      <c r="S373" t="inlineStr"/>
    </row>
    <row r="374">
      <c r="A374" t="inlineStr">
        <is>
          <t>REQ-00385</t>
        </is>
      </c>
      <c r="B374" s="13" t="inlineStr">
        <is>
          <t>(5) Within 10 days of a written request from the Contracting Officer for additional                 
information to support proposal analysis, the Offeror shall provide either the requested information, or a 
written explanation for the inability to fully comply.</t>
        </is>
      </c>
      <c r="C374" t="inlineStr">
        <is>
          <t>L</t>
        </is>
      </c>
      <c r="D374" t="inlineStr"/>
      <c r="E374" t="inlineStr"/>
      <c r="F374" t="inlineStr">
        <is>
          <t>Proposal Instruction</t>
        </is>
      </c>
      <c r="G374" s="8" t="inlineStr">
        <is>
          <t>Mandatory</t>
        </is>
      </c>
      <c r="H374" s="5" t="inlineStr">
        <is>
          <t>High</t>
        </is>
      </c>
      <c r="I374" t="inlineStr"/>
      <c r="J374" t="inlineStr">
        <is>
          <t>Not Started</t>
        </is>
      </c>
      <c r="K374" t="inlineStr"/>
      <c r="L374" t="inlineStr"/>
      <c r="M374" t="inlineStr"/>
      <c r="N374" t="inlineStr"/>
      <c r="O374" t="inlineStr"/>
      <c r="P374" t="inlineStr"/>
      <c r="Q374" t="inlineStr"/>
      <c r="R374" t="inlineStr"/>
      <c r="S374" t="inlineStr"/>
    </row>
    <row r="375">
      <c r="A375" t="inlineStr">
        <is>
          <t>REQ-00386</t>
        </is>
      </c>
      <c r="B375" s="13" t="inlineStr">
        <is>
          <t>(6) .                
Subcontract price evaluation</t>
        </is>
      </c>
      <c r="C375" t="inlineStr">
        <is>
          <t>UNASSIGNED</t>
        </is>
      </c>
      <c r="D375" t="inlineStr"/>
      <c r="E375" t="inlineStr"/>
      <c r="F375" t="inlineStr">
        <is>
          <t>General</t>
        </is>
      </c>
      <c r="G375" s="9" t="inlineStr">
        <is>
          <t>Desirable</t>
        </is>
      </c>
      <c r="H375" s="6" t="inlineStr">
        <is>
          <t>Medium</t>
        </is>
      </c>
      <c r="I375" t="inlineStr"/>
      <c r="J375" t="inlineStr">
        <is>
          <t>Not Started</t>
        </is>
      </c>
      <c r="K375" t="inlineStr"/>
      <c r="L375" t="inlineStr"/>
      <c r="M375" t="inlineStr"/>
      <c r="N375" t="inlineStr"/>
      <c r="O375" t="inlineStr"/>
      <c r="P375" t="inlineStr"/>
      <c r="Q375" t="inlineStr"/>
      <c r="R375" t="inlineStr"/>
      <c r="S375" t="inlineStr"/>
    </row>
    <row r="376">
      <c r="A376" t="inlineStr">
        <is>
          <t>REQ-00387</t>
        </is>
      </c>
      <c r="B376" s="13" t="inlineStr">
        <is>
          <t>(i) Offerors shall obtain from subcontractors the information necessary to support a                       
determination of price reasonableness, as described in FAR part 15 and DFARS part 215.
(ii) No cost information may be required from a prospective subcontractor in any case in                       
which there are sufficient non-Government sales of the same item to establish reasonablene...</t>
        </is>
      </c>
      <c r="C376" t="inlineStr">
        <is>
          <t>I</t>
        </is>
      </c>
      <c r="D376" t="inlineStr"/>
      <c r="E376" t="inlineStr"/>
      <c r="F376" t="inlineStr">
        <is>
          <t>Clause</t>
        </is>
      </c>
      <c r="G376" s="8" t="inlineStr">
        <is>
          <t>Mandatory</t>
        </is>
      </c>
      <c r="H376" s="5" t="inlineStr">
        <is>
          <t>High</t>
        </is>
      </c>
      <c r="I376" t="inlineStr"/>
      <c r="J376" t="inlineStr">
        <is>
          <t>Not Started</t>
        </is>
      </c>
      <c r="K376" t="inlineStr"/>
      <c r="L376" t="inlineStr"/>
      <c r="M376" t="inlineStr"/>
      <c r="N376" t="inlineStr"/>
      <c r="O376" t="inlineStr"/>
      <c r="P376" t="inlineStr"/>
      <c r="Q376" t="inlineStr"/>
      <c r="R376" t="inlineStr"/>
      <c r="S376" t="inlineStr"/>
    </row>
    <row r="377">
      <c r="A377" t="inlineStr">
        <is>
          <t>REQ-00388</t>
        </is>
      </c>
      <c r="B377" s="13" t="inlineStr">
        <is>
          <t>(e) . The Offeror shall insert the substance of this provision, including this paragraph         Subcontracts</t>
        </is>
      </c>
      <c r="C377" t="inlineStr">
        <is>
          <t>E</t>
        </is>
      </c>
      <c r="D377" t="inlineStr"/>
      <c r="E377" t="inlineStr"/>
      <c r="F377" t="inlineStr">
        <is>
          <t>Inspection</t>
        </is>
      </c>
      <c r="G377" s="8" t="inlineStr">
        <is>
          <t>Mandatory</t>
        </is>
      </c>
      <c r="H377" s="5" t="inlineStr">
        <is>
          <t>High</t>
        </is>
      </c>
      <c r="I377" t="inlineStr"/>
      <c r="J377" t="inlineStr">
        <is>
          <t>Not Started</t>
        </is>
      </c>
      <c r="K377" t="inlineStr"/>
      <c r="L377" t="inlineStr"/>
      <c r="M377" t="inlineStr"/>
      <c r="N377" t="inlineStr"/>
      <c r="O377" t="inlineStr"/>
      <c r="P377" t="inlineStr"/>
      <c r="Q377" t="inlineStr"/>
      <c r="R377" t="inlineStr"/>
      <c r="S377" t="inlineStr"/>
    </row>
    <row r="378">
      <c r="A378" t="inlineStr">
        <is>
          <t>REQ-00389</t>
        </is>
      </c>
      <c r="B378" s="13" t="inlineStr">
        <is>
          <t>(e), in all subcontracts exceeding the simplified acquisition threshold defined in FAR part 2. The Offeror 
shall require prospective subcontractors to adhere to the requirements of-</t>
        </is>
      </c>
      <c r="C378" t="inlineStr">
        <is>
          <t>E</t>
        </is>
      </c>
      <c r="D378" t="inlineStr"/>
      <c r="E378" t="inlineStr"/>
      <c r="F378" t="inlineStr">
        <is>
          <t>Inspection</t>
        </is>
      </c>
      <c r="G378" s="8" t="inlineStr">
        <is>
          <t>Mandatory</t>
        </is>
      </c>
      <c r="H378" s="5" t="inlineStr">
        <is>
          <t>High</t>
        </is>
      </c>
      <c r="I378" t="inlineStr"/>
      <c r="J378" t="inlineStr">
        <is>
          <t>Not Started</t>
        </is>
      </c>
      <c r="K378" t="inlineStr"/>
      <c r="L378" t="inlineStr"/>
      <c r="M378" t="inlineStr"/>
      <c r="N378" t="inlineStr"/>
      <c r="O378" t="inlineStr"/>
      <c r="P378" t="inlineStr"/>
      <c r="Q378" t="inlineStr"/>
      <c r="R378" t="inlineStr"/>
      <c r="S378" t="inlineStr"/>
    </row>
    <row r="379">
      <c r="A379" t="inlineStr">
        <is>
          <t>REQ-00390</t>
        </is>
      </c>
      <c r="B379" s="13" t="inlineStr">
        <is>
          <t>(1) Paragraph (c) and (d) of this provision for subcontracts above the threshold for                 
submission of certified cost or pricing data in FAR 15.403-4; and</t>
        </is>
      </c>
      <c r="C379" t="inlineStr">
        <is>
          <t>UNASSIGNED</t>
        </is>
      </c>
      <c r="D379" t="inlineStr"/>
      <c r="E379" t="inlineStr"/>
      <c r="F379" t="inlineStr">
        <is>
          <t>General</t>
        </is>
      </c>
      <c r="G379" s="9" t="inlineStr">
        <is>
          <t>Desirable</t>
        </is>
      </c>
      <c r="H379" s="6" t="inlineStr">
        <is>
          <t>Medium</t>
        </is>
      </c>
      <c r="I379" t="inlineStr"/>
      <c r="J379" t="inlineStr">
        <is>
          <t>Not Started</t>
        </is>
      </c>
      <c r="K379" t="inlineStr"/>
      <c r="L379" t="inlineStr"/>
      <c r="M379" t="inlineStr"/>
      <c r="N379" t="inlineStr"/>
      <c r="O379" t="inlineStr"/>
      <c r="P379" t="inlineStr"/>
      <c r="Q379" t="inlineStr"/>
      <c r="R379" t="inlineStr"/>
      <c r="S379" t="inlineStr"/>
    </row>
    <row r="380">
      <c r="A380" t="inlineStr">
        <is>
          <t>REQ-00391</t>
        </is>
      </c>
      <c r="B380" s="13" t="inlineStr">
        <is>
          <t>(2) Paragraph (d) of this provision for subcontracts exceeding the simplified acquisition                 
threshold defined in FAR part 2.
(End of provision)</t>
        </is>
      </c>
      <c r="C380" t="inlineStr">
        <is>
          <t>UNASSIGNED</t>
        </is>
      </c>
      <c r="D380" t="inlineStr"/>
      <c r="E380" t="inlineStr"/>
      <c r="F380" t="inlineStr">
        <is>
          <t>General</t>
        </is>
      </c>
      <c r="G380" s="9" t="inlineStr">
        <is>
          <t>Desirable</t>
        </is>
      </c>
      <c r="H380" s="6" t="inlineStr">
        <is>
          <t>Medium</t>
        </is>
      </c>
      <c r="I380" t="inlineStr"/>
      <c r="J380" t="inlineStr">
        <is>
          <t>Not Started</t>
        </is>
      </c>
      <c r="K380" t="inlineStr"/>
      <c r="L380" t="inlineStr"/>
      <c r="M380" t="inlineStr"/>
      <c r="N380" t="inlineStr"/>
      <c r="O380" t="inlineStr"/>
      <c r="P380" t="inlineStr"/>
      <c r="Q380" t="inlineStr"/>
      <c r="R380" t="inlineStr"/>
      <c r="S380" t="inlineStr"/>
    </row>
    <row r="381">
      <c r="A381" t="inlineStr">
        <is>
          <t>REQ-00392</t>
        </is>
      </c>
      <c r="B381" s="13" t="inlineStr">
        <is>
          <t>252.232-7006 Wide Area WorkFlow Payment Instructions. 2023-01
DRAFT</t>
        </is>
      </c>
      <c r="C381" t="inlineStr">
        <is>
          <t>UNASSIGNED</t>
        </is>
      </c>
      <c r="D381" t="inlineStr"/>
      <c r="E381" t="inlineStr"/>
      <c r="F381" t="inlineStr">
        <is>
          <t>General</t>
        </is>
      </c>
      <c r="G381" s="9" t="inlineStr">
        <is>
          <t>Desirable</t>
        </is>
      </c>
      <c r="H381" s="6" t="inlineStr">
        <is>
          <t>Medium</t>
        </is>
      </c>
      <c r="I381" t="inlineStr"/>
      <c r="J381" t="inlineStr">
        <is>
          <t>Not Started</t>
        </is>
      </c>
      <c r="K381" t="inlineStr"/>
      <c r="L381" t="inlineStr"/>
      <c r="M381" t="inlineStr"/>
      <c r="N381" t="inlineStr"/>
      <c r="O381" t="inlineStr"/>
      <c r="P381" t="inlineStr"/>
      <c r="Q381" t="inlineStr"/>
      <c r="R381" t="inlineStr"/>
      <c r="S381" t="inlineStr"/>
    </row>
    <row r="382">
      <c r="A382" t="inlineStr">
        <is>
          <t>REQ-00394</t>
        </is>
      </c>
      <c r="B382" s="13" t="inlineStr">
        <is>
          <t>(a) As used in this clause-        Definitions.  
"Department of Defense Activity Address Code (DoDAAC)" is a six position code that uniquely       
identifies a unit, activity, or organization.
"Document type" means the type of payment request or receiving report available for creation in       
Wide Area WorkFlow (WAWF).
"Local processing office (LPO)" is the office responsible for payment ce...</t>
        </is>
      </c>
      <c r="C382" t="inlineStr">
        <is>
          <t>A</t>
        </is>
      </c>
      <c r="D382" t="inlineStr"/>
      <c r="E382" t="inlineStr"/>
      <c r="F382" t="inlineStr">
        <is>
          <t>Contract Form</t>
        </is>
      </c>
      <c r="G382" s="9" t="inlineStr">
        <is>
          <t>Desirable</t>
        </is>
      </c>
      <c r="H382" s="6" t="inlineStr">
        <is>
          <t>Medium</t>
        </is>
      </c>
      <c r="I382" t="inlineStr"/>
      <c r="J382" t="inlineStr">
        <is>
          <t>Not Started</t>
        </is>
      </c>
      <c r="K382" t="inlineStr"/>
      <c r="L382" t="inlineStr"/>
      <c r="M382" t="inlineStr"/>
      <c r="N382" t="inlineStr"/>
      <c r="O382" t="inlineStr"/>
      <c r="P382" t="inlineStr"/>
      <c r="Q382" t="inlineStr"/>
      <c r="R382" t="inlineStr"/>
      <c r="S382" t="inlineStr"/>
    </row>
    <row r="383">
      <c r="A383" t="inlineStr">
        <is>
          <t>REQ-00395</t>
        </is>
      </c>
      <c r="B383" s="13" t="inlineStr">
        <is>
          <t>(b) The WAWF system provides the method to electronically process         Electronic invoicing.  
vendor payment requests and receiving reports, as authorized by Defense Federal Acquisition Regulation 
Supplement (DFARS) 252.232-7003, Electronic Submission of Payment Requests and Receiving 
Reports.</t>
        </is>
      </c>
      <c r="C383" t="inlineStr">
        <is>
          <t>B</t>
        </is>
      </c>
      <c r="D383" t="inlineStr"/>
      <c r="E383" t="inlineStr"/>
      <c r="F383" t="inlineStr">
        <is>
          <t>Pricing</t>
        </is>
      </c>
      <c r="G383" s="9" t="inlineStr">
        <is>
          <t>Desirable</t>
        </is>
      </c>
      <c r="H383" s="6" t="inlineStr">
        <is>
          <t>Medium</t>
        </is>
      </c>
      <c r="I383" t="inlineStr"/>
      <c r="J383" t="inlineStr">
        <is>
          <t>Not Started</t>
        </is>
      </c>
      <c r="K383" t="inlineStr"/>
      <c r="L383" t="inlineStr"/>
      <c r="M383" t="inlineStr"/>
      <c r="N383" t="inlineStr"/>
      <c r="O383" t="inlineStr"/>
      <c r="P383" t="inlineStr"/>
      <c r="Q383" t="inlineStr"/>
      <c r="R383" t="inlineStr"/>
      <c r="S383" t="inlineStr"/>
    </row>
    <row r="384">
      <c r="A384" t="inlineStr">
        <is>
          <t>REQ-00396</t>
        </is>
      </c>
      <c r="B384" s="13" t="inlineStr">
        <is>
          <t>(c) To access WAWF, the Contractor shall-        
WAWF access.</t>
        </is>
      </c>
      <c r="C384" t="inlineStr">
        <is>
          <t>C</t>
        </is>
      </c>
      <c r="D384" t="inlineStr"/>
      <c r="E384" t="inlineStr"/>
      <c r="F384" t="inlineStr">
        <is>
          <t>Technical Requirement</t>
        </is>
      </c>
      <c r="G384" s="8" t="inlineStr">
        <is>
          <t>Mandatory</t>
        </is>
      </c>
      <c r="H384" s="5" t="inlineStr">
        <is>
          <t>High</t>
        </is>
      </c>
      <c r="I384" t="inlineStr"/>
      <c r="J384" t="inlineStr">
        <is>
          <t>Not Started</t>
        </is>
      </c>
      <c r="K384" t="inlineStr"/>
      <c r="L384" t="inlineStr"/>
      <c r="M384" t="inlineStr"/>
      <c r="N384" t="inlineStr"/>
      <c r="O384" t="inlineStr"/>
      <c r="P384" t="inlineStr"/>
      <c r="Q384" t="inlineStr"/>
      <c r="R384" t="inlineStr"/>
      <c r="S384" t="inlineStr"/>
    </row>
    <row r="385">
      <c r="A385" t="inlineStr">
        <is>
          <t>REQ-00397</t>
        </is>
      </c>
      <c r="B385" s="13" t="inlineStr">
        <is>
          <t>(1) Have a designated electronic business point of contact in the System for Award                 
Management at https://www.sam.gov; and</t>
        </is>
      </c>
      <c r="C385" t="inlineStr">
        <is>
          <t>K</t>
        </is>
      </c>
      <c r="D385" t="inlineStr"/>
      <c r="E385" t="inlineStr"/>
      <c r="F385" t="inlineStr">
        <is>
          <t>Representation</t>
        </is>
      </c>
      <c r="G385" s="9" t="inlineStr">
        <is>
          <t>Desirable</t>
        </is>
      </c>
      <c r="H385" s="6" t="inlineStr">
        <is>
          <t>Medium</t>
        </is>
      </c>
      <c r="I385" t="inlineStr"/>
      <c r="J385" t="inlineStr">
        <is>
          <t>Not Started</t>
        </is>
      </c>
      <c r="K385" t="inlineStr"/>
      <c r="L385" t="inlineStr"/>
      <c r="M385" t="inlineStr"/>
      <c r="N385" t="inlineStr"/>
      <c r="O385" t="inlineStr"/>
      <c r="P385" t="inlineStr"/>
      <c r="Q385" t="inlineStr"/>
      <c r="R385" t="inlineStr"/>
      <c r="S385" t="inlineStr"/>
    </row>
    <row r="386">
      <c r="A386" t="inlineStr">
        <is>
          <t>REQ-00398</t>
        </is>
      </c>
      <c r="B386" s="13" t="inlineStr">
        <is>
          <t>(2) Be registered to use WAWF at https://wawf.eb.mil/ following the step-by-step procedures                 
for self-registration available at this web site.</t>
        </is>
      </c>
      <c r="C386" t="inlineStr">
        <is>
          <t>UNASSIGNED</t>
        </is>
      </c>
      <c r="D386" t="inlineStr"/>
      <c r="E386" t="inlineStr"/>
      <c r="F386" t="inlineStr">
        <is>
          <t>General</t>
        </is>
      </c>
      <c r="G386" s="9" t="inlineStr">
        <is>
          <t>Desirable</t>
        </is>
      </c>
      <c r="H386" s="6" t="inlineStr">
        <is>
          <t>Medium</t>
        </is>
      </c>
      <c r="I386" t="inlineStr"/>
      <c r="J386" t="inlineStr">
        <is>
          <t>Not Started</t>
        </is>
      </c>
      <c r="K386" t="inlineStr"/>
      <c r="L386" t="inlineStr"/>
      <c r="M386" t="inlineStr"/>
      <c r="N386" t="inlineStr"/>
      <c r="O386" t="inlineStr"/>
      <c r="P386" t="inlineStr"/>
      <c r="Q386" t="inlineStr"/>
      <c r="R386" t="inlineStr"/>
      <c r="S386" t="inlineStr"/>
    </row>
    <row r="387">
      <c r="A387" t="inlineStr">
        <is>
          <t>REQ-00399</t>
        </is>
      </c>
      <c r="B387" s="13" t="inlineStr">
        <is>
          <t>(d) The Contractor should follow the training instructions of the WAWF Web-        WAWF training.  
Based Training Course and use the Practice Training Site before submitting payment requests through 
WAWF. Both can be accessed by selecting the "Web Based Training" link on the WAWF home page at 
https://wawf.eb.mil/</t>
        </is>
      </c>
      <c r="C387" t="inlineStr">
        <is>
          <t>D</t>
        </is>
      </c>
      <c r="D387" t="inlineStr"/>
      <c r="E387" t="inlineStr"/>
      <c r="F387" t="inlineStr">
        <is>
          <t>Packaging</t>
        </is>
      </c>
      <c r="G387" s="9" t="inlineStr">
        <is>
          <t>Desirable</t>
        </is>
      </c>
      <c r="H387" s="6" t="inlineStr">
        <is>
          <t>Medium</t>
        </is>
      </c>
      <c r="I387" t="inlineStr"/>
      <c r="J387" t="inlineStr">
        <is>
          <t>Not Started</t>
        </is>
      </c>
      <c r="K387" t="inlineStr"/>
      <c r="L387" t="inlineStr"/>
      <c r="M387" t="inlineStr"/>
      <c r="N387" t="inlineStr"/>
      <c r="O387" t="inlineStr"/>
      <c r="P387" t="inlineStr"/>
      <c r="Q387" t="inlineStr"/>
      <c r="R387" t="inlineStr"/>
      <c r="S387" t="inlineStr"/>
    </row>
    <row r="388">
      <c r="A388" t="inlineStr">
        <is>
          <t>REQ-00400</t>
        </is>
      </c>
      <c r="B388" s="13" t="inlineStr">
        <is>
          <t>(e) Document submissions may be via web entry,         
WAWF methods of document submission.  
Electronic Data Interchange, or File Transfer Protocol.</t>
        </is>
      </c>
      <c r="C388" t="inlineStr">
        <is>
          <t>E</t>
        </is>
      </c>
      <c r="D388" t="inlineStr"/>
      <c r="E388" t="inlineStr"/>
      <c r="F388" t="inlineStr">
        <is>
          <t>Inspection</t>
        </is>
      </c>
      <c r="G388" s="9" t="inlineStr">
        <is>
          <t>Desirable</t>
        </is>
      </c>
      <c r="H388" s="7" t="inlineStr">
        <is>
          <t>Low</t>
        </is>
      </c>
      <c r="I388" t="inlineStr"/>
      <c r="J388" t="inlineStr">
        <is>
          <t>Not Started</t>
        </is>
      </c>
      <c r="K388" t="inlineStr"/>
      <c r="L388" t="inlineStr"/>
      <c r="M388" t="inlineStr"/>
      <c r="N388" t="inlineStr"/>
      <c r="O388" t="inlineStr"/>
      <c r="P388" t="inlineStr"/>
      <c r="Q388" t="inlineStr"/>
      <c r="R388" t="inlineStr"/>
      <c r="S388" t="inlineStr"/>
    </row>
    <row r="389">
      <c r="A389" t="inlineStr">
        <is>
          <t>REQ-00401</t>
        </is>
      </c>
      <c r="B389" s="13" t="inlineStr">
        <is>
          <t>(f) The Contractor shall use the following information when         WAWF payment instructions.  
submitting payment requests and receiving reports in WAWF for this contract or task or delivery order:</t>
        </is>
      </c>
      <c r="C389" t="inlineStr">
        <is>
          <t>F</t>
        </is>
      </c>
      <c r="D389" t="inlineStr"/>
      <c r="E389" t="inlineStr"/>
      <c r="F389" t="inlineStr">
        <is>
          <t>Delivery</t>
        </is>
      </c>
      <c r="G389" s="8" t="inlineStr">
        <is>
          <t>Mandatory</t>
        </is>
      </c>
      <c r="H389" s="5" t="inlineStr">
        <is>
          <t>High</t>
        </is>
      </c>
      <c r="I389" t="inlineStr"/>
      <c r="J389" t="inlineStr">
        <is>
          <t>Not Started</t>
        </is>
      </c>
      <c r="K389" t="inlineStr"/>
      <c r="L389" t="inlineStr"/>
      <c r="M389" t="inlineStr"/>
      <c r="N389" t="inlineStr"/>
      <c r="O389" t="inlineStr"/>
      <c r="P389" t="inlineStr"/>
      <c r="Q389" t="inlineStr"/>
      <c r="R389" t="inlineStr"/>
      <c r="S389" t="inlineStr"/>
    </row>
    <row r="390">
      <c r="A390" t="inlineStr">
        <is>
          <t>REQ-00402</t>
        </is>
      </c>
      <c r="B390" s="13" t="inlineStr">
        <is>
          <t>(1) The Contractor shall submit payment requests using the following                 Document type.  
document type(s):</t>
        </is>
      </c>
      <c r="C390" t="inlineStr">
        <is>
          <t>C</t>
        </is>
      </c>
      <c r="D390" t="inlineStr"/>
      <c r="E390" t="inlineStr"/>
      <c r="F390" t="inlineStr">
        <is>
          <t>Technical Requirement</t>
        </is>
      </c>
      <c r="G390" s="8" t="inlineStr">
        <is>
          <t>Mandatory</t>
        </is>
      </c>
      <c r="H390" s="5" t="inlineStr">
        <is>
          <t>High</t>
        </is>
      </c>
      <c r="I390" t="inlineStr"/>
      <c r="J390" t="inlineStr">
        <is>
          <t>Not Started</t>
        </is>
      </c>
      <c r="K390" t="inlineStr"/>
      <c r="L390" t="inlineStr"/>
      <c r="M390" t="inlineStr"/>
      <c r="N390" t="inlineStr"/>
      <c r="O390" t="inlineStr"/>
      <c r="P390" t="inlineStr"/>
      <c r="Q390" t="inlineStr"/>
      <c r="R390" t="inlineStr"/>
      <c r="S390" t="inlineStr"/>
    </row>
    <row r="391">
      <c r="A391" t="inlineStr">
        <is>
          <t>REQ-00403</t>
        </is>
      </c>
      <c r="B391" s="13" t="inlineStr">
        <is>
          <t>(i) For cost-type line items, including labor-hour or time-and-materials, submit a cost                       
voucher.
(ii) For fixed price line items-                      
(A) That require shipment of a deliverable, submit the invoice and receiving report                               
specified by the Contracting Officer.
____
(Contracting Officer: Insert applicable invoice and receiving re...</t>
        </is>
      </c>
      <c r="C391" t="inlineStr">
        <is>
          <t>I</t>
        </is>
      </c>
      <c r="D391" t="inlineStr"/>
      <c r="E391" t="inlineStr"/>
      <c r="F391" t="inlineStr">
        <is>
          <t>Clause</t>
        </is>
      </c>
      <c r="G391" s="9" t="inlineStr">
        <is>
          <t>Desirable</t>
        </is>
      </c>
      <c r="H391" s="6" t="inlineStr">
        <is>
          <t>Medium</t>
        </is>
      </c>
      <c r="I391" t="inlineStr"/>
      <c r="J391" t="inlineStr">
        <is>
          <t>Not Started</t>
        </is>
      </c>
      <c r="K391" t="inlineStr"/>
      <c r="L391" t="inlineStr"/>
      <c r="M391" t="inlineStr"/>
      <c r="N391" t="inlineStr"/>
      <c r="O391" t="inlineStr"/>
      <c r="P391" t="inlineStr"/>
      <c r="Q391" t="inlineStr"/>
      <c r="R391" t="inlineStr"/>
      <c r="S391" t="inlineStr"/>
    </row>
    <row r="392">
      <c r="A392" t="inlineStr">
        <is>
          <t>REQ-00405</t>
        </is>
      </c>
      <c r="B392" s="13" t="inlineStr">
        <is>
          <t>(v) For commercial financing, submit a commercial financing request.</t>
        </is>
      </c>
      <c r="C392" t="inlineStr">
        <is>
          <t>UNASSIGNED</t>
        </is>
      </c>
      <c r="D392" t="inlineStr"/>
      <c r="E392" t="inlineStr"/>
      <c r="F392" t="inlineStr">
        <is>
          <t>General</t>
        </is>
      </c>
      <c r="G392" s="9" t="inlineStr">
        <is>
          <t>Desirable</t>
        </is>
      </c>
      <c r="H392" s="6" t="inlineStr">
        <is>
          <t>Medium</t>
        </is>
      </c>
      <c r="I392" t="inlineStr"/>
      <c r="J392" t="inlineStr">
        <is>
          <t>Not Started</t>
        </is>
      </c>
      <c r="K392" t="inlineStr"/>
      <c r="L392" t="inlineStr"/>
      <c r="M392" t="inlineStr"/>
      <c r="N392" t="inlineStr"/>
      <c r="O392" t="inlineStr"/>
      <c r="P392" t="inlineStr"/>
      <c r="Q392" t="inlineStr"/>
      <c r="R392" t="inlineStr"/>
      <c r="S392" t="inlineStr"/>
    </row>
    <row r="393">
      <c r="A393" t="inlineStr">
        <is>
          <t>REQ-00406</t>
        </is>
      </c>
      <c r="B393" s="13" t="inlineStr">
        <is>
          <t>(2) ) Fast Pay requests are only permitted when Federal Acquisition Regulation (FAR)</t>
        </is>
      </c>
      <c r="C393" t="inlineStr">
        <is>
          <t>UNASSIGNED</t>
        </is>
      </c>
      <c r="D393" t="inlineStr"/>
      <c r="E393" t="inlineStr"/>
      <c r="F393" t="inlineStr">
        <is>
          <t>General</t>
        </is>
      </c>
      <c r="G393" s="9" t="inlineStr">
        <is>
          <t>Desirable</t>
        </is>
      </c>
      <c r="H393" s="6" t="inlineStr">
        <is>
          <t>Medium</t>
        </is>
      </c>
      <c r="I393" t="inlineStr"/>
      <c r="J393" t="inlineStr">
        <is>
          <t>Not Started</t>
        </is>
      </c>
      <c r="K393" t="inlineStr"/>
      <c r="L393" t="inlineStr"/>
      <c r="M393" t="inlineStr"/>
      <c r="N393" t="inlineStr"/>
      <c r="O393" t="inlineStr"/>
      <c r="P393" t="inlineStr"/>
      <c r="Q393" t="inlineStr"/>
      <c r="R393" t="inlineStr"/>
      <c r="S393" t="inlineStr"/>
    </row>
    <row r="394">
      <c r="A394" t="inlineStr">
        <is>
          <t>REQ-00407</t>
        </is>
      </c>
      <c r="B394" s="13" t="inlineStr">
        <is>
          <t>52.213-1 is included in the contract.
      [Note: The Contractor may use a WAWF "combo" document type to create some combinations of 
invoice and receiving report in one step.]</t>
        </is>
      </c>
      <c r="C394" t="inlineStr">
        <is>
          <t>UNASSIGNED</t>
        </is>
      </c>
      <c r="D394" t="inlineStr"/>
      <c r="E394" t="inlineStr"/>
      <c r="F394" t="inlineStr">
        <is>
          <t>General</t>
        </is>
      </c>
      <c r="G394" s="9" t="inlineStr">
        <is>
          <t>Desirable</t>
        </is>
      </c>
      <c r="H394" s="7" t="inlineStr">
        <is>
          <t>Low</t>
        </is>
      </c>
      <c r="I394" t="inlineStr"/>
      <c r="J394" t="inlineStr">
        <is>
          <t>Not Started</t>
        </is>
      </c>
      <c r="K394" t="inlineStr"/>
      <c r="L394" t="inlineStr"/>
      <c r="M394" t="inlineStr"/>
      <c r="N394" t="inlineStr"/>
      <c r="O394" t="inlineStr"/>
      <c r="P394" t="inlineStr"/>
      <c r="Q394" t="inlineStr"/>
      <c r="R394" t="inlineStr"/>
      <c r="S394" t="inlineStr"/>
    </row>
    <row r="395">
      <c r="A395" t="inlineStr">
        <is>
          <t>REQ-00408</t>
        </is>
      </c>
      <c r="B395" s="13" t="inlineStr">
        <is>
          <t>(3) The Contractor shall use the information in the Routing Data Table                 Document routing.  
below only to fill in applicable fields in WAWF when creating payment requests and receiving reports in 
the system.
Routing Data Table*                                                                                 
Field Name in WAWF Data to be entered in WAWF
Pay Official DoDAAC ____
I...</t>
        </is>
      </c>
      <c r="C395" t="inlineStr">
        <is>
          <t>C</t>
        </is>
      </c>
      <c r="D395" t="inlineStr"/>
      <c r="E395" t="inlineStr"/>
      <c r="F395" t="inlineStr">
        <is>
          <t>Technical Requirement</t>
        </is>
      </c>
      <c r="G395" s="8" t="inlineStr">
        <is>
          <t>Mandatory</t>
        </is>
      </c>
      <c r="H395" s="5" t="inlineStr">
        <is>
          <t>High</t>
        </is>
      </c>
      <c r="I395" t="inlineStr"/>
      <c r="J395" t="inlineStr">
        <is>
          <t>Not Started</t>
        </is>
      </c>
      <c r="K395" t="inlineStr"/>
      <c r="L395" t="inlineStr"/>
      <c r="M395" t="inlineStr"/>
      <c r="N395" t="inlineStr"/>
      <c r="O395" t="inlineStr"/>
      <c r="P395" t="inlineStr"/>
      <c r="Q395" t="inlineStr"/>
      <c r="R395" t="inlineStr"/>
      <c r="S395" t="inlineStr"/>
    </row>
    <row r="396">
      <c r="A396" t="inlineStr">
        <is>
          <t>REQ-00410</t>
        </is>
      </c>
      <c r="B396" s="13" t="inlineStr">
        <is>
          <t>(4) The Contractor shall ensure a payment request includes documentation                 Payment request.  
appropriate to the type of payment request in accordance with the payment clause, contract financing 
clause, or Federal Acquisition Regulation 52.216-7, Allowable Cost and Payment, as applicable.</t>
        </is>
      </c>
      <c r="C396" t="inlineStr">
        <is>
          <t>C</t>
        </is>
      </c>
      <c r="D396" t="inlineStr"/>
      <c r="E396" t="inlineStr"/>
      <c r="F396" t="inlineStr">
        <is>
          <t>Technical Requirement</t>
        </is>
      </c>
      <c r="G396" s="8" t="inlineStr">
        <is>
          <t>Mandatory</t>
        </is>
      </c>
      <c r="H396" s="5" t="inlineStr">
        <is>
          <t>High</t>
        </is>
      </c>
      <c r="I396" t="inlineStr"/>
      <c r="J396" t="inlineStr">
        <is>
          <t>Not Started</t>
        </is>
      </c>
      <c r="K396" t="inlineStr"/>
      <c r="L396" t="inlineStr"/>
      <c r="M396" t="inlineStr"/>
      <c r="N396" t="inlineStr"/>
      <c r="O396" t="inlineStr"/>
      <c r="P396" t="inlineStr"/>
      <c r="Q396" t="inlineStr"/>
      <c r="R396" t="inlineStr"/>
      <c r="S396" t="inlineStr"/>
    </row>
    <row r="397">
      <c r="A397" t="inlineStr">
        <is>
          <t>REQ-00411</t>
        </is>
      </c>
      <c r="B397" s="13" t="inlineStr">
        <is>
          <t>(5) The Contractor shall ensure a receiving report meets the requirements                 Receiving report.  
of DFARS Appendix F.</t>
        </is>
      </c>
      <c r="C397" t="inlineStr">
        <is>
          <t>C</t>
        </is>
      </c>
      <c r="D397" t="inlineStr"/>
      <c r="E397" t="inlineStr"/>
      <c r="F397" t="inlineStr">
        <is>
          <t>Technical Requirement</t>
        </is>
      </c>
      <c r="G397" s="8" t="inlineStr">
        <is>
          <t>Mandatory</t>
        </is>
      </c>
      <c r="H397" s="5" t="inlineStr">
        <is>
          <t>High</t>
        </is>
      </c>
      <c r="I397" t="inlineStr"/>
      <c r="J397" t="inlineStr">
        <is>
          <t>Not Started</t>
        </is>
      </c>
      <c r="K397" t="inlineStr"/>
      <c r="L397" t="inlineStr"/>
      <c r="M397" t="inlineStr"/>
      <c r="N397" t="inlineStr"/>
      <c r="O397" t="inlineStr"/>
      <c r="P397" t="inlineStr"/>
      <c r="Q397" t="inlineStr"/>
      <c r="R397" t="inlineStr"/>
      <c r="S397" t="inlineStr"/>
    </row>
    <row r="398">
      <c r="A398" t="inlineStr">
        <is>
          <t>REQ-00412</t>
        </is>
      </c>
      <c r="B398" s="13" t="inlineStr">
        <is>
          <t>(1) The Contractor may obtain clarification regarding invoicing in WAWF from the                 
following contracting activity's WAWF point of contact.
____
(Contracting Officer: Insert applicable information or "Not applicable.")</t>
        </is>
      </c>
      <c r="C398" t="inlineStr">
        <is>
          <t>UNASSIGNED</t>
        </is>
      </c>
      <c r="D398" t="inlineStr"/>
      <c r="E398" t="inlineStr"/>
      <c r="F398" t="inlineStr">
        <is>
          <t>General</t>
        </is>
      </c>
      <c r="G398" s="9" t="inlineStr">
        <is>
          <t>Desirable</t>
        </is>
      </c>
      <c r="H398" s="7" t="inlineStr">
        <is>
          <t>Low</t>
        </is>
      </c>
      <c r="I398" t="inlineStr"/>
      <c r="J398" t="inlineStr">
        <is>
          <t>Not Started</t>
        </is>
      </c>
      <c r="K398" t="inlineStr"/>
      <c r="L398" t="inlineStr"/>
      <c r="M398" t="inlineStr"/>
      <c r="N398" t="inlineStr"/>
      <c r="O398" t="inlineStr"/>
      <c r="P398" t="inlineStr"/>
      <c r="Q398" t="inlineStr"/>
      <c r="R398" t="inlineStr"/>
      <c r="S398" t="inlineStr"/>
    </row>
    <row r="399">
      <c r="A399" t="inlineStr">
        <is>
          <t>REQ-00413</t>
        </is>
      </c>
      <c r="B399" s="13" t="inlineStr">
        <is>
          <t>(2) Contact the WAWF helpdesk at 866-618-5988, if assistance is needed.                
(End of clause)</t>
        </is>
      </c>
      <c r="C399" t="inlineStr">
        <is>
          <t>UNASSIGNED</t>
        </is>
      </c>
      <c r="D399" t="inlineStr"/>
      <c r="E399" t="inlineStr"/>
      <c r="F399" t="inlineStr">
        <is>
          <t>General</t>
        </is>
      </c>
      <c r="G399" s="9" t="inlineStr">
        <is>
          <t>Desirable</t>
        </is>
      </c>
      <c r="H399" s="6" t="inlineStr">
        <is>
          <t>Medium</t>
        </is>
      </c>
      <c r="I399" t="inlineStr"/>
      <c r="J399" t="inlineStr">
        <is>
          <t>Not Started</t>
        </is>
      </c>
      <c r="K399" t="inlineStr"/>
      <c r="L399" t="inlineStr"/>
      <c r="M399" t="inlineStr"/>
      <c r="N399" t="inlineStr"/>
      <c r="O399" t="inlineStr"/>
      <c r="P399" t="inlineStr"/>
      <c r="Q399" t="inlineStr"/>
      <c r="R399" t="inlineStr"/>
      <c r="S399" t="inlineStr"/>
    </row>
    <row r="400">
      <c r="A400" t="inlineStr">
        <is>
          <t>REQ-00414</t>
        </is>
      </c>
      <c r="B400" s="13" t="inlineStr">
        <is>
          <t>252.249-7000 Special Termination Costs. 1991-12
As prescribed in 249.501-70, use the following clause:
SPECIAL TERMINATION COSTS (DEC 1991)</t>
        </is>
      </c>
      <c r="C400" t="inlineStr">
        <is>
          <t>UNASSIGNED</t>
        </is>
      </c>
      <c r="D400" t="inlineStr"/>
      <c r="E400" t="inlineStr"/>
      <c r="F400" t="inlineStr">
        <is>
          <t>General</t>
        </is>
      </c>
      <c r="G400" s="9" t="inlineStr">
        <is>
          <t>Desirable</t>
        </is>
      </c>
      <c r="H400" s="6" t="inlineStr">
        <is>
          <t>Medium</t>
        </is>
      </c>
      <c r="I400" t="inlineStr"/>
      <c r="J400" t="inlineStr">
        <is>
          <t>Not Started</t>
        </is>
      </c>
      <c r="K400" t="inlineStr"/>
      <c r="L400" t="inlineStr"/>
      <c r="M400" t="inlineStr"/>
      <c r="N400" t="inlineStr"/>
      <c r="O400" t="inlineStr"/>
      <c r="P400" t="inlineStr"/>
      <c r="Q400" t="inlineStr"/>
      <c r="R400" t="inlineStr"/>
      <c r="S400" t="inlineStr"/>
    </row>
    <row r="401">
      <c r="A401" t="inlineStr">
        <is>
          <t>REQ-00415</t>
        </is>
      </c>
      <c r="B401" s="13" t="inlineStr">
        <is>
          <t>(a) "Special termination costs," as used in this clause, means only costs in the         Definition.  
following categories as defined in Part 31 of the Federal Acquisition Regulation (FAR)-</t>
        </is>
      </c>
      <c r="C401" t="inlineStr">
        <is>
          <t>A</t>
        </is>
      </c>
      <c r="D401" t="inlineStr"/>
      <c r="E401" t="inlineStr"/>
      <c r="F401" t="inlineStr">
        <is>
          <t>Contract Form</t>
        </is>
      </c>
      <c r="G401" s="9" t="inlineStr">
        <is>
          <t>Desirable</t>
        </is>
      </c>
      <c r="H401" s="6" t="inlineStr">
        <is>
          <t>Medium</t>
        </is>
      </c>
      <c r="I401" t="inlineStr"/>
      <c r="J401" t="inlineStr">
        <is>
          <t>Not Started</t>
        </is>
      </c>
      <c r="K401" t="inlineStr"/>
      <c r="L401" t="inlineStr"/>
      <c r="M401" t="inlineStr"/>
      <c r="N401" t="inlineStr"/>
      <c r="O401" t="inlineStr"/>
      <c r="P401" t="inlineStr"/>
      <c r="Q401" t="inlineStr"/>
      <c r="R401" t="inlineStr"/>
      <c r="S401" t="inlineStr"/>
    </row>
    <row r="402">
      <c r="A402" t="inlineStr">
        <is>
          <t>REQ-00416</t>
        </is>
      </c>
      <c r="B402" s="13" t="inlineStr">
        <is>
          <t>(1) Severance pay, as provided in FAR 31.205-6(g);                
DRAFT</t>
        </is>
      </c>
      <c r="C402" t="inlineStr">
        <is>
          <t>UNASSIGNED</t>
        </is>
      </c>
      <c r="D402" t="inlineStr"/>
      <c r="E402" t="inlineStr"/>
      <c r="F402" t="inlineStr">
        <is>
          <t>General</t>
        </is>
      </c>
      <c r="G402" s="9" t="inlineStr">
        <is>
          <t>Desirable</t>
        </is>
      </c>
      <c r="H402" s="6" t="inlineStr">
        <is>
          <t>Medium</t>
        </is>
      </c>
      <c r="I402" t="inlineStr"/>
      <c r="J402" t="inlineStr">
        <is>
          <t>Not Started</t>
        </is>
      </c>
      <c r="K402" t="inlineStr"/>
      <c r="L402" t="inlineStr"/>
      <c r="M402" t="inlineStr"/>
      <c r="N402" t="inlineStr"/>
      <c r="O402" t="inlineStr"/>
      <c r="P402" t="inlineStr"/>
      <c r="Q402" t="inlineStr"/>
      <c r="R402" t="inlineStr"/>
      <c r="S402" t="inlineStr"/>
    </row>
    <row r="403">
      <c r="A403" t="inlineStr">
        <is>
          <t>REQ-00417</t>
        </is>
      </c>
      <c r="B403" s="13" t="inlineStr">
        <is>
          <t>(2) Reasonable costs continuing after termination, as provided in FAR 31.205-42(b);</t>
        </is>
      </c>
      <c r="C403" t="inlineStr">
        <is>
          <t>UNASSIGNED</t>
        </is>
      </c>
      <c r="D403" t="inlineStr"/>
      <c r="E403" t="inlineStr"/>
      <c r="F403" t="inlineStr">
        <is>
          <t>General</t>
        </is>
      </c>
      <c r="G403" s="9" t="inlineStr">
        <is>
          <t>Desirable</t>
        </is>
      </c>
      <c r="H403" s="6" t="inlineStr">
        <is>
          <t>Medium</t>
        </is>
      </c>
      <c r="I403" t="inlineStr"/>
      <c r="J403" t="inlineStr">
        <is>
          <t>Not Started</t>
        </is>
      </c>
      <c r="K403" t="inlineStr"/>
      <c r="L403" t="inlineStr"/>
      <c r="M403" t="inlineStr"/>
      <c r="N403" t="inlineStr"/>
      <c r="O403" t="inlineStr"/>
      <c r="P403" t="inlineStr"/>
      <c r="Q403" t="inlineStr"/>
      <c r="R403" t="inlineStr"/>
      <c r="S403" t="inlineStr"/>
    </row>
    <row r="404">
      <c r="A404" t="inlineStr">
        <is>
          <t>REQ-00418</t>
        </is>
      </c>
      <c r="B404" s="13" t="inlineStr">
        <is>
          <t>(3) Settlement of expenses, as provided in FAR 31.205-42(g);</t>
        </is>
      </c>
      <c r="C404" t="inlineStr">
        <is>
          <t>UNASSIGNED</t>
        </is>
      </c>
      <c r="D404" t="inlineStr"/>
      <c r="E404" t="inlineStr"/>
      <c r="F404" t="inlineStr">
        <is>
          <t>General</t>
        </is>
      </c>
      <c r="G404" s="9" t="inlineStr">
        <is>
          <t>Desirable</t>
        </is>
      </c>
      <c r="H404" s="6" t="inlineStr">
        <is>
          <t>Medium</t>
        </is>
      </c>
      <c r="I404" t="inlineStr"/>
      <c r="J404" t="inlineStr">
        <is>
          <t>Not Started</t>
        </is>
      </c>
      <c r="K404" t="inlineStr"/>
      <c r="L404" t="inlineStr"/>
      <c r="M404" t="inlineStr"/>
      <c r="N404" t="inlineStr"/>
      <c r="O404" t="inlineStr"/>
      <c r="P404" t="inlineStr"/>
      <c r="Q404" t="inlineStr"/>
      <c r="R404" t="inlineStr"/>
      <c r="S404" t="inlineStr"/>
    </row>
    <row r="405">
      <c r="A405" t="inlineStr">
        <is>
          <t>REQ-00419</t>
        </is>
      </c>
      <c r="B405" s="13" t="inlineStr">
        <is>
          <t>(4) Costs of return of field service personnel from sites, as provided in FAR 31.205-35 and                 
FAR 31.205-46(c); and</t>
        </is>
      </c>
      <c r="C405" t="inlineStr">
        <is>
          <t>UNASSIGNED</t>
        </is>
      </c>
      <c r="D405" t="inlineStr"/>
      <c r="E405" t="inlineStr"/>
      <c r="F405" t="inlineStr">
        <is>
          <t>General</t>
        </is>
      </c>
      <c r="G405" s="9" t="inlineStr">
        <is>
          <t>Desirable</t>
        </is>
      </c>
      <c r="H405" s="6" t="inlineStr">
        <is>
          <t>Medium</t>
        </is>
      </c>
      <c r="I405" t="inlineStr"/>
      <c r="J405" t="inlineStr">
        <is>
          <t>Not Started</t>
        </is>
      </c>
      <c r="K405" t="inlineStr"/>
      <c r="L405" t="inlineStr"/>
      <c r="M405" t="inlineStr"/>
      <c r="N405" t="inlineStr"/>
      <c r="O405" t="inlineStr"/>
      <c r="P405" t="inlineStr"/>
      <c r="Q405" t="inlineStr"/>
      <c r="R405" t="inlineStr"/>
      <c r="S405" t="inlineStr"/>
    </row>
    <row r="406">
      <c r="A406" t="inlineStr">
        <is>
          <t>REQ-00420</t>
        </is>
      </c>
      <c r="B406" s="13" t="inlineStr">
        <is>
          <t>(5) Costs in paragraphs (a)(1), (2), (3), and (4) of this clause to which subcontractors may be                 
entitled in the event of termination.</t>
        </is>
      </c>
      <c r="C406" t="inlineStr">
        <is>
          <t>UNASSIGNED</t>
        </is>
      </c>
      <c r="D406" t="inlineStr"/>
      <c r="E406" t="inlineStr"/>
      <c r="F406" t="inlineStr">
        <is>
          <t>General</t>
        </is>
      </c>
      <c r="G406" s="9" t="inlineStr">
        <is>
          <t>Desirable</t>
        </is>
      </c>
      <c r="H406" s="7" t="inlineStr">
        <is>
          <t>Low</t>
        </is>
      </c>
      <c r="I406" t="inlineStr"/>
      <c r="J406" t="inlineStr">
        <is>
          <t>Not Started</t>
        </is>
      </c>
      <c r="K406" t="inlineStr"/>
      <c r="L406" t="inlineStr"/>
      <c r="M406" t="inlineStr"/>
      <c r="N406" t="inlineStr"/>
      <c r="O406" t="inlineStr"/>
      <c r="P406" t="inlineStr"/>
      <c r="Q406" t="inlineStr"/>
      <c r="R406" t="inlineStr"/>
      <c r="S406" t="inlineStr"/>
    </row>
    <row r="407">
      <c r="A407" t="inlineStr">
        <is>
          <t>REQ-00421</t>
        </is>
      </c>
      <c r="B407" s="13" t="inlineStr">
        <is>
          <t>(b) 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terminated for the 
convenience of the Government.</t>
        </is>
      </c>
      <c r="C407" t="inlineStr">
        <is>
          <t>B</t>
        </is>
      </c>
      <c r="D407" t="inlineStr"/>
      <c r="E407" t="inlineStr"/>
      <c r="F407" t="inlineStr">
        <is>
          <t>Pricing</t>
        </is>
      </c>
      <c r="G407" s="8" t="inlineStr">
        <is>
          <t>Mandatory</t>
        </is>
      </c>
      <c r="H407" s="5" t="inlineStr">
        <is>
          <t>High</t>
        </is>
      </c>
      <c r="I407" t="inlineStr"/>
      <c r="J407" t="inlineStr">
        <is>
          <t>Not Started</t>
        </is>
      </c>
      <c r="K407" t="inlineStr"/>
      <c r="L407" t="inlineStr"/>
      <c r="M407" t="inlineStr"/>
      <c r="N407" t="inlineStr"/>
      <c r="O407" t="inlineStr"/>
      <c r="P407" t="inlineStr"/>
      <c r="Q407" t="inlineStr"/>
      <c r="R407" t="inlineStr"/>
      <c r="S407" t="inlineStr"/>
    </row>
    <row r="408">
      <c r="A408" t="inlineStr">
        <is>
          <t>REQ-00422</t>
        </is>
      </c>
      <c r="B408" s="13" t="inlineStr">
        <is>
          <t>(c) 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C408" t="inlineStr">
        <is>
          <t>C</t>
        </is>
      </c>
      <c r="D408" t="inlineStr"/>
      <c r="E408" t="inlineStr"/>
      <c r="F408" t="inlineStr">
        <is>
          <t>Technical Requirement</t>
        </is>
      </c>
      <c r="G408" s="8" t="inlineStr">
        <is>
          <t>Mandatory</t>
        </is>
      </c>
      <c r="H408" s="5" t="inlineStr">
        <is>
          <t>High</t>
        </is>
      </c>
      <c r="I408" t="inlineStr"/>
      <c r="J408" t="inlineStr">
        <is>
          <t>Not Started</t>
        </is>
      </c>
      <c r="K408" t="inlineStr"/>
      <c r="L408" t="inlineStr"/>
      <c r="M408" t="inlineStr"/>
      <c r="N408" t="inlineStr"/>
      <c r="O408" t="inlineStr"/>
      <c r="P408" t="inlineStr"/>
      <c r="Q408" t="inlineStr"/>
      <c r="R408" t="inlineStr"/>
      <c r="S408" t="inlineStr"/>
    </row>
    <row r="409">
      <c r="A409" t="inlineStr">
        <is>
          <t>REQ-00423</t>
        </is>
      </c>
      <c r="B409" s="13" t="inlineStr">
        <is>
          <t>(d) In the event of termination for the convenience of the Government, this clause shall not be         
construed as affecting the allowability of special termination costs in any manner other than limiting the 
maximum amount of the costs payable by the Government.</t>
        </is>
      </c>
      <c r="C409" t="inlineStr">
        <is>
          <t>D</t>
        </is>
      </c>
      <c r="D409" t="inlineStr"/>
      <c r="E409" t="inlineStr"/>
      <c r="F409" t="inlineStr">
        <is>
          <t>Packaging</t>
        </is>
      </c>
      <c r="G409" s="8" t="inlineStr">
        <is>
          <t>Mandatory</t>
        </is>
      </c>
      <c r="H409" s="5" t="inlineStr">
        <is>
          <t>High</t>
        </is>
      </c>
      <c r="I409" t="inlineStr"/>
      <c r="J409" t="inlineStr">
        <is>
          <t>Not Started</t>
        </is>
      </c>
      <c r="K409" t="inlineStr"/>
      <c r="L409" t="inlineStr"/>
      <c r="M409" t="inlineStr"/>
      <c r="N409" t="inlineStr"/>
      <c r="O409" t="inlineStr"/>
      <c r="P409" t="inlineStr"/>
      <c r="Q409" t="inlineStr"/>
      <c r="R409" t="inlineStr"/>
      <c r="S409" t="inlineStr"/>
    </row>
    <row r="410">
      <c r="A410" t="inlineStr">
        <is>
          <t>REQ-00424</t>
        </is>
      </c>
      <c r="B410" s="13" t="inlineStr">
        <is>
          <t>(e) This clause shall remain in full force and effect until this contract is fully funded.        
(End of clause)</t>
        </is>
      </c>
      <c r="C410" t="inlineStr">
        <is>
          <t>E</t>
        </is>
      </c>
      <c r="D410" t="inlineStr"/>
      <c r="E410" t="inlineStr"/>
      <c r="F410" t="inlineStr">
        <is>
          <t>Inspection</t>
        </is>
      </c>
      <c r="G410" s="8" t="inlineStr">
        <is>
          <t>Mandatory</t>
        </is>
      </c>
      <c r="H410" s="5" t="inlineStr">
        <is>
          <t>High</t>
        </is>
      </c>
      <c r="I410" t="inlineStr"/>
      <c r="J410" t="inlineStr">
        <is>
          <t>Not Started</t>
        </is>
      </c>
      <c r="K410" t="inlineStr"/>
      <c r="L410" t="inlineStr"/>
      <c r="M410" t="inlineStr"/>
      <c r="N410" t="inlineStr"/>
      <c r="O410" t="inlineStr"/>
      <c r="P410" t="inlineStr"/>
      <c r="Q410" t="inlineStr"/>
      <c r="R410" t="inlineStr"/>
      <c r="S410" t="inlineStr"/>
    </row>
    <row r="411">
      <c r="A411" t="inlineStr">
        <is>
          <t>REQ-00425</t>
        </is>
      </c>
      <c r="B411" s="13" t="inlineStr">
        <is>
          <t>52.212-2 Evaluation-Commercial Products and Commercial Services. 2021-11
As prescribed in , the Contracting Officer may insert a provision substantially as follows:12.301(c)
Evaluation-Commercial Products and Commercial Services (Nov 2021)</t>
        </is>
      </c>
      <c r="C411" t="inlineStr">
        <is>
          <t>UNASSIGNED</t>
        </is>
      </c>
      <c r="D411" t="inlineStr"/>
      <c r="E411" t="inlineStr"/>
      <c r="F411" t="inlineStr">
        <is>
          <t>General</t>
        </is>
      </c>
      <c r="G411" s="9" t="inlineStr">
        <is>
          <t>Desirable</t>
        </is>
      </c>
      <c r="H411" s="7" t="inlineStr">
        <is>
          <t>Low</t>
        </is>
      </c>
      <c r="I411" t="inlineStr"/>
      <c r="J411" t="inlineStr">
        <is>
          <t>Not Started</t>
        </is>
      </c>
      <c r="K411" t="inlineStr"/>
      <c r="L411" t="inlineStr"/>
      <c r="M411" t="inlineStr"/>
      <c r="N411" t="inlineStr"/>
      <c r="O411" t="inlineStr"/>
      <c r="P411" t="inlineStr"/>
      <c r="Q411" t="inlineStr"/>
      <c r="R411" t="inlineStr"/>
      <c r="S411" t="inlineStr"/>
    </row>
    <row r="412">
      <c r="A412" t="inlineStr">
        <is>
          <t>REQ-00426</t>
        </is>
      </c>
      <c r="B412" s="13" t="inlineStr">
        <is>
          <t>(a)  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
        </is>
      </c>
      <c r="C412" t="inlineStr">
        <is>
          <t>A</t>
        </is>
      </c>
      <c r="D412" t="inlineStr"/>
      <c r="E412" t="inlineStr"/>
      <c r="F412" t="inlineStr">
        <is>
          <t>Contract Form</t>
        </is>
      </c>
      <c r="G412" s="8" t="inlineStr">
        <is>
          <t>Mandatory</t>
        </is>
      </c>
      <c r="H412" s="5" t="inlineStr">
        <is>
          <t>High</t>
        </is>
      </c>
      <c r="I412" t="inlineStr"/>
      <c r="J412" t="inlineStr">
        <is>
          <t>Not Started</t>
        </is>
      </c>
      <c r="K412" t="inlineStr"/>
      <c r="L412" t="inlineStr"/>
      <c r="M412" t="inlineStr"/>
      <c r="N412" t="inlineStr"/>
      <c r="O412" t="inlineStr"/>
      <c r="P412" t="inlineStr"/>
      <c r="Q412" t="inlineStr"/>
      <c r="R412" t="inlineStr"/>
      <c r="S412" t="inlineStr"/>
    </row>
    <row r="413">
      <c r="A413" t="inlineStr">
        <is>
          <t>REQ-00427</t>
        </is>
      </c>
      <c r="B413" s="13" t="inlineStr">
        <is>
          <t>(b)  .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C413" t="inlineStr">
        <is>
          <t>B</t>
        </is>
      </c>
      <c r="D413" t="inlineStr"/>
      <c r="E413" t="inlineStr"/>
      <c r="F413" t="inlineStr">
        <is>
          <t>Pricing</t>
        </is>
      </c>
      <c r="G413" s="8" t="inlineStr">
        <is>
          <t>Mandatory</t>
        </is>
      </c>
      <c r="H413" s="5" t="inlineStr">
        <is>
          <t>High</t>
        </is>
      </c>
      <c r="I413" t="inlineStr"/>
      <c r="J413" t="inlineStr">
        <is>
          <t>Not Started</t>
        </is>
      </c>
      <c r="K413" t="inlineStr"/>
      <c r="L413" t="inlineStr"/>
      <c r="M413" t="inlineStr"/>
      <c r="N413" t="inlineStr"/>
      <c r="O413" t="inlineStr"/>
      <c r="P413" t="inlineStr"/>
      <c r="Q413" t="inlineStr"/>
      <c r="R413" t="inlineStr"/>
      <c r="S413" t="inlineStr"/>
    </row>
    <row r="414">
      <c r="A414" t="inlineStr">
        <is>
          <t>REQ-00428</t>
        </is>
      </c>
      <c r="B414" s="13" t="inlineStr">
        <is>
          <t>(c)  A written notice of award or acceptance of an offer, mailed or otherwise furnished to the 
successful offeror within the time for acceptance specified in the offer, shall result in a binding contract 
DRAFT</t>
        </is>
      </c>
      <c r="C414" t="inlineStr">
        <is>
          <t>C</t>
        </is>
      </c>
      <c r="D414" t="inlineStr"/>
      <c r="E414" t="inlineStr"/>
      <c r="F414" t="inlineStr">
        <is>
          <t>Technical Requirement</t>
        </is>
      </c>
      <c r="G414" s="8" t="inlineStr">
        <is>
          <t>Mandatory</t>
        </is>
      </c>
      <c r="H414" s="5" t="inlineStr">
        <is>
          <t>High</t>
        </is>
      </c>
      <c r="I414" t="inlineStr"/>
      <c r="J414" t="inlineStr">
        <is>
          <t>Not Started</t>
        </is>
      </c>
      <c r="K414" t="inlineStr"/>
      <c r="L414" t="inlineStr"/>
      <c r="M414" t="inlineStr"/>
      <c r="N414" t="inlineStr"/>
      <c r="O414" t="inlineStr"/>
      <c r="P414" t="inlineStr"/>
      <c r="Q414" t="inlineStr"/>
      <c r="R414" t="inlineStr"/>
      <c r="S414" t="inlineStr"/>
    </row>
    <row r="415">
      <c r="A415" t="inlineStr">
        <is>
          <t>REQ-00430</t>
        </is>
      </c>
      <c r="B415" s="13" t="inlineStr">
        <is>
          <t>52.212-3 Offeror Representations and Certifications-Commercial 
Products and Commercial Services. 2024-05
As prescribed in , insert the following provision:12.301(b)(2)
Offeror Representations and Certifications-Commercial Products and Commercial Services (May 
2024)
The Offeror shall complete only paragraph (b) of this provision if the Offeror has completed the 
annual representations and cert...</t>
        </is>
      </c>
      <c r="C415" t="inlineStr">
        <is>
          <t>K</t>
        </is>
      </c>
      <c r="D415" t="inlineStr"/>
      <c r="E415" t="inlineStr"/>
      <c r="F415" t="inlineStr">
        <is>
          <t>Representation</t>
        </is>
      </c>
      <c r="G415" s="8" t="inlineStr">
        <is>
          <t>Mandatory</t>
        </is>
      </c>
      <c r="H415" s="5" t="inlineStr">
        <is>
          <t>High</t>
        </is>
      </c>
      <c r="I415" t="inlineStr"/>
      <c r="J415" t="inlineStr">
        <is>
          <t>Not Started</t>
        </is>
      </c>
      <c r="K415" t="inlineStr"/>
      <c r="L415" t="inlineStr"/>
      <c r="M415" t="inlineStr"/>
      <c r="N415" t="inlineStr"/>
      <c r="O415" t="inlineStr"/>
      <c r="P415" t="inlineStr"/>
      <c r="Q415" t="inlineStr"/>
      <c r="R415" t="inlineStr"/>
      <c r="S415" t="inlineStr"/>
    </row>
    <row r="416">
      <c r="A416" t="inlineStr">
        <is>
          <t>REQ-00431</t>
        </is>
      </c>
      <c r="B416" s="13" t="inlineStr">
        <is>
          <t>(a) 
 . As used in this provision-Definitions
Covered telecommunications equipment or services has the meaning provided in the clause 52.204-25, 
Prohibition on Contracting for Certain Telecommunications and Video Surveillance Services or 
Equipment.
Economically disadvantaged women-owned small business (EDWOSB) concern means a small 
business concern that is at least 51 percent directly and un...</t>
        </is>
      </c>
      <c r="C416" t="inlineStr">
        <is>
          <t>A</t>
        </is>
      </c>
      <c r="D416" t="inlineStr"/>
      <c r="E416" t="inlineStr"/>
      <c r="F416" t="inlineStr">
        <is>
          <t>Contract Form</t>
        </is>
      </c>
      <c r="G416" s="9" t="inlineStr">
        <is>
          <t>Desirable</t>
        </is>
      </c>
      <c r="H416" s="6" t="inlineStr">
        <is>
          <t>Medium</t>
        </is>
      </c>
      <c r="I416" t="inlineStr"/>
      <c r="J416" t="inlineStr">
        <is>
          <t>Not Started</t>
        </is>
      </c>
      <c r="K416" t="inlineStr"/>
      <c r="L416" t="inlineStr"/>
      <c r="M416" t="inlineStr"/>
      <c r="N416" t="inlineStr"/>
      <c r="O416" t="inlineStr"/>
      <c r="P416" t="inlineStr"/>
      <c r="Q416" t="inlineStr"/>
      <c r="R416" t="inlineStr"/>
      <c r="S416" t="inlineStr"/>
    </row>
    <row r="417">
      <c r="A417" t="inlineStr">
        <is>
          <t>REQ-00432</t>
        </is>
      </c>
      <c r="B417" s="13" t="inlineStr">
        <is>
          <t>(1)  Exacted from any person under the age of 18 under the menace of any penalty for its 
nonperformance and for which the worker does not offer himself voluntarily; or</t>
        </is>
      </c>
      <c r="C417" t="inlineStr">
        <is>
          <t>UNASSIGNED</t>
        </is>
      </c>
      <c r="D417" t="inlineStr"/>
      <c r="E417" t="inlineStr"/>
      <c r="F417" t="inlineStr">
        <is>
          <t>General</t>
        </is>
      </c>
      <c r="G417" s="9" t="inlineStr">
        <is>
          <t>Desirable</t>
        </is>
      </c>
      <c r="H417" s="6" t="inlineStr">
        <is>
          <t>Medium</t>
        </is>
      </c>
      <c r="I417" t="inlineStr"/>
      <c r="J417" t="inlineStr">
        <is>
          <t>Not Started</t>
        </is>
      </c>
      <c r="K417" t="inlineStr"/>
      <c r="L417" t="inlineStr"/>
      <c r="M417" t="inlineStr"/>
      <c r="N417" t="inlineStr"/>
      <c r="O417" t="inlineStr"/>
      <c r="P417" t="inlineStr"/>
      <c r="Q417" t="inlineStr"/>
      <c r="R417" t="inlineStr"/>
      <c r="S417" t="inlineStr"/>
    </row>
    <row r="418">
      <c r="A418" t="inlineStr">
        <is>
          <t>REQ-00433</t>
        </is>
      </c>
      <c r="B418" s="13" t="inlineStr">
        <is>
          <t>(2)  Performed by any person under the age of 18 pursuant to a contract the enforcement of which can 
be accomplished by process or penalties.
Highest-level owner means the entity that owns or controls an immediate owner of the offeror, or that 
owns or controls one or more entities that control an immediate owner of the offeror. No entity owns or 
exercises control of the highest level owner.
...</t>
        </is>
      </c>
      <c r="C418" t="inlineStr">
        <is>
          <t>UNASSIGNED</t>
        </is>
      </c>
      <c r="D418" t="inlineStr"/>
      <c r="E418" t="inlineStr"/>
      <c r="F418" t="inlineStr">
        <is>
          <t>General</t>
        </is>
      </c>
      <c r="G418" s="9" t="inlineStr">
        <is>
          <t>Desirable</t>
        </is>
      </c>
      <c r="H418" s="7" t="inlineStr">
        <is>
          <t>Low</t>
        </is>
      </c>
      <c r="I418" t="inlineStr"/>
      <c r="J418" t="inlineStr">
        <is>
          <t>Not Started</t>
        </is>
      </c>
      <c r="K418" t="inlineStr"/>
      <c r="L418" t="inlineStr"/>
      <c r="M418" t="inlineStr"/>
      <c r="N418" t="inlineStr"/>
      <c r="O418" t="inlineStr"/>
      <c r="P418" t="inlineStr"/>
      <c r="Q418" t="inlineStr"/>
      <c r="R418" t="inlineStr"/>
      <c r="S418" t="inlineStr"/>
    </row>
    <row r="419">
      <c r="A419" t="inlineStr">
        <is>
          <t>REQ-00435</t>
        </is>
      </c>
      <c r="B419" s="13" t="inlineStr">
        <is>
          <t>(1)  PSC 5510, Lumber and Related Basic Wood Materials;</t>
        </is>
      </c>
      <c r="C419" t="inlineStr">
        <is>
          <t>UNASSIGNED</t>
        </is>
      </c>
      <c r="D419" t="inlineStr"/>
      <c r="E419" t="inlineStr"/>
      <c r="F419" t="inlineStr">
        <is>
          <t>General</t>
        </is>
      </c>
      <c r="G419" s="9" t="inlineStr">
        <is>
          <t>Desirable</t>
        </is>
      </c>
      <c r="H419" s="6" t="inlineStr">
        <is>
          <t>Medium</t>
        </is>
      </c>
      <c r="I419" t="inlineStr"/>
      <c r="J419" t="inlineStr">
        <is>
          <t>Not Started</t>
        </is>
      </c>
      <c r="K419" t="inlineStr"/>
      <c r="L419" t="inlineStr"/>
      <c r="M419" t="inlineStr"/>
      <c r="N419" t="inlineStr"/>
      <c r="O419" t="inlineStr"/>
      <c r="P419" t="inlineStr"/>
      <c r="Q419" t="inlineStr"/>
      <c r="R419" t="inlineStr"/>
      <c r="S419" t="inlineStr"/>
    </row>
    <row r="420">
      <c r="A420" t="inlineStr">
        <is>
          <t>REQ-00436</t>
        </is>
      </c>
      <c r="B420" s="13" t="inlineStr">
        <is>
          <t>(2)  Product or Service Group (PSG) 87, Agricultural Supplies;</t>
        </is>
      </c>
      <c r="C420" t="inlineStr">
        <is>
          <t>UNASSIGNED</t>
        </is>
      </c>
      <c r="D420" t="inlineStr"/>
      <c r="E420" t="inlineStr"/>
      <c r="F420" t="inlineStr">
        <is>
          <t>General</t>
        </is>
      </c>
      <c r="G420" s="9" t="inlineStr">
        <is>
          <t>Desirable</t>
        </is>
      </c>
      <c r="H420" s="6" t="inlineStr">
        <is>
          <t>Medium</t>
        </is>
      </c>
      <c r="I420" t="inlineStr"/>
      <c r="J420" t="inlineStr">
        <is>
          <t>Not Started</t>
        </is>
      </c>
      <c r="K420" t="inlineStr"/>
      <c r="L420" t="inlineStr"/>
      <c r="M420" t="inlineStr"/>
      <c r="N420" t="inlineStr"/>
      <c r="O420" t="inlineStr"/>
      <c r="P420" t="inlineStr"/>
      <c r="Q420" t="inlineStr"/>
      <c r="R420" t="inlineStr"/>
      <c r="S420" t="inlineStr"/>
    </row>
    <row r="421">
      <c r="A421" t="inlineStr">
        <is>
          <t>REQ-00437</t>
        </is>
      </c>
      <c r="B421" s="13" t="inlineStr">
        <is>
          <t>(5)  PSC 9410, Crude Grades of Plant Materials;</t>
        </is>
      </c>
      <c r="C421" t="inlineStr">
        <is>
          <t>UNASSIGNED</t>
        </is>
      </c>
      <c r="D421" t="inlineStr"/>
      <c r="E421" t="inlineStr"/>
      <c r="F421" t="inlineStr">
        <is>
          <t>General</t>
        </is>
      </c>
      <c r="G421" s="9" t="inlineStr">
        <is>
          <t>Desirable</t>
        </is>
      </c>
      <c r="H421" s="6" t="inlineStr">
        <is>
          <t>Medium</t>
        </is>
      </c>
      <c r="I421" t="inlineStr"/>
      <c r="J421" t="inlineStr">
        <is>
          <t>Not Started</t>
        </is>
      </c>
      <c r="K421" t="inlineStr"/>
      <c r="L421" t="inlineStr"/>
      <c r="M421" t="inlineStr"/>
      <c r="N421" t="inlineStr"/>
      <c r="O421" t="inlineStr"/>
      <c r="P421" t="inlineStr"/>
      <c r="Q421" t="inlineStr"/>
      <c r="R421" t="inlineStr"/>
      <c r="S421" t="inlineStr"/>
    </row>
    <row r="422">
      <c r="A422" t="inlineStr">
        <is>
          <t>REQ-00438</t>
        </is>
      </c>
      <c r="B422" s="13" t="inlineStr">
        <is>
          <t>(6)  PSC 9430, Miscellaneous Crude Animal Products, Inedible;</t>
        </is>
      </c>
      <c r="C422" t="inlineStr">
        <is>
          <t>UNASSIGNED</t>
        </is>
      </c>
      <c r="D422" t="inlineStr"/>
      <c r="E422" t="inlineStr"/>
      <c r="F422" t="inlineStr">
        <is>
          <t>General</t>
        </is>
      </c>
      <c r="G422" s="9" t="inlineStr">
        <is>
          <t>Desirable</t>
        </is>
      </c>
      <c r="H422" s="6" t="inlineStr">
        <is>
          <t>Medium</t>
        </is>
      </c>
      <c r="I422" t="inlineStr"/>
      <c r="J422" t="inlineStr">
        <is>
          <t>Not Started</t>
        </is>
      </c>
      <c r="K422" t="inlineStr"/>
      <c r="L422" t="inlineStr"/>
      <c r="M422" t="inlineStr"/>
      <c r="N422" t="inlineStr"/>
      <c r="O422" t="inlineStr"/>
      <c r="P422" t="inlineStr"/>
      <c r="Q422" t="inlineStr"/>
      <c r="R422" t="inlineStr"/>
      <c r="S422" t="inlineStr"/>
    </row>
    <row r="423">
      <c r="A423" t="inlineStr">
        <is>
          <t>REQ-00439</t>
        </is>
      </c>
      <c r="B423" s="13" t="inlineStr">
        <is>
          <t>(7)  PSC 9440, Miscellaneous Crude Agricultural and Forestry Products;</t>
        </is>
      </c>
      <c r="C423" t="inlineStr">
        <is>
          <t>UNASSIGNED</t>
        </is>
      </c>
      <c r="D423" t="inlineStr"/>
      <c r="E423" t="inlineStr"/>
      <c r="F423" t="inlineStr">
        <is>
          <t>General</t>
        </is>
      </c>
      <c r="G423" s="9" t="inlineStr">
        <is>
          <t>Desirable</t>
        </is>
      </c>
      <c r="H423" s="6" t="inlineStr">
        <is>
          <t>Medium</t>
        </is>
      </c>
      <c r="I423" t="inlineStr"/>
      <c r="J423" t="inlineStr">
        <is>
          <t>Not Started</t>
        </is>
      </c>
      <c r="K423" t="inlineStr"/>
      <c r="L423" t="inlineStr"/>
      <c r="M423" t="inlineStr"/>
      <c r="N423" t="inlineStr"/>
      <c r="O423" t="inlineStr"/>
      <c r="P423" t="inlineStr"/>
      <c r="Q423" t="inlineStr"/>
      <c r="R423" t="inlineStr"/>
      <c r="S423" t="inlineStr"/>
    </row>
    <row r="424">
      <c r="A424" t="inlineStr">
        <is>
          <t>REQ-00440</t>
        </is>
      </c>
      <c r="B424" s="13" t="inlineStr">
        <is>
          <t>(9)  PSC 9620, Minerals, Natural and Synthetic; and</t>
        </is>
      </c>
      <c r="C424" t="inlineStr">
        <is>
          <t>UNASSIGNED</t>
        </is>
      </c>
      <c r="D424" t="inlineStr"/>
      <c r="E424" t="inlineStr"/>
      <c r="F424" t="inlineStr">
        <is>
          <t>General</t>
        </is>
      </c>
      <c r="G424" s="9" t="inlineStr">
        <is>
          <t>Desirable</t>
        </is>
      </c>
      <c r="H424" s="6" t="inlineStr">
        <is>
          <t>Medium</t>
        </is>
      </c>
      <c r="I424" t="inlineStr"/>
      <c r="J424" t="inlineStr">
        <is>
          <t>Not Started</t>
        </is>
      </c>
      <c r="K424" t="inlineStr"/>
      <c r="L424" t="inlineStr"/>
      <c r="M424" t="inlineStr"/>
      <c r="N424" t="inlineStr"/>
      <c r="O424" t="inlineStr"/>
      <c r="P424" t="inlineStr"/>
      <c r="Q424" t="inlineStr"/>
      <c r="R424" t="inlineStr"/>
      <c r="S424" t="inlineStr"/>
    </row>
    <row r="425">
      <c r="A425" t="inlineStr">
        <is>
          <t>REQ-00441</t>
        </is>
      </c>
      <c r="B425" s="13" t="inlineStr">
        <is>
          <t>(10)  PSC 9630, Additive Metal Materials.
Place of manufacture means the place where an end product is assembled out of components, or 
otherwise made or processed from raw materials into the finished product that is to be provided to the 
Government. If a product is disassembled and reassembled, the place of reassembly is not the place of 
manufacture.
Predecessor means an entity that is repla...</t>
        </is>
      </c>
      <c r="C425" t="inlineStr">
        <is>
          <t>UNASSIGNED</t>
        </is>
      </c>
      <c r="D425" t="inlineStr"/>
      <c r="E425" t="inlineStr"/>
      <c r="F425" t="inlineStr">
        <is>
          <t>General</t>
        </is>
      </c>
      <c r="G425" s="9" t="inlineStr">
        <is>
          <t>Desirable</t>
        </is>
      </c>
      <c r="H425" s="7" t="inlineStr">
        <is>
          <t>Low</t>
        </is>
      </c>
      <c r="I425" t="inlineStr"/>
      <c r="J425" t="inlineStr">
        <is>
          <t>Not Started</t>
        </is>
      </c>
      <c r="K425" t="inlineStr"/>
      <c r="L425" t="inlineStr"/>
      <c r="M425" t="inlineStr"/>
      <c r="N425" t="inlineStr"/>
      <c r="O425" t="inlineStr"/>
      <c r="P425" t="inlineStr"/>
      <c r="Q425" t="inlineStr"/>
      <c r="R425" t="inlineStr"/>
      <c r="S425" t="inlineStr"/>
    </row>
    <row r="426">
      <c r="A426" t="inlineStr">
        <is>
          <t>REQ-00442</t>
        </is>
      </c>
      <c r="B426" s="13" t="inlineStr">
        <is>
          <t>(1) 
 Are conducted under contract directly and exclusively with the regional government of southern 
Sudan;</t>
        </is>
      </c>
      <c r="C426" t="inlineStr">
        <is>
          <t>UNASSIGNED</t>
        </is>
      </c>
      <c r="D426" t="inlineStr"/>
      <c r="E426" t="inlineStr"/>
      <c r="F426" t="inlineStr">
        <is>
          <t>General</t>
        </is>
      </c>
      <c r="G426" s="9" t="inlineStr">
        <is>
          <t>Desirable</t>
        </is>
      </c>
      <c r="H426" s="6" t="inlineStr">
        <is>
          <t>Medium</t>
        </is>
      </c>
      <c r="I426" t="inlineStr"/>
      <c r="J426" t="inlineStr">
        <is>
          <t>Not Started</t>
        </is>
      </c>
      <c r="K426" t="inlineStr"/>
      <c r="L426" t="inlineStr"/>
      <c r="M426" t="inlineStr"/>
      <c r="N426" t="inlineStr"/>
      <c r="O426" t="inlineStr"/>
      <c r="P426" t="inlineStr"/>
      <c r="Q426" t="inlineStr"/>
      <c r="R426" t="inlineStr"/>
      <c r="S426" t="inlineStr"/>
    </row>
    <row r="427">
      <c r="A427" t="inlineStr">
        <is>
          <t>REQ-00443</t>
        </is>
      </c>
      <c r="B427" s="13" t="inlineStr">
        <is>
          <t>(2)  Are conducted pursuant to specific authorization from the Office of Foreign Assets Control in the 
Department of the Treasury, or are expressly exempted under Federal law from the requirement to be 
conducted under such authorization;</t>
        </is>
      </c>
      <c r="C427" t="inlineStr">
        <is>
          <t>UNASSIGNED</t>
        </is>
      </c>
      <c r="D427" t="inlineStr"/>
      <c r="E427" t="inlineStr"/>
      <c r="F427" t="inlineStr">
        <is>
          <t>General</t>
        </is>
      </c>
      <c r="G427" s="9" t="inlineStr">
        <is>
          <t>Desirable</t>
        </is>
      </c>
      <c r="H427" s="6" t="inlineStr">
        <is>
          <t>Medium</t>
        </is>
      </c>
      <c r="I427" t="inlineStr"/>
      <c r="J427" t="inlineStr">
        <is>
          <t>Not Started</t>
        </is>
      </c>
      <c r="K427" t="inlineStr"/>
      <c r="L427" t="inlineStr"/>
      <c r="M427" t="inlineStr"/>
      <c r="N427" t="inlineStr"/>
      <c r="O427" t="inlineStr"/>
      <c r="P427" t="inlineStr"/>
      <c r="Q427" t="inlineStr"/>
      <c r="R427" t="inlineStr"/>
      <c r="S427" t="inlineStr"/>
    </row>
    <row r="428">
      <c r="A428" t="inlineStr">
        <is>
          <t>REQ-00444</t>
        </is>
      </c>
      <c r="B428" s="13" t="inlineStr">
        <is>
          <t>(3)  Consist of providing goods or services to marginalized populations of Sudan;</t>
        </is>
      </c>
      <c r="C428" t="inlineStr">
        <is>
          <t>M</t>
        </is>
      </c>
      <c r="D428" t="inlineStr"/>
      <c r="E428" t="inlineStr"/>
      <c r="F428" t="inlineStr">
        <is>
          <t>Evaluation Factor</t>
        </is>
      </c>
      <c r="G428" s="9" t="inlineStr">
        <is>
          <t>Desirable</t>
        </is>
      </c>
      <c r="H428" s="6" t="inlineStr">
        <is>
          <t>Medium</t>
        </is>
      </c>
      <c r="I428" t="inlineStr"/>
      <c r="J428" t="inlineStr">
        <is>
          <t>Not Started</t>
        </is>
      </c>
      <c r="K428" t="inlineStr"/>
      <c r="L428" t="inlineStr"/>
      <c r="M428" t="inlineStr"/>
      <c r="N428" t="inlineStr"/>
      <c r="O428" t="inlineStr"/>
      <c r="P428" t="inlineStr"/>
      <c r="Q428" t="inlineStr"/>
      <c r="R428" t="inlineStr"/>
      <c r="S428" t="inlineStr"/>
    </row>
    <row r="429">
      <c r="A429" t="inlineStr">
        <is>
          <t>REQ-00445</t>
        </is>
      </c>
      <c r="B429" s="13" t="inlineStr">
        <is>
          <t>(4)  Consist of providing goods or services to an internationally recognized peacekeeping force or 
humanitarian organization;</t>
        </is>
      </c>
      <c r="C429" t="inlineStr">
        <is>
          <t>M</t>
        </is>
      </c>
      <c r="D429" t="inlineStr"/>
      <c r="E429" t="inlineStr"/>
      <c r="F429" t="inlineStr">
        <is>
          <t>Evaluation Factor</t>
        </is>
      </c>
      <c r="G429" s="9" t="inlineStr">
        <is>
          <t>Desirable</t>
        </is>
      </c>
      <c r="H429" s="6" t="inlineStr">
        <is>
          <t>Medium</t>
        </is>
      </c>
      <c r="I429" t="inlineStr"/>
      <c r="J429" t="inlineStr">
        <is>
          <t>Not Started</t>
        </is>
      </c>
      <c r="K429" t="inlineStr"/>
      <c r="L429" t="inlineStr"/>
      <c r="M429" t="inlineStr"/>
      <c r="N429" t="inlineStr"/>
      <c r="O429" t="inlineStr"/>
      <c r="P429" t="inlineStr"/>
      <c r="Q429" t="inlineStr"/>
      <c r="R429" t="inlineStr"/>
      <c r="S429" t="inlineStr"/>
    </row>
    <row r="430">
      <c r="A430" t="inlineStr">
        <is>
          <t>REQ-00446</t>
        </is>
      </c>
      <c r="B430" s="13" t="inlineStr">
        <is>
          <t>(5)  Consist of providing goods or services that are used only to promote health or education; or</t>
        </is>
      </c>
      <c r="C430" t="inlineStr">
        <is>
          <t>M</t>
        </is>
      </c>
      <c r="D430" t="inlineStr"/>
      <c r="E430" t="inlineStr"/>
      <c r="F430" t="inlineStr">
        <is>
          <t>Evaluation Factor</t>
        </is>
      </c>
      <c r="G430" s="9" t="inlineStr">
        <is>
          <t>Desirable</t>
        </is>
      </c>
      <c r="H430" s="6" t="inlineStr">
        <is>
          <t>Medium</t>
        </is>
      </c>
      <c r="I430" t="inlineStr"/>
      <c r="J430" t="inlineStr">
        <is>
          <t>Not Started</t>
        </is>
      </c>
      <c r="K430" t="inlineStr"/>
      <c r="L430" t="inlineStr"/>
      <c r="M430" t="inlineStr"/>
      <c r="N430" t="inlineStr"/>
      <c r="O430" t="inlineStr"/>
      <c r="P430" t="inlineStr"/>
      <c r="Q430" t="inlineStr"/>
      <c r="R430" t="inlineStr"/>
      <c r="S430" t="inlineStr"/>
    </row>
    <row r="431">
      <c r="A431" t="inlineStr">
        <is>
          <t>REQ-00447</t>
        </is>
      </c>
      <c r="B431" s="13" t="inlineStr">
        <is>
          <t>(6)  Have been voluntarily suspended."Sensitive technology"-
DRAFT</t>
        </is>
      </c>
      <c r="C431" t="inlineStr">
        <is>
          <t>UNASSIGNED</t>
        </is>
      </c>
      <c r="D431" t="inlineStr"/>
      <c r="E431" t="inlineStr"/>
      <c r="F431" t="inlineStr">
        <is>
          <t>General</t>
        </is>
      </c>
      <c r="G431" s="9" t="inlineStr">
        <is>
          <t>Desirable</t>
        </is>
      </c>
      <c r="H431" s="6" t="inlineStr">
        <is>
          <t>Medium</t>
        </is>
      </c>
      <c r="I431" t="inlineStr"/>
      <c r="J431" t="inlineStr">
        <is>
          <t>Not Started</t>
        </is>
      </c>
      <c r="K431" t="inlineStr"/>
      <c r="L431" t="inlineStr"/>
      <c r="M431" t="inlineStr"/>
      <c r="N431" t="inlineStr"/>
      <c r="O431" t="inlineStr"/>
      <c r="P431" t="inlineStr"/>
      <c r="Q431" t="inlineStr"/>
      <c r="R431" t="inlineStr"/>
      <c r="S431" t="inlineStr"/>
    </row>
    <row r="432">
      <c r="A432" t="inlineStr">
        <is>
          <t>REQ-00448</t>
        </is>
      </c>
      <c r="B432" s="13" t="inlineStr">
        <is>
          <t>(1)  Means hardware, software, telecommunications equipment, or any other technology that is to be 
used specifically-</t>
        </is>
      </c>
      <c r="C432" t="inlineStr">
        <is>
          <t>UNASSIGNED</t>
        </is>
      </c>
      <c r="D432" t="inlineStr"/>
      <c r="E432" t="inlineStr"/>
      <c r="F432" t="inlineStr">
        <is>
          <t>General</t>
        </is>
      </c>
      <c r="G432" s="9" t="inlineStr">
        <is>
          <t>Desirable</t>
        </is>
      </c>
      <c r="H432" s="6" t="inlineStr">
        <is>
          <t>Medium</t>
        </is>
      </c>
      <c r="I432" t="inlineStr"/>
      <c r="J432" t="inlineStr">
        <is>
          <t>Not Started</t>
        </is>
      </c>
      <c r="K432" t="inlineStr"/>
      <c r="L432" t="inlineStr"/>
      <c r="M432" t="inlineStr"/>
      <c r="N432" t="inlineStr"/>
      <c r="O432" t="inlineStr"/>
      <c r="P432" t="inlineStr"/>
      <c r="Q432" t="inlineStr"/>
      <c r="R432" t="inlineStr"/>
      <c r="S432" t="inlineStr"/>
    </row>
    <row r="433">
      <c r="A433" t="inlineStr">
        <is>
          <t>REQ-00449</t>
        </is>
      </c>
      <c r="B433" s="13" t="inlineStr">
        <is>
          <t>(i)  To restrict the free flow of unbiased information in Iran; or
(ii)  To disrupt, monitor, or otherwise restrict speech of the people of Iran; and</t>
        </is>
      </c>
      <c r="C433" t="inlineStr">
        <is>
          <t>I</t>
        </is>
      </c>
      <c r="D433" t="inlineStr"/>
      <c r="E433" t="inlineStr"/>
      <c r="F433" t="inlineStr">
        <is>
          <t>Clause</t>
        </is>
      </c>
      <c r="G433" s="9" t="inlineStr">
        <is>
          <t>Desirable</t>
        </is>
      </c>
      <c r="H433" s="6" t="inlineStr">
        <is>
          <t>Medium</t>
        </is>
      </c>
      <c r="I433" t="inlineStr"/>
      <c r="J433" t="inlineStr">
        <is>
          <t>Not Started</t>
        </is>
      </c>
      <c r="K433" t="inlineStr"/>
      <c r="L433" t="inlineStr"/>
      <c r="M433" t="inlineStr"/>
      <c r="N433" t="inlineStr"/>
      <c r="O433" t="inlineStr"/>
      <c r="P433" t="inlineStr"/>
      <c r="Q433" t="inlineStr"/>
      <c r="R433" t="inlineStr"/>
      <c r="S433" t="inlineStr"/>
    </row>
    <row r="434">
      <c r="A434" t="inlineStr">
        <is>
          <t>REQ-00450</t>
        </is>
      </c>
      <c r="B434" s="13" t="inlineStr">
        <is>
          <t>(2)  Does not include information or informational materials the export of which the President does 
not have the authority to regulate or prohibit pursuant to section 203(b)(3)of the International Emergency 
Economic Powers Act (50 U.S.C. 1702(b)(3)).
Service-disabled veteran-owned small business (SDVOSB) concern means a small business concern-</t>
        </is>
      </c>
      <c r="C434" t="inlineStr">
        <is>
          <t>K</t>
        </is>
      </c>
      <c r="D434" t="inlineStr"/>
      <c r="E434" t="inlineStr"/>
      <c r="F434" t="inlineStr">
        <is>
          <t>Representation</t>
        </is>
      </c>
      <c r="G434" s="9" t="inlineStr">
        <is>
          <t>Desirable</t>
        </is>
      </c>
      <c r="H434" s="6" t="inlineStr">
        <is>
          <t>Medium</t>
        </is>
      </c>
      <c r="I434" t="inlineStr"/>
      <c r="J434" t="inlineStr">
        <is>
          <t>Not Started</t>
        </is>
      </c>
      <c r="K434" t="inlineStr"/>
      <c r="L434" t="inlineStr"/>
      <c r="M434" t="inlineStr"/>
      <c r="N434" t="inlineStr"/>
      <c r="O434" t="inlineStr"/>
      <c r="P434" t="inlineStr"/>
      <c r="Q434" t="inlineStr"/>
      <c r="R434" t="inlineStr"/>
      <c r="S434" t="inlineStr"/>
    </row>
    <row r="435">
      <c r="A435" t="inlineStr">
        <is>
          <t>REQ-00451</t>
        </is>
      </c>
      <c r="B435" s="13" t="inlineStr">
        <is>
          <t>(i)  Not less than 51 percent of which is owned and controlled by one or more service-disabled 
veterans or, in the case of any publicly owned business, not less than 51 percent of the stock of which is 
owned by one or more service-disabled veterans; and
(ii)  The management and daily business operations of which are controlled by one or more service-
disabled veterans or, in the case of a ser...</t>
        </is>
      </c>
      <c r="C435" t="inlineStr">
        <is>
          <t>I</t>
        </is>
      </c>
      <c r="D435" t="inlineStr"/>
      <c r="E435" t="inlineStr"/>
      <c r="F435" t="inlineStr">
        <is>
          <t>Clause</t>
        </is>
      </c>
      <c r="G435" s="9" t="inlineStr">
        <is>
          <t>Desirable</t>
        </is>
      </c>
      <c r="H435" s="6" t="inlineStr">
        <is>
          <t>Medium</t>
        </is>
      </c>
      <c r="I435" t="inlineStr"/>
      <c r="J435" t="inlineStr">
        <is>
          <t>Not Started</t>
        </is>
      </c>
      <c r="K435" t="inlineStr"/>
      <c r="L435" t="inlineStr"/>
      <c r="M435" t="inlineStr"/>
      <c r="N435" t="inlineStr"/>
      <c r="O435" t="inlineStr"/>
      <c r="P435" t="inlineStr"/>
      <c r="Q435" t="inlineStr"/>
      <c r="R435" t="inlineStr"/>
      <c r="S435" t="inlineStr"/>
    </row>
    <row r="436">
      <c r="A436" t="inlineStr">
        <is>
          <t>REQ-00452</t>
        </is>
      </c>
      <c r="B436" s="13" t="inlineStr">
        <is>
          <t>(2)  A small business concern eligible under the SDVOSB Program in accordance with 13 CFR part 
128 (see subpart 19.14).</t>
        </is>
      </c>
      <c r="C436" t="inlineStr">
        <is>
          <t>K</t>
        </is>
      </c>
      <c r="D436" t="inlineStr"/>
      <c r="E436" t="inlineStr"/>
      <c r="F436" t="inlineStr">
        <is>
          <t>Representation</t>
        </is>
      </c>
      <c r="G436" s="9" t="inlineStr">
        <is>
          <t>Desirable</t>
        </is>
      </c>
      <c r="H436" s="6" t="inlineStr">
        <is>
          <t>Medium</t>
        </is>
      </c>
      <c r="I436" t="inlineStr"/>
      <c r="J436" t="inlineStr">
        <is>
          <t>Not Started</t>
        </is>
      </c>
      <c r="K436" t="inlineStr"/>
      <c r="L436" t="inlineStr"/>
      <c r="M436" t="inlineStr"/>
      <c r="N436" t="inlineStr"/>
      <c r="O436" t="inlineStr"/>
      <c r="P436" t="inlineStr"/>
      <c r="Q436" t="inlineStr"/>
      <c r="R436" t="inlineStr"/>
      <c r="S436" t="inlineStr"/>
    </row>
    <row r="437">
      <c r="A437" t="inlineStr">
        <is>
          <t>REQ-00453</t>
        </is>
      </c>
      <c r="B437" s="13" t="inlineStr">
        <is>
          <t>(3)  , as used in this definition, means a veteran as defined in 38 U.S.C. 101Service-disabled veteran</t>
        </is>
      </c>
      <c r="C437" t="inlineStr">
        <is>
          <t>UNASSIGNED</t>
        </is>
      </c>
      <c r="D437" t="inlineStr"/>
      <c r="E437" t="inlineStr"/>
      <c r="F437" t="inlineStr">
        <is>
          <t>General</t>
        </is>
      </c>
      <c r="G437" s="9" t="inlineStr">
        <is>
          <t>Desirable</t>
        </is>
      </c>
      <c r="H437" s="6" t="inlineStr">
        <is>
          <t>Medium</t>
        </is>
      </c>
      <c r="I437" t="inlineStr"/>
      <c r="J437" t="inlineStr">
        <is>
          <t>Not Started</t>
        </is>
      </c>
      <c r="K437" t="inlineStr"/>
      <c r="L437" t="inlineStr"/>
      <c r="M437" t="inlineStr"/>
      <c r="N437" t="inlineStr"/>
      <c r="O437" t="inlineStr"/>
      <c r="P437" t="inlineStr"/>
      <c r="Q437" t="inlineStr"/>
      <c r="R437" t="inlineStr"/>
      <c r="S437" t="inlineStr"/>
    </row>
    <row r="438">
      <c r="A438" t="inlineStr">
        <is>
          <t>REQ-00454</t>
        </is>
      </c>
      <c r="B438" s="13" t="inlineStr">
        <is>
          <t>(2), with a disability that is service connected, as defined in 38 U.S.C. 101(16), and who is registered in 
the Beneficiary Identification and Records Locator Subsystem, or successor system that is maintained by 
the Department of Veterans Affairs' Veterans Benefits Administration, as a service-disabled veteran.
Service-disabled veteran-owned small business (SDVOSB) concern eligible under the ...</t>
        </is>
      </c>
      <c r="C438" t="inlineStr">
        <is>
          <t>K</t>
        </is>
      </c>
      <c r="D438" t="inlineStr"/>
      <c r="E438" t="inlineStr"/>
      <c r="F438" t="inlineStr">
        <is>
          <t>Representation</t>
        </is>
      </c>
      <c r="G438" s="9" t="inlineStr">
        <is>
          <t>Desirable</t>
        </is>
      </c>
      <c r="H438" s="6" t="inlineStr">
        <is>
          <t>Medium</t>
        </is>
      </c>
      <c r="I438" t="inlineStr"/>
      <c r="J438" t="inlineStr">
        <is>
          <t>Not Started</t>
        </is>
      </c>
      <c r="K438" t="inlineStr"/>
      <c r="L438" t="inlineStr"/>
      <c r="M438" t="inlineStr"/>
      <c r="N438" t="inlineStr"/>
      <c r="O438" t="inlineStr"/>
      <c r="P438" t="inlineStr"/>
      <c r="Q438" t="inlineStr"/>
      <c r="R438" t="inlineStr"/>
      <c r="S438" t="inlineStr"/>
    </row>
    <row r="439">
      <c r="A439" t="inlineStr">
        <is>
          <t>REQ-00455</t>
        </is>
      </c>
      <c r="B439" s="13" t="inlineStr">
        <is>
          <t>(1) 
 Effective January 1, 2024, is designated in the System for Award Management (SAM) as certified 
by the Small Business Administration (SBA) in accordance with 13 CFR 128.300; or</t>
        </is>
      </c>
      <c r="C439" t="inlineStr">
        <is>
          <t>K</t>
        </is>
      </c>
      <c r="D439" t="inlineStr"/>
      <c r="E439" t="inlineStr"/>
      <c r="F439" t="inlineStr">
        <is>
          <t>Representation</t>
        </is>
      </c>
      <c r="G439" s="9" t="inlineStr">
        <is>
          <t>Desirable</t>
        </is>
      </c>
      <c r="H439" s="6" t="inlineStr">
        <is>
          <t>Medium</t>
        </is>
      </c>
      <c r="I439" t="inlineStr"/>
      <c r="J439" t="inlineStr">
        <is>
          <t>Not Started</t>
        </is>
      </c>
      <c r="K439" t="inlineStr"/>
      <c r="L439" t="inlineStr"/>
      <c r="M439" t="inlineStr"/>
      <c r="N439" t="inlineStr"/>
      <c r="O439" t="inlineStr"/>
      <c r="P439" t="inlineStr"/>
      <c r="Q439" t="inlineStr"/>
      <c r="R439" t="inlineStr"/>
      <c r="S439" t="inlineStr"/>
    </row>
    <row r="440">
      <c r="A440" t="inlineStr">
        <is>
          <t>REQ-00456</t>
        </is>
      </c>
      <c r="B440" s="13" t="inlineStr">
        <is>
          <t>(2)  Has represented that it is an SDVOSB concern in SAM and submitted a complete application for 
certification to SBA on or before December 31, 2023.
Service-disabled veteran-owned small business (SDVOSB) Program means a program that authorizes 
contracting officers to limit competition, including award on a sole-source basis, to SDVOSB concerns 
eligible under the SDVOSB Program.
Small busin...</t>
        </is>
      </c>
      <c r="C440" t="inlineStr">
        <is>
          <t>K</t>
        </is>
      </c>
      <c r="D440" t="inlineStr"/>
      <c r="E440" t="inlineStr"/>
      <c r="F440" t="inlineStr">
        <is>
          <t>Representation</t>
        </is>
      </c>
      <c r="G440" s="9" t="inlineStr">
        <is>
          <t>Desirable</t>
        </is>
      </c>
      <c r="H440" s="6" t="inlineStr">
        <is>
          <t>Medium</t>
        </is>
      </c>
      <c r="I440" t="inlineStr"/>
      <c r="J440" t="inlineStr">
        <is>
          <t>Not Started</t>
        </is>
      </c>
      <c r="K440" t="inlineStr"/>
      <c r="L440" t="inlineStr"/>
      <c r="M440" t="inlineStr"/>
      <c r="N440" t="inlineStr"/>
      <c r="O440" t="inlineStr"/>
      <c r="P440" t="inlineStr"/>
      <c r="Q440" t="inlineStr"/>
      <c r="R440" t="inlineStr"/>
      <c r="S440" t="inlineStr"/>
    </row>
    <row r="441">
      <c r="A441" t="inlineStr">
        <is>
          <t>REQ-00457</t>
        </is>
      </c>
      <c r="B441" s="13" t="inlineStr">
        <is>
          <t>(1)  Means a concern, including its affiliates, that is independently owned and operated, not dominant 
in its field of operation, and qualified as a small business under the criteria in 13 CFR part 121 and size 
standards in this solicitation.</t>
        </is>
      </c>
      <c r="C441" t="inlineStr">
        <is>
          <t>K</t>
        </is>
      </c>
      <c r="D441" t="inlineStr"/>
      <c r="E441" t="inlineStr"/>
      <c r="F441" t="inlineStr">
        <is>
          <t>Representation</t>
        </is>
      </c>
      <c r="G441" s="9" t="inlineStr">
        <is>
          <t>Desirable</t>
        </is>
      </c>
      <c r="H441" s="6" t="inlineStr">
        <is>
          <t>Medium</t>
        </is>
      </c>
      <c r="I441" t="inlineStr"/>
      <c r="J441" t="inlineStr">
        <is>
          <t>Not Started</t>
        </is>
      </c>
      <c r="K441" t="inlineStr"/>
      <c r="L441" t="inlineStr"/>
      <c r="M441" t="inlineStr"/>
      <c r="N441" t="inlineStr"/>
      <c r="O441" t="inlineStr"/>
      <c r="P441" t="inlineStr"/>
      <c r="Q441" t="inlineStr"/>
      <c r="R441" t="inlineStr"/>
      <c r="S441" t="inlineStr"/>
    </row>
    <row r="442">
      <c r="A442" t="inlineStr">
        <is>
          <t>REQ-00458</t>
        </is>
      </c>
      <c r="B442" s="13" t="inlineStr">
        <is>
          <t>(2)  , as used in this definition, means business concerns, one of whom directly or indirectly Affiliates
controls or has the power to control the others, or a third party or parties control or have the power to 
control the others. In determining whether affiliation exists, consideration is given to all appropriate 
factors including common ownership, common management, and contractual relatio...</t>
        </is>
      </c>
      <c r="C442" t="inlineStr">
        <is>
          <t>UNASSIGNED</t>
        </is>
      </c>
      <c r="D442" t="inlineStr"/>
      <c r="E442" t="inlineStr"/>
      <c r="F442" t="inlineStr">
        <is>
          <t>General</t>
        </is>
      </c>
      <c r="G442" s="9" t="inlineStr">
        <is>
          <t>Desirable</t>
        </is>
      </c>
      <c r="H442" s="6" t="inlineStr">
        <is>
          <t>Medium</t>
        </is>
      </c>
      <c r="I442" t="inlineStr"/>
      <c r="J442" t="inlineStr">
        <is>
          <t>Not Started</t>
        </is>
      </c>
      <c r="K442" t="inlineStr"/>
      <c r="L442" t="inlineStr"/>
      <c r="M442" t="inlineStr"/>
      <c r="N442" t="inlineStr"/>
      <c r="O442" t="inlineStr"/>
      <c r="P442" t="inlineStr"/>
      <c r="Q442" t="inlineStr"/>
      <c r="R442" t="inlineStr"/>
      <c r="S442" t="inlineStr"/>
    </row>
    <row r="443">
      <c r="A443" t="inlineStr">
        <is>
          <t>REQ-00460</t>
        </is>
      </c>
      <c r="B443" s="13" t="inlineStr">
        <is>
          <t>(i)  One or more socially disadvantaged (as defined at13 CFR 124.103) and economically 
disadvantaged (as defined at ) individuals who are citizens of the United States; and13 CFR 124.104
(ii)  Each individual claiming economic disadvantage has a net worth not exceeding the threshold at 
13 CFR 124.104(c)(2) after taking into account the applicable exclusions set forth at 13 CFR124.104(c)</t>
        </is>
      </c>
      <c r="C443" t="inlineStr">
        <is>
          <t>I</t>
        </is>
      </c>
      <c r="D443" t="inlineStr"/>
      <c r="E443" t="inlineStr"/>
      <c r="F443" t="inlineStr">
        <is>
          <t>Clause</t>
        </is>
      </c>
      <c r="G443" s="9" t="inlineStr">
        <is>
          <t>Desirable</t>
        </is>
      </c>
      <c r="H443" s="6" t="inlineStr">
        <is>
          <t>Medium</t>
        </is>
      </c>
      <c r="I443" t="inlineStr"/>
      <c r="J443" t="inlineStr">
        <is>
          <t>Not Started</t>
        </is>
      </c>
      <c r="K443" t="inlineStr"/>
      <c r="L443" t="inlineStr"/>
      <c r="M443" t="inlineStr"/>
      <c r="N443" t="inlineStr"/>
      <c r="O443" t="inlineStr"/>
      <c r="P443" t="inlineStr"/>
      <c r="Q443" t="inlineStr"/>
      <c r="R443" t="inlineStr"/>
      <c r="S443" t="inlineStr"/>
    </row>
    <row r="444">
      <c r="A444" t="inlineStr">
        <is>
          <t>REQ-00461</t>
        </is>
      </c>
      <c r="B444" s="13" t="inlineStr">
        <is>
          <t>(2)  The management and daily business operations of which are controlled (as defined at 13.CFR</t>
        </is>
      </c>
      <c r="C444" t="inlineStr">
        <is>
          <t>UNASSIGNED</t>
        </is>
      </c>
      <c r="D444" t="inlineStr"/>
      <c r="E444" t="inlineStr"/>
      <c r="F444" t="inlineStr">
        <is>
          <t>General</t>
        </is>
      </c>
      <c r="G444" s="9" t="inlineStr">
        <is>
          <t>Desirable</t>
        </is>
      </c>
      <c r="H444" s="6" t="inlineStr">
        <is>
          <t>Medium</t>
        </is>
      </c>
      <c r="I444" t="inlineStr"/>
      <c r="J444" t="inlineStr">
        <is>
          <t>Not Started</t>
        </is>
      </c>
      <c r="K444" t="inlineStr"/>
      <c r="L444" t="inlineStr"/>
      <c r="M444" t="inlineStr"/>
      <c r="N444" t="inlineStr"/>
      <c r="O444" t="inlineStr"/>
      <c r="P444" t="inlineStr"/>
      <c r="Q444" t="inlineStr"/>
      <c r="R444" t="inlineStr"/>
      <c r="S444" t="inlineStr"/>
    </row>
    <row r="445">
      <c r="A445" t="inlineStr">
        <is>
          <t>REQ-00462</t>
        </is>
      </c>
      <c r="B445" s="13" t="inlineStr">
        <is>
          <t>124.106) by individuals, who meet the criteria in paragraphs (1)(i) and (ii) of this definition.
Subsidiary means an entity in which more than 50 percent of the entity is owned-</t>
        </is>
      </c>
      <c r="C445" t="inlineStr">
        <is>
          <t>UNASSIGNED</t>
        </is>
      </c>
      <c r="D445" t="inlineStr"/>
      <c r="E445" t="inlineStr"/>
      <c r="F445" t="inlineStr">
        <is>
          <t>General</t>
        </is>
      </c>
      <c r="G445" s="9" t="inlineStr">
        <is>
          <t>Desirable</t>
        </is>
      </c>
      <c r="H445" s="6" t="inlineStr">
        <is>
          <t>Medium</t>
        </is>
      </c>
      <c r="I445" t="inlineStr"/>
      <c r="J445" t="inlineStr">
        <is>
          <t>Not Started</t>
        </is>
      </c>
      <c r="K445" t="inlineStr"/>
      <c r="L445" t="inlineStr"/>
      <c r="M445" t="inlineStr"/>
      <c r="N445" t="inlineStr"/>
      <c r="O445" t="inlineStr"/>
      <c r="P445" t="inlineStr"/>
      <c r="Q445" t="inlineStr"/>
      <c r="R445" t="inlineStr"/>
      <c r="S445" t="inlineStr"/>
    </row>
    <row r="446">
      <c r="A446" t="inlineStr">
        <is>
          <t>REQ-00463</t>
        </is>
      </c>
      <c r="B446" s="13" t="inlineStr">
        <is>
          <t>(1)  Directly by a parent corporation; or</t>
        </is>
      </c>
      <c r="C446" t="inlineStr">
        <is>
          <t>UNASSIGNED</t>
        </is>
      </c>
      <c r="D446" t="inlineStr"/>
      <c r="E446" t="inlineStr"/>
      <c r="F446" t="inlineStr">
        <is>
          <t>General</t>
        </is>
      </c>
      <c r="G446" s="9" t="inlineStr">
        <is>
          <t>Desirable</t>
        </is>
      </c>
      <c r="H446" s="6" t="inlineStr">
        <is>
          <t>Medium</t>
        </is>
      </c>
      <c r="I446" t="inlineStr"/>
      <c r="J446" t="inlineStr">
        <is>
          <t>Not Started</t>
        </is>
      </c>
      <c r="K446" t="inlineStr"/>
      <c r="L446" t="inlineStr"/>
      <c r="M446" t="inlineStr"/>
      <c r="N446" t="inlineStr"/>
      <c r="O446" t="inlineStr"/>
      <c r="P446" t="inlineStr"/>
      <c r="Q446" t="inlineStr"/>
      <c r="R446" t="inlineStr"/>
      <c r="S446" t="inlineStr"/>
    </row>
    <row r="447">
      <c r="A447" t="inlineStr">
        <is>
          <t>REQ-00464</t>
        </is>
      </c>
      <c r="B447" s="13" t="inlineStr">
        <is>
          <t>(2)  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t>
        </is>
      </c>
      <c r="C447" t="inlineStr">
        <is>
          <t>K</t>
        </is>
      </c>
      <c r="D447" t="inlineStr"/>
      <c r="E447" t="inlineStr"/>
      <c r="F447" t="inlineStr">
        <is>
          <t>Representation</t>
        </is>
      </c>
      <c r="G447" s="9" t="inlineStr">
        <is>
          <t>Desirable</t>
        </is>
      </c>
      <c r="H447" s="7" t="inlineStr">
        <is>
          <t>Low</t>
        </is>
      </c>
      <c r="I447" t="inlineStr"/>
      <c r="J447" t="inlineStr">
        <is>
          <t>Not Started</t>
        </is>
      </c>
      <c r="K447" t="inlineStr"/>
      <c r="L447" t="inlineStr"/>
      <c r="M447" t="inlineStr"/>
      <c r="N447" t="inlineStr"/>
      <c r="O447" t="inlineStr"/>
      <c r="P447" t="inlineStr"/>
      <c r="Q447" t="inlineStr"/>
      <c r="R447" t="inlineStr"/>
      <c r="S447" t="inlineStr"/>
    </row>
    <row r="448">
      <c r="A448" t="inlineStr">
        <is>
          <t>REQ-00465</t>
        </is>
      </c>
      <c r="B448" s="13" t="inlineStr">
        <is>
          <t>(1)  Not less than 51 percent of which is owned and controlled by one or more veterans (as defined at 
38 U.S.C. 101(2)) or, in the case of any publicly owned business, not less than 51 percent of the stock of 
which is owned by one or more veterans; and</t>
        </is>
      </c>
      <c r="C448" t="inlineStr">
        <is>
          <t>UNASSIGNED</t>
        </is>
      </c>
      <c r="D448" t="inlineStr"/>
      <c r="E448" t="inlineStr"/>
      <c r="F448" t="inlineStr">
        <is>
          <t>General</t>
        </is>
      </c>
      <c r="G448" s="9" t="inlineStr">
        <is>
          <t>Desirable</t>
        </is>
      </c>
      <c r="H448" s="6" t="inlineStr">
        <is>
          <t>Medium</t>
        </is>
      </c>
      <c r="I448" t="inlineStr"/>
      <c r="J448" t="inlineStr">
        <is>
          <t>Not Started</t>
        </is>
      </c>
      <c r="K448" t="inlineStr"/>
      <c r="L448" t="inlineStr"/>
      <c r="M448" t="inlineStr"/>
      <c r="N448" t="inlineStr"/>
      <c r="O448" t="inlineStr"/>
      <c r="P448" t="inlineStr"/>
      <c r="Q448" t="inlineStr"/>
      <c r="R448" t="inlineStr"/>
      <c r="S448" t="inlineStr"/>
    </row>
    <row r="449">
      <c r="A449" t="inlineStr">
        <is>
          <t>REQ-00466</t>
        </is>
      </c>
      <c r="B449" s="13" t="inlineStr">
        <is>
          <t>(2)  The management and daily business operations of which are controlled by one or more veterans.
Women-owned business concern means a concern which is at least 51 percent owned by one or more 
women; or in the case of any publicly owned business, at least 51 percent of its stock is owned by one or 
more women; and whose management and daily business operations are controlled by one or more 
w...</t>
        </is>
      </c>
      <c r="C449" t="inlineStr">
        <is>
          <t>K</t>
        </is>
      </c>
      <c r="D449" t="inlineStr"/>
      <c r="E449" t="inlineStr"/>
      <c r="F449" t="inlineStr">
        <is>
          <t>Representation</t>
        </is>
      </c>
      <c r="G449" s="9" t="inlineStr">
        <is>
          <t>Desirable</t>
        </is>
      </c>
      <c r="H449" s="6" t="inlineStr">
        <is>
          <t>Medium</t>
        </is>
      </c>
      <c r="I449" t="inlineStr"/>
      <c r="J449" t="inlineStr">
        <is>
          <t>Not Started</t>
        </is>
      </c>
      <c r="K449" t="inlineStr"/>
      <c r="L449" t="inlineStr"/>
      <c r="M449" t="inlineStr"/>
      <c r="N449" t="inlineStr"/>
      <c r="O449" t="inlineStr"/>
      <c r="P449" t="inlineStr"/>
      <c r="Q449" t="inlineStr"/>
      <c r="R449" t="inlineStr"/>
      <c r="S449" t="inlineStr"/>
    </row>
    <row r="450">
      <c r="A450" t="inlineStr">
        <is>
          <t>REQ-00467</t>
        </is>
      </c>
      <c r="B450" s="13" t="inlineStr">
        <is>
          <t>(1)  That is at least 51 percent owned by one or more women; or, in the case of any publicly owned 
business, at least51 percent of the stock of which is owned by one or more women; and</t>
        </is>
      </c>
      <c r="C450" t="inlineStr">
        <is>
          <t>UNASSIGNED</t>
        </is>
      </c>
      <c r="D450" t="inlineStr"/>
      <c r="E450" t="inlineStr"/>
      <c r="F450" t="inlineStr">
        <is>
          <t>General</t>
        </is>
      </c>
      <c r="G450" s="9" t="inlineStr">
        <is>
          <t>Desirable</t>
        </is>
      </c>
      <c r="H450" s="6" t="inlineStr">
        <is>
          <t>Medium</t>
        </is>
      </c>
      <c r="I450" t="inlineStr"/>
      <c r="J450" t="inlineStr">
        <is>
          <t>Not Started</t>
        </is>
      </c>
      <c r="K450" t="inlineStr"/>
      <c r="L450" t="inlineStr"/>
      <c r="M450" t="inlineStr"/>
      <c r="N450" t="inlineStr"/>
      <c r="O450" t="inlineStr"/>
      <c r="P450" t="inlineStr"/>
      <c r="Q450" t="inlineStr"/>
      <c r="R450" t="inlineStr"/>
      <c r="S450" t="inlineStr"/>
    </row>
    <row r="451">
      <c r="A451" t="inlineStr">
        <is>
          <t>REQ-00468</t>
        </is>
      </c>
      <c r="B451" s="13" t="inlineStr">
        <is>
          <t>(2)  Whose management and daily business operations are controlled by one or more women.
Women-owned small business (WOSB) concern eligible under the WOSB Program (in accordance 
with 13 CFR part 127), means a small business concern that is at least 51 percent directly and 
unconditionally owned by, and the management and daily business operations of which are controlled 
by, one or more women ...</t>
        </is>
      </c>
      <c r="C451" t="inlineStr">
        <is>
          <t>K</t>
        </is>
      </c>
      <c r="D451" t="inlineStr"/>
      <c r="E451" t="inlineStr"/>
      <c r="F451" t="inlineStr">
        <is>
          <t>Representation</t>
        </is>
      </c>
      <c r="G451" s="9" t="inlineStr">
        <is>
          <t>Desirable</t>
        </is>
      </c>
      <c r="H451" s="6" t="inlineStr">
        <is>
          <t>Medium</t>
        </is>
      </c>
      <c r="I451" t="inlineStr"/>
      <c r="J451" t="inlineStr">
        <is>
          <t>Not Started</t>
        </is>
      </c>
      <c r="K451" t="inlineStr"/>
      <c r="L451" t="inlineStr"/>
      <c r="M451" t="inlineStr"/>
      <c r="N451" t="inlineStr"/>
      <c r="O451" t="inlineStr"/>
      <c r="P451" t="inlineStr"/>
      <c r="Q451" t="inlineStr"/>
      <c r="R451" t="inlineStr"/>
      <c r="S451" t="inlineStr"/>
    </row>
    <row r="452">
      <c r="A452" t="inlineStr">
        <is>
          <t>REQ-00469</t>
        </is>
      </c>
      <c r="B452" s="13" t="inlineStr">
        <is>
          <t>(1) 
 . Any changes provided by the Offeror in paragraph (b)Annual Representations and Certifications</t>
        </is>
      </c>
      <c r="C452" t="inlineStr">
        <is>
          <t>K</t>
        </is>
      </c>
      <c r="D452" t="inlineStr"/>
      <c r="E452" t="inlineStr"/>
      <c r="F452" t="inlineStr">
        <is>
          <t>Representation</t>
        </is>
      </c>
      <c r="G452" s="9" t="inlineStr">
        <is>
          <t>Desirable</t>
        </is>
      </c>
      <c r="H452" s="6" t="inlineStr">
        <is>
          <t>Medium</t>
        </is>
      </c>
      <c r="I452" t="inlineStr"/>
      <c r="J452" t="inlineStr">
        <is>
          <t>Not Started</t>
        </is>
      </c>
      <c r="K452" t="inlineStr"/>
      <c r="L452" t="inlineStr"/>
      <c r="M452" t="inlineStr"/>
      <c r="N452" t="inlineStr"/>
      <c r="O452" t="inlineStr"/>
      <c r="P452" t="inlineStr"/>
      <c r="Q452" t="inlineStr"/>
      <c r="R452" t="inlineStr"/>
      <c r="S452" t="inlineStr"/>
    </row>
    <row r="453">
      <c r="A453" t="inlineStr">
        <is>
          <t>REQ-00470</t>
        </is>
      </c>
      <c r="B453" s="13" t="inlineStr">
        <is>
          <t>(2) of this provision do not automatically change the representations and certifications in SAM.
DRAFT</t>
        </is>
      </c>
      <c r="C453" t="inlineStr">
        <is>
          <t>K</t>
        </is>
      </c>
      <c r="D453" t="inlineStr"/>
      <c r="E453" t="inlineStr"/>
      <c r="F453" t="inlineStr">
        <is>
          <t>Representation</t>
        </is>
      </c>
      <c r="G453" s="9" t="inlineStr">
        <is>
          <t>Desirable</t>
        </is>
      </c>
      <c r="H453" s="6" t="inlineStr">
        <is>
          <t>Medium</t>
        </is>
      </c>
      <c r="I453" t="inlineStr"/>
      <c r="J453" t="inlineStr">
        <is>
          <t>Not Started</t>
        </is>
      </c>
      <c r="K453" t="inlineStr"/>
      <c r="L453" t="inlineStr"/>
      <c r="M453" t="inlineStr"/>
      <c r="N453" t="inlineStr"/>
      <c r="O453" t="inlineStr"/>
      <c r="P453" t="inlineStr"/>
      <c r="Q453" t="inlineStr"/>
      <c r="R453" t="inlineStr"/>
      <c r="S453" t="inlineStr"/>
    </row>
    <row r="454">
      <c r="A454" t="inlineStr">
        <is>
          <t>REQ-00471</t>
        </is>
      </c>
      <c r="B454" s="13" t="inlineStr">
        <is>
          <t>(2)  The offeror has completed the annual representations and certifications electronically in SAM 
accessed through http://www.sam.gov. After reviewing SAM information, the Offeror verifies by 
submission of this offer that the representations and certifications currently posted electronically at FAR</t>
        </is>
      </c>
      <c r="C454" t="inlineStr">
        <is>
          <t>K</t>
        </is>
      </c>
      <c r="D454" t="inlineStr"/>
      <c r="E454" t="inlineStr"/>
      <c r="F454" t="inlineStr">
        <is>
          <t>Representation</t>
        </is>
      </c>
      <c r="G454" s="9" t="inlineStr">
        <is>
          <t>Desirable</t>
        </is>
      </c>
      <c r="H454" s="6" t="inlineStr">
        <is>
          <t>Medium</t>
        </is>
      </c>
      <c r="I454" t="inlineStr"/>
      <c r="J454" t="inlineStr">
        <is>
          <t>Not Started</t>
        </is>
      </c>
      <c r="K454" t="inlineStr"/>
      <c r="L454" t="inlineStr"/>
      <c r="M454" t="inlineStr"/>
      <c r="N454" t="inlineStr"/>
      <c r="O454" t="inlineStr"/>
      <c r="P454" t="inlineStr"/>
      <c r="Q454" t="inlineStr"/>
      <c r="R454" t="inlineStr"/>
      <c r="S454" t="inlineStr"/>
    </row>
    <row r="455">
      <c r="A455" t="inlineStr">
        <is>
          <t>REQ-00472</t>
        </is>
      </c>
      <c r="B455" s="13" t="inlineStr">
        <is>
          <t>52.212-3, Offeror Representations and Certifications-Commercial Products and Commercial Services, 
have been entered or updated in the last 12 months, are current, accurate, complete, and applicable to this 
solicitation (including the business size standard(s) applicable to the NAICS code(s) referenced for this 
solicitation), at the time this offer is submitted and are incorporated in this of...</t>
        </is>
      </c>
      <c r="C455" t="inlineStr">
        <is>
          <t>K</t>
        </is>
      </c>
      <c r="D455" t="inlineStr"/>
      <c r="E455" t="inlineStr"/>
      <c r="F455" t="inlineStr">
        <is>
          <t>Representation</t>
        </is>
      </c>
      <c r="G455" s="9" t="inlineStr">
        <is>
          <t>Desirable</t>
        </is>
      </c>
      <c r="H455" s="6" t="inlineStr">
        <is>
          <t>Medium</t>
        </is>
      </c>
      <c r="I455" t="inlineStr"/>
      <c r="J455" t="inlineStr">
        <is>
          <t>Not Started</t>
        </is>
      </c>
      <c r="K455" t="inlineStr"/>
      <c r="L455" t="inlineStr"/>
      <c r="M455" t="inlineStr"/>
      <c r="N455" t="inlineStr"/>
      <c r="O455" t="inlineStr"/>
      <c r="P455" t="inlineStr"/>
      <c r="Q455" t="inlineStr"/>
      <c r="R455" t="inlineStr"/>
      <c r="S455" t="inlineStr"/>
    </row>
    <row r="456">
      <c r="A456" t="inlineStr">
        <is>
          <t>REQ-00473</t>
        </is>
      </c>
      <c r="B456" s="13" t="inlineStr">
        <is>
          <t>4.1201), except for paragraphs .
____
[Offeror to identify the applicable paragraphs at (c) through (v) of this provision that the offeror has 
completed for the purposes of this solicitation only, if any.
These amended representation(s) and/or certification(s) are also incorporated in this offer and are 
current, accurate, and complete as of the date of this offer.
Any changes provided by the ...</t>
        </is>
      </c>
      <c r="C456" t="inlineStr">
        <is>
          <t>K</t>
        </is>
      </c>
      <c r="D456" t="inlineStr"/>
      <c r="E456" t="inlineStr"/>
      <c r="F456" t="inlineStr">
        <is>
          <t>Representation</t>
        </is>
      </c>
      <c r="G456" s="9" t="inlineStr">
        <is>
          <t>Desirable</t>
        </is>
      </c>
      <c r="H456" s="6" t="inlineStr">
        <is>
          <t>Medium</t>
        </is>
      </c>
      <c r="I456" t="inlineStr"/>
      <c r="J456" t="inlineStr">
        <is>
          <t>Not Started</t>
        </is>
      </c>
      <c r="K456" t="inlineStr"/>
      <c r="L456" t="inlineStr"/>
      <c r="M456" t="inlineStr"/>
      <c r="N456" t="inlineStr"/>
      <c r="O456" t="inlineStr"/>
      <c r="P456" t="inlineStr"/>
      <c r="Q456" t="inlineStr"/>
      <c r="R456" t="inlineStr"/>
      <c r="S456" t="inlineStr"/>
    </row>
    <row r="457">
      <c r="A457" t="inlineStr">
        <is>
          <t>REQ-00474</t>
        </is>
      </c>
      <c r="B457" s="13" t="inlineStr">
        <is>
          <t>(c)  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apply.</t>
        </is>
      </c>
      <c r="C457" t="inlineStr">
        <is>
          <t>C</t>
        </is>
      </c>
      <c r="D457" t="inlineStr"/>
      <c r="E457" t="inlineStr"/>
      <c r="F457" t="inlineStr">
        <is>
          <t>Technical Requirement</t>
        </is>
      </c>
      <c r="G457" s="8" t="inlineStr">
        <is>
          <t>Mandatory</t>
        </is>
      </c>
      <c r="H457" s="5" t="inlineStr">
        <is>
          <t>High</t>
        </is>
      </c>
      <c r="I457" t="inlineStr"/>
      <c r="J457" t="inlineStr">
        <is>
          <t>Not Started</t>
        </is>
      </c>
      <c r="K457" t="inlineStr"/>
      <c r="L457" t="inlineStr"/>
      <c r="M457" t="inlineStr"/>
      <c r="N457" t="inlineStr"/>
      <c r="O457" t="inlineStr"/>
      <c r="P457" t="inlineStr"/>
      <c r="Q457" t="inlineStr"/>
      <c r="R457" t="inlineStr"/>
      <c r="S457" t="inlineStr"/>
    </row>
    <row r="458">
      <c r="A458" t="inlineStr">
        <is>
          <t>REQ-00475</t>
        </is>
      </c>
      <c r="B458" s="13" t="inlineStr">
        <is>
          <t>(1) 
 . The offeror represents as part of its offer that-Small business concern</t>
        </is>
      </c>
      <c r="C458" t="inlineStr">
        <is>
          <t>K</t>
        </is>
      </c>
      <c r="D458" t="inlineStr"/>
      <c r="E458" t="inlineStr"/>
      <c r="F458" t="inlineStr">
        <is>
          <t>Representation</t>
        </is>
      </c>
      <c r="G458" s="9" t="inlineStr">
        <is>
          <t>Desirable</t>
        </is>
      </c>
      <c r="H458" s="6" t="inlineStr">
        <is>
          <t>Medium</t>
        </is>
      </c>
      <c r="I458" t="inlineStr"/>
      <c r="J458" t="inlineStr">
        <is>
          <t>Not Started</t>
        </is>
      </c>
      <c r="K458" t="inlineStr"/>
      <c r="L458" t="inlineStr"/>
      <c r="M458" t="inlineStr"/>
      <c r="N458" t="inlineStr"/>
      <c r="O458" t="inlineStr"/>
      <c r="P458" t="inlineStr"/>
      <c r="Q458" t="inlineStr"/>
      <c r="R458" t="inlineStr"/>
      <c r="S458" t="inlineStr"/>
    </row>
    <row r="459">
      <c r="A459" t="inlineStr">
        <is>
          <t>REQ-00476</t>
        </is>
      </c>
      <c r="B459" s="13" t="inlineStr">
        <is>
          <t>(i)  It
is,
is not a small business concern; or
(ii)  It
is,
is not a small business joint venture that complies with the requirements of 13 CFR 121.103(h) and 13 
CFR 125.8(a) and (b). [ The offeror shall enter the name and unique entity identifier of each party to the 
 .]joint venture: ____________</t>
        </is>
      </c>
      <c r="C459" t="inlineStr">
        <is>
          <t>I</t>
        </is>
      </c>
      <c r="D459" t="inlineStr"/>
      <c r="E459" t="inlineStr"/>
      <c r="F459" t="inlineStr">
        <is>
          <t>Clause</t>
        </is>
      </c>
      <c r="G459" s="8" t="inlineStr">
        <is>
          <t>Mandatory</t>
        </is>
      </c>
      <c r="H459" s="5" t="inlineStr">
        <is>
          <t>High</t>
        </is>
      </c>
      <c r="I459" t="inlineStr"/>
      <c r="J459" t="inlineStr">
        <is>
          <t>Not Started</t>
        </is>
      </c>
      <c r="K459" t="inlineStr"/>
      <c r="L459" t="inlineStr"/>
      <c r="M459" t="inlineStr"/>
      <c r="N459" t="inlineStr"/>
      <c r="O459" t="inlineStr"/>
      <c r="P459" t="inlineStr"/>
      <c r="Q459" t="inlineStr"/>
      <c r="R459" t="inlineStr"/>
      <c r="S459" t="inlineStr"/>
    </row>
    <row r="460">
      <c r="A460" t="inlineStr">
        <is>
          <t>REQ-00477</t>
        </is>
      </c>
      <c r="B460" s="13" t="inlineStr">
        <is>
          <t>(2)  . [Veteran-owned small business concern Complete only if the offeror represented itself as a small 
.] The offeror represents as part of its offer that itbusiness concern in paragraph (c)(1) of this provision
is,
is not a veteran-owned small business concern.</t>
        </is>
      </c>
      <c r="C460" t="inlineStr">
        <is>
          <t>K</t>
        </is>
      </c>
      <c r="D460" t="inlineStr"/>
      <c r="E460" t="inlineStr"/>
      <c r="F460" t="inlineStr">
        <is>
          <t>Representation</t>
        </is>
      </c>
      <c r="G460" s="9" t="inlineStr">
        <is>
          <t>Desirable</t>
        </is>
      </c>
      <c r="H460" s="6" t="inlineStr">
        <is>
          <t>Medium</t>
        </is>
      </c>
      <c r="I460" t="inlineStr"/>
      <c r="J460" t="inlineStr">
        <is>
          <t>Not Started</t>
        </is>
      </c>
      <c r="K460" t="inlineStr"/>
      <c r="L460" t="inlineStr"/>
      <c r="M460" t="inlineStr"/>
      <c r="N460" t="inlineStr"/>
      <c r="O460" t="inlineStr"/>
      <c r="P460" t="inlineStr"/>
      <c r="Q460" t="inlineStr"/>
      <c r="R460" t="inlineStr"/>
      <c r="S460" t="inlineStr"/>
    </row>
    <row r="461">
      <c r="A461" t="inlineStr">
        <is>
          <t>REQ-00478</t>
        </is>
      </c>
      <c r="B461" s="13" t="inlineStr">
        <is>
          <t>(3)   [SDVOSB concern. Complete only if the offeror represented itself as a veteran-owned small 
] The offeror represents that itbusiness concern in paragraph (c)(2) of this provision.
is,
is not an SDVOSB concern.</t>
        </is>
      </c>
      <c r="C461" t="inlineStr">
        <is>
          <t>K</t>
        </is>
      </c>
      <c r="D461" t="inlineStr"/>
      <c r="E461" t="inlineStr"/>
      <c r="F461" t="inlineStr">
        <is>
          <t>Representation</t>
        </is>
      </c>
      <c r="G461" s="9" t="inlineStr">
        <is>
          <t>Desirable</t>
        </is>
      </c>
      <c r="H461" s="6" t="inlineStr">
        <is>
          <t>Medium</t>
        </is>
      </c>
      <c r="I461" t="inlineStr"/>
      <c r="J461" t="inlineStr">
        <is>
          <t>Not Started</t>
        </is>
      </c>
      <c r="K461" t="inlineStr"/>
      <c r="L461" t="inlineStr"/>
      <c r="M461" t="inlineStr"/>
      <c r="N461" t="inlineStr"/>
      <c r="O461" t="inlineStr"/>
      <c r="P461" t="inlineStr"/>
      <c r="Q461" t="inlineStr"/>
      <c r="R461" t="inlineStr"/>
      <c r="S461" t="inlineStr"/>
    </row>
    <row r="462">
      <c r="A462" t="inlineStr">
        <is>
          <t>REQ-00479</t>
        </is>
      </c>
      <c r="B462" s="13" t="inlineStr">
        <is>
          <t>(4)  . The offeror represents that itSDVOSB concern joint venture eligible under the SDVOSB Program
is,
DRAFT</t>
        </is>
      </c>
      <c r="C462" t="inlineStr">
        <is>
          <t>UNASSIGNED</t>
        </is>
      </c>
      <c r="D462" t="inlineStr"/>
      <c r="E462" t="inlineStr"/>
      <c r="F462" t="inlineStr">
        <is>
          <t>General</t>
        </is>
      </c>
      <c r="G462" s="9" t="inlineStr">
        <is>
          <t>Desirable</t>
        </is>
      </c>
      <c r="H462" s="6" t="inlineStr">
        <is>
          <t>Medium</t>
        </is>
      </c>
      <c r="I462" t="inlineStr"/>
      <c r="J462" t="inlineStr">
        <is>
          <t>Not Started</t>
        </is>
      </c>
      <c r="K462" t="inlineStr"/>
      <c r="L462" t="inlineStr"/>
      <c r="M462" t="inlineStr"/>
      <c r="N462" t="inlineStr"/>
      <c r="O462" t="inlineStr"/>
      <c r="P462" t="inlineStr"/>
      <c r="Q462" t="inlineStr"/>
      <c r="R462" t="inlineStr"/>
      <c r="S462" t="inlineStr"/>
    </row>
    <row r="463">
      <c r="A463" t="inlineStr">
        <is>
          <t>REQ-00481</t>
        </is>
      </c>
      <c r="B463" s="13" t="inlineStr">
        <is>
          <t>(5)  Small disadvantaged business concern. [Complete only if the offeror represented itself as a small 
 The offeror represents that itbusiness concern in paragraph (c)(1) of this provision.]
is,
is not a small disadvantaged business concern as defined in 13 CFR 124.1001.</t>
        </is>
      </c>
      <c r="C463" t="inlineStr">
        <is>
          <t>UNASSIGNED</t>
        </is>
      </c>
      <c r="D463" t="inlineStr"/>
      <c r="E463" t="inlineStr"/>
      <c r="F463" t="inlineStr">
        <is>
          <t>General</t>
        </is>
      </c>
      <c r="G463" s="9" t="inlineStr">
        <is>
          <t>Desirable</t>
        </is>
      </c>
      <c r="H463" s="6" t="inlineStr">
        <is>
          <t>Medium</t>
        </is>
      </c>
      <c r="I463" t="inlineStr"/>
      <c r="J463" t="inlineStr">
        <is>
          <t>Not Started</t>
        </is>
      </c>
      <c r="K463" t="inlineStr"/>
      <c r="L463" t="inlineStr"/>
      <c r="M463" t="inlineStr"/>
      <c r="N463" t="inlineStr"/>
      <c r="O463" t="inlineStr"/>
      <c r="P463" t="inlineStr"/>
      <c r="Q463" t="inlineStr"/>
      <c r="R463" t="inlineStr"/>
      <c r="S463" t="inlineStr"/>
    </row>
    <row r="464">
      <c r="A464" t="inlineStr">
        <is>
          <t>REQ-00482</t>
        </is>
      </c>
      <c r="B464" s="13" t="inlineStr">
        <is>
          <t>(6)  . [Women-owned small business concern Complete only if the offeror represented itself as a small 
.] The offeror represents that itbusiness concern in paragraph (c)(1) of this provision
is,
is not a women-owned small business concern.</t>
        </is>
      </c>
      <c r="C464" t="inlineStr">
        <is>
          <t>K</t>
        </is>
      </c>
      <c r="D464" t="inlineStr"/>
      <c r="E464" t="inlineStr"/>
      <c r="F464" t="inlineStr">
        <is>
          <t>Representation</t>
        </is>
      </c>
      <c r="G464" s="9" t="inlineStr">
        <is>
          <t>Desirable</t>
        </is>
      </c>
      <c r="H464" s="6" t="inlineStr">
        <is>
          <t>Medium</t>
        </is>
      </c>
      <c r="I464" t="inlineStr"/>
      <c r="J464" t="inlineStr">
        <is>
          <t>Not Started</t>
        </is>
      </c>
      <c r="K464" t="inlineStr"/>
      <c r="L464" t="inlineStr"/>
      <c r="M464" t="inlineStr"/>
      <c r="N464" t="inlineStr"/>
      <c r="O464" t="inlineStr"/>
      <c r="P464" t="inlineStr"/>
      <c r="Q464" t="inlineStr"/>
      <c r="R464" t="inlineStr"/>
      <c r="S464" t="inlineStr"/>
    </row>
    <row r="465">
      <c r="A465" t="inlineStr">
        <is>
          <t>REQ-00483</t>
        </is>
      </c>
      <c r="B465" s="13" t="inlineStr">
        <is>
          <t>(7)   The offeror represents that itWOSB joint venture eligible under the WOSB Program.
is,
is not a joint venture that complies with the requirements of 13 CFR 127.506(a) through (c). [ The 
 offeror shall enter the name and unique entity identifier of each party to the joint venture: ____________
.]</t>
        </is>
      </c>
      <c r="C465" t="inlineStr">
        <is>
          <t>L</t>
        </is>
      </c>
      <c r="D465" t="inlineStr"/>
      <c r="E465" t="inlineStr"/>
      <c r="F465" t="inlineStr">
        <is>
          <t>Proposal Instruction</t>
        </is>
      </c>
      <c r="G465" s="8" t="inlineStr">
        <is>
          <t>Mandatory</t>
        </is>
      </c>
      <c r="H465" s="5" t="inlineStr">
        <is>
          <t>High</t>
        </is>
      </c>
      <c r="I465" t="inlineStr"/>
      <c r="J465" t="inlineStr">
        <is>
          <t>Not Started</t>
        </is>
      </c>
      <c r="K465" t="inlineStr"/>
      <c r="L465" t="inlineStr"/>
      <c r="M465" t="inlineStr"/>
      <c r="N465" t="inlineStr"/>
      <c r="O465" t="inlineStr"/>
      <c r="P465" t="inlineStr"/>
      <c r="Q465" t="inlineStr"/>
      <c r="R465" t="inlineStr"/>
      <c r="S465" t="inlineStr"/>
    </row>
    <row r="466">
      <c r="A466" t="inlineStr">
        <is>
          <t>REQ-00484</t>
        </is>
      </c>
      <c r="B466" s="13" t="inlineStr">
        <is>
          <t>(8)   The offeror Economically disadvantaged women-owned small business (EDWOSB) joint venture.
represents that it
 is,
is not a joint venture that complies with the requirements of 13 CFR 127.506(a) through (c). [The 
 offeror shall enter the name and unique entity identifier of each party to the joint venture: ____________
.]
Note to paragraphs (c)(9) and (10): Complete paragraphs (c)(9) and ...</t>
        </is>
      </c>
      <c r="C466" t="inlineStr">
        <is>
          <t>K</t>
        </is>
      </c>
      <c r="D466" t="inlineStr"/>
      <c r="E466" t="inlineStr"/>
      <c r="F466" t="inlineStr">
        <is>
          <t>Representation</t>
        </is>
      </c>
      <c r="G466" s="8" t="inlineStr">
        <is>
          <t>Mandatory</t>
        </is>
      </c>
      <c r="H466" s="5" t="inlineStr">
        <is>
          <t>High</t>
        </is>
      </c>
      <c r="I466" t="inlineStr"/>
      <c r="J466" t="inlineStr">
        <is>
          <t>Not Started</t>
        </is>
      </c>
      <c r="K466" t="inlineStr"/>
      <c r="L466" t="inlineStr"/>
      <c r="M466" t="inlineStr"/>
      <c r="N466" t="inlineStr"/>
      <c r="O466" t="inlineStr"/>
      <c r="P466" t="inlineStr"/>
      <c r="Q466" t="inlineStr"/>
      <c r="R466" t="inlineStr"/>
      <c r="S466" t="inlineStr"/>
    </row>
    <row r="467">
      <c r="A467" t="inlineStr">
        <is>
          <t>REQ-00485</t>
        </is>
      </c>
      <c r="B467" s="13" t="inlineStr">
        <is>
          <t>(9)  ). [Women-owned business concern (other than small business concern Complete only if the 
offeror is a women-owned business concern and did not represent itself as a small business concern in 
.] The offeror represents that itparagraph (c)(1) of this provision
 is a women-owned business concern.</t>
        </is>
      </c>
      <c r="C467" t="inlineStr">
        <is>
          <t>K</t>
        </is>
      </c>
      <c r="D467" t="inlineStr"/>
      <c r="E467" t="inlineStr"/>
      <c r="F467" t="inlineStr">
        <is>
          <t>Representation</t>
        </is>
      </c>
      <c r="G467" s="9" t="inlineStr">
        <is>
          <t>Desirable</t>
        </is>
      </c>
      <c r="H467" s="6" t="inlineStr">
        <is>
          <t>Medium</t>
        </is>
      </c>
      <c r="I467" t="inlineStr"/>
      <c r="J467" t="inlineStr">
        <is>
          <t>Not Started</t>
        </is>
      </c>
      <c r="K467" t="inlineStr"/>
      <c r="L467" t="inlineStr"/>
      <c r="M467" t="inlineStr"/>
      <c r="N467" t="inlineStr"/>
      <c r="O467" t="inlineStr"/>
      <c r="P467" t="inlineStr"/>
      <c r="Q467" t="inlineStr"/>
      <c r="R467" t="inlineStr"/>
      <c r="S467" t="inlineStr"/>
    </row>
    <row r="468">
      <c r="A468" t="inlineStr">
        <is>
          <t>REQ-00486</t>
        </is>
      </c>
      <c r="B468" s="13" t="inlineStr">
        <is>
          <t>(10)  . If this is an invitation for bid, small business Tie bid priority for labor surplus area concerns
offerors may identify the labor surplus areas in which costs to be incurred on account of manufacturing 
or production (by offeror or first-tier subcontractors) amount to more than 50 percent of the contract 
price:
____________</t>
        </is>
      </c>
      <c r="C468" t="inlineStr">
        <is>
          <t>K</t>
        </is>
      </c>
      <c r="D468" t="inlineStr"/>
      <c r="E468" t="inlineStr"/>
      <c r="F468" t="inlineStr">
        <is>
          <t>Representation</t>
        </is>
      </c>
      <c r="G468" s="9" t="inlineStr">
        <is>
          <t>Desirable</t>
        </is>
      </c>
      <c r="H468" s="7" t="inlineStr">
        <is>
          <t>Low</t>
        </is>
      </c>
      <c r="I468" t="inlineStr"/>
      <c r="J468" t="inlineStr">
        <is>
          <t>Not Started</t>
        </is>
      </c>
      <c r="K468" t="inlineStr"/>
      <c r="L468" t="inlineStr"/>
      <c r="M468" t="inlineStr"/>
      <c r="N468" t="inlineStr"/>
      <c r="O468" t="inlineStr"/>
      <c r="P468" t="inlineStr"/>
      <c r="Q468" t="inlineStr"/>
      <c r="R468" t="inlineStr"/>
      <c r="S468" t="inlineStr"/>
    </row>
    <row r="469">
      <c r="A469" t="inlineStr">
        <is>
          <t>REQ-00487</t>
        </is>
      </c>
      <c r="B469" s="13" t="inlineStr">
        <is>
          <t>(11)  . [HUBZone small business concern Complete only if the offeror represented itself as a small 
.] The offeror represents, as part of its offer, that-business concern in paragraph (c)(1) of this provision</t>
        </is>
      </c>
      <c r="C469" t="inlineStr">
        <is>
          <t>K</t>
        </is>
      </c>
      <c r="D469" t="inlineStr"/>
      <c r="E469" t="inlineStr"/>
      <c r="F469" t="inlineStr">
        <is>
          <t>Representation</t>
        </is>
      </c>
      <c r="G469" s="9" t="inlineStr">
        <is>
          <t>Desirable</t>
        </is>
      </c>
      <c r="H469" s="6" t="inlineStr">
        <is>
          <t>Medium</t>
        </is>
      </c>
      <c r="I469" t="inlineStr"/>
      <c r="J469" t="inlineStr">
        <is>
          <t>Not Started</t>
        </is>
      </c>
      <c r="K469" t="inlineStr"/>
      <c r="L469" t="inlineStr"/>
      <c r="M469" t="inlineStr"/>
      <c r="N469" t="inlineStr"/>
      <c r="O469" t="inlineStr"/>
      <c r="P469" t="inlineStr"/>
      <c r="Q469" t="inlineStr"/>
      <c r="R469" t="inlineStr"/>
      <c r="S469" t="inlineStr"/>
    </row>
    <row r="470">
      <c r="A470" t="inlineStr">
        <is>
          <t>REQ-00489</t>
        </is>
      </c>
      <c r="B470" s="13" t="inlineStr">
        <is>
          <t>(c). [  The offeror shall enter the name and unique entity identifier of each party to the joint venture: ____
.] Each HUBZone small business concern participating in the HUBZone joint venture shall provide 
representation of its HUBZone status.
 Representations required to implement provisions of Executive Order11246-(d)</t>
        </is>
      </c>
      <c r="C470" t="inlineStr">
        <is>
          <t>C</t>
        </is>
      </c>
      <c r="D470" t="inlineStr"/>
      <c r="E470" t="inlineStr"/>
      <c r="F470" t="inlineStr">
        <is>
          <t>Technical Requirement</t>
        </is>
      </c>
      <c r="G470" s="8" t="inlineStr">
        <is>
          <t>Mandatory</t>
        </is>
      </c>
      <c r="H470" s="5" t="inlineStr">
        <is>
          <t>High</t>
        </is>
      </c>
      <c r="I470" t="inlineStr"/>
      <c r="J470" t="inlineStr">
        <is>
          <t>Not Started</t>
        </is>
      </c>
      <c r="K470" t="inlineStr"/>
      <c r="L470" t="inlineStr"/>
      <c r="M470" t="inlineStr"/>
      <c r="N470" t="inlineStr"/>
      <c r="O470" t="inlineStr"/>
      <c r="P470" t="inlineStr"/>
      <c r="Q470" t="inlineStr"/>
      <c r="R470" t="inlineStr"/>
      <c r="S470" t="inlineStr"/>
    </row>
    <row r="471">
      <c r="A471" t="inlineStr">
        <is>
          <t>REQ-00490</t>
        </is>
      </c>
      <c r="B471" s="13" t="inlineStr">
        <is>
          <t>(1)  Previous contracts and compliance. The offeror represents that-</t>
        </is>
      </c>
      <c r="C471" t="inlineStr">
        <is>
          <t>UNASSIGNED</t>
        </is>
      </c>
      <c r="D471" t="inlineStr"/>
      <c r="E471" t="inlineStr"/>
      <c r="F471" t="inlineStr">
        <is>
          <t>General</t>
        </is>
      </c>
      <c r="G471" s="9" t="inlineStr">
        <is>
          <t>Desirable</t>
        </is>
      </c>
      <c r="H471" s="6" t="inlineStr">
        <is>
          <t>Medium</t>
        </is>
      </c>
      <c r="I471" t="inlineStr"/>
      <c r="J471" t="inlineStr">
        <is>
          <t>Not Started</t>
        </is>
      </c>
      <c r="K471" t="inlineStr"/>
      <c r="L471" t="inlineStr"/>
      <c r="M471" t="inlineStr"/>
      <c r="N471" t="inlineStr"/>
      <c r="O471" t="inlineStr"/>
      <c r="P471" t="inlineStr"/>
      <c r="Q471" t="inlineStr"/>
      <c r="R471" t="inlineStr"/>
      <c r="S471" t="inlineStr"/>
    </row>
    <row r="472">
      <c r="A472" t="inlineStr">
        <is>
          <t>REQ-00491</t>
        </is>
      </c>
      <c r="B472" s="13" t="inlineStr">
        <is>
          <t>(i)  It
has,
has not participated in a previous contract or subcontract subject to the Equal Opportunity clause of 
this solicitation; and
(ii)  It
has,
has not filed all required compliance reports.</t>
        </is>
      </c>
      <c r="C472" t="inlineStr">
        <is>
          <t>I</t>
        </is>
      </c>
      <c r="D472" t="inlineStr"/>
      <c r="E472" t="inlineStr"/>
      <c r="F472" t="inlineStr">
        <is>
          <t>Clause</t>
        </is>
      </c>
      <c r="G472" s="8" t="inlineStr">
        <is>
          <t>Mandatory</t>
        </is>
      </c>
      <c r="H472" s="6" t="inlineStr">
        <is>
          <t>Medium</t>
        </is>
      </c>
      <c r="I472" t="inlineStr"/>
      <c r="J472" t="inlineStr">
        <is>
          <t>Not Started</t>
        </is>
      </c>
      <c r="K472" t="inlineStr"/>
      <c r="L472" t="inlineStr"/>
      <c r="M472" t="inlineStr"/>
      <c r="N472" t="inlineStr"/>
      <c r="O472" t="inlineStr"/>
      <c r="P472" t="inlineStr"/>
      <c r="Q472" t="inlineStr"/>
      <c r="R472" t="inlineStr"/>
      <c r="S472" t="inlineStr"/>
    </row>
    <row r="473">
      <c r="A473" t="inlineStr">
        <is>
          <t>REQ-00492</t>
        </is>
      </c>
      <c r="B473" s="13" t="inlineStr">
        <is>
          <t>(2) 
 . The offeror represents that-Affirmative Action Compliance</t>
        </is>
      </c>
      <c r="C473" t="inlineStr">
        <is>
          <t>UNASSIGNED</t>
        </is>
      </c>
      <c r="D473" t="inlineStr"/>
      <c r="E473" t="inlineStr"/>
      <c r="F473" t="inlineStr">
        <is>
          <t>General</t>
        </is>
      </c>
      <c r="G473" s="9" t="inlineStr">
        <is>
          <t>Desirable</t>
        </is>
      </c>
      <c r="H473" s="6" t="inlineStr">
        <is>
          <t>Medium</t>
        </is>
      </c>
      <c r="I473" t="inlineStr"/>
      <c r="J473" t="inlineStr">
        <is>
          <t>Not Started</t>
        </is>
      </c>
      <c r="K473" t="inlineStr"/>
      <c r="L473" t="inlineStr"/>
      <c r="M473" t="inlineStr"/>
      <c r="N473" t="inlineStr"/>
      <c r="O473" t="inlineStr"/>
      <c r="P473" t="inlineStr"/>
      <c r="Q473" t="inlineStr"/>
      <c r="R473" t="inlineStr"/>
      <c r="S473" t="inlineStr"/>
    </row>
    <row r="474">
      <c r="A474" t="inlineStr">
        <is>
          <t>REQ-00493</t>
        </is>
      </c>
      <c r="B474" s="13" t="inlineStr">
        <is>
          <t>(i)  It
has developed and has on file,
has not developed and does not have on file, at each establishment, affirmative action programs 
required by rules and regulations of the Secretary of Labor (41 CFR parts 60-1 and 60-2), or
(ii)  It
has not previously had contracts subject to the written affirmative action programs requirement of the 
rules and regulations of the Secretary of Labor.</t>
        </is>
      </c>
      <c r="C474" t="inlineStr">
        <is>
          <t>I</t>
        </is>
      </c>
      <c r="D474" t="inlineStr"/>
      <c r="E474" t="inlineStr"/>
      <c r="F474" t="inlineStr">
        <is>
          <t>Clause</t>
        </is>
      </c>
      <c r="G474" s="8" t="inlineStr">
        <is>
          <t>Mandatory</t>
        </is>
      </c>
      <c r="H474" s="6" t="inlineStr">
        <is>
          <t>Medium</t>
        </is>
      </c>
      <c r="I474" t="inlineStr"/>
      <c r="J474" t="inlineStr">
        <is>
          <t>Not Started</t>
        </is>
      </c>
      <c r="K474" t="inlineStr"/>
      <c r="L474" t="inlineStr"/>
      <c r="M474" t="inlineStr"/>
      <c r="N474" t="inlineStr"/>
      <c r="O474" t="inlineStr"/>
      <c r="P474" t="inlineStr"/>
      <c r="Q474" t="inlineStr"/>
      <c r="R474" t="inlineStr"/>
      <c r="S474" t="inlineStr"/>
    </row>
    <row r="475">
      <c r="A475" t="inlineStr">
        <is>
          <t>REQ-00494</t>
        </is>
      </c>
      <c r="B475" s="13" t="inlineStr">
        <is>
          <t>(e)  Certification Regarding Payments to Influence Federal Transactions (31 http://uscode.house.gov/ 
. (Applies only if the contract is expected to exceed $150,000.) By submission of its offer, U.S.C. 1352)
the offeror certifies to the best of its knowledge and belief that no Federal appropriated funds have been 
paid or will be paid to any person for influencing or attempting to influence an ...</t>
        </is>
      </c>
      <c r="C475" t="inlineStr">
        <is>
          <t>E</t>
        </is>
      </c>
      <c r="D475" t="inlineStr"/>
      <c r="E475" t="inlineStr"/>
      <c r="F475" t="inlineStr">
        <is>
          <t>Inspection</t>
        </is>
      </c>
      <c r="G475" s="8" t="inlineStr">
        <is>
          <t>Mandatory</t>
        </is>
      </c>
      <c r="H475" s="5" t="inlineStr">
        <is>
          <t>High</t>
        </is>
      </c>
      <c r="I475" t="inlineStr"/>
      <c r="J475" t="inlineStr">
        <is>
          <t>Not Started</t>
        </is>
      </c>
      <c r="K475" t="inlineStr"/>
      <c r="L475" t="inlineStr"/>
      <c r="M475" t="inlineStr"/>
      <c r="N475" t="inlineStr"/>
      <c r="O475" t="inlineStr"/>
      <c r="P475" t="inlineStr"/>
      <c r="Q475" t="inlineStr"/>
      <c r="R475" t="inlineStr"/>
      <c r="S475" t="inlineStr"/>
    </row>
    <row r="476">
      <c r="A476" t="inlineStr">
        <is>
          <t>REQ-00495</t>
        </is>
      </c>
      <c r="B476" s="13" t="inlineStr">
        <is>
          <t>(f)  . (Applies only if the clause at Federal Acquisition Regulation (FAR) Buy American Certificate</t>
        </is>
      </c>
      <c r="C476" t="inlineStr">
        <is>
          <t>F</t>
        </is>
      </c>
      <c r="D476" t="inlineStr"/>
      <c r="E476" t="inlineStr"/>
      <c r="F476" t="inlineStr">
        <is>
          <t>Delivery</t>
        </is>
      </c>
      <c r="G476" s="9" t="inlineStr">
        <is>
          <t>Desirable</t>
        </is>
      </c>
      <c r="H476" s="6" t="inlineStr">
        <is>
          <t>Medium</t>
        </is>
      </c>
      <c r="I476" t="inlineStr"/>
      <c r="J476" t="inlineStr">
        <is>
          <t>Not Started</t>
        </is>
      </c>
      <c r="K476" t="inlineStr"/>
      <c r="L476" t="inlineStr"/>
      <c r="M476" t="inlineStr"/>
      <c r="N476" t="inlineStr"/>
      <c r="O476" t="inlineStr"/>
      <c r="P476" t="inlineStr"/>
      <c r="Q476" t="inlineStr"/>
      <c r="R476" t="inlineStr"/>
      <c r="S476" t="inlineStr"/>
    </row>
    <row r="477">
      <c r="A477" t="inlineStr">
        <is>
          <t>REQ-00496</t>
        </is>
      </c>
      <c r="B477" s="13" t="inlineStr">
        <is>
          <t>52.225-1, Buy American-Supplies, is included in this solicitation.)</t>
        </is>
      </c>
      <c r="C477" t="inlineStr">
        <is>
          <t>UNASSIGNED</t>
        </is>
      </c>
      <c r="D477" t="inlineStr"/>
      <c r="E477" t="inlineStr"/>
      <c r="F477" t="inlineStr">
        <is>
          <t>General</t>
        </is>
      </c>
      <c r="G477" s="9" t="inlineStr">
        <is>
          <t>Desirable</t>
        </is>
      </c>
      <c r="H477" s="6" t="inlineStr">
        <is>
          <t>Medium</t>
        </is>
      </c>
      <c r="I477" t="inlineStr"/>
      <c r="J477" t="inlineStr">
        <is>
          <t>Not Started</t>
        </is>
      </c>
      <c r="K477" t="inlineStr"/>
      <c r="L477" t="inlineStr"/>
      <c r="M477" t="inlineStr"/>
      <c r="N477" t="inlineStr"/>
      <c r="O477" t="inlineStr"/>
      <c r="P477" t="inlineStr"/>
      <c r="Q477" t="inlineStr"/>
      <c r="R477" t="inlineStr"/>
      <c r="S477" t="inlineStr"/>
    </row>
    <row r="478">
      <c r="A478" t="inlineStr">
        <is>
          <t>REQ-00497</t>
        </is>
      </c>
      <c r="B478" s="13" t="inlineStr">
        <is>
          <t>(i)  The Offeror certifies that each end product, except those listed in paragraph (f)(2) of this provision, 
is a domestic end product and that each domestic end product listed in paragraph (f)(3) of this provision 
contains a critical component.
(ii)  The Offeror shall list as foreign end products those end products manufactured in the United 
States that do not qualify as domestic end produc...</t>
        </is>
      </c>
      <c r="C478" t="inlineStr">
        <is>
          <t>I</t>
        </is>
      </c>
      <c r="D478" t="inlineStr"/>
      <c r="E478" t="inlineStr"/>
      <c r="F478" t="inlineStr">
        <is>
          <t>Clause</t>
        </is>
      </c>
      <c r="G478" s="8" t="inlineStr">
        <is>
          <t>Mandatory</t>
        </is>
      </c>
      <c r="H478" s="5" t="inlineStr">
        <is>
          <t>High</t>
        </is>
      </c>
      <c r="I478" t="inlineStr"/>
      <c r="J478" t="inlineStr">
        <is>
          <t>Not Started</t>
        </is>
      </c>
      <c r="K478" t="inlineStr"/>
      <c r="L478" t="inlineStr"/>
      <c r="M478" t="inlineStr"/>
      <c r="N478" t="inlineStr"/>
      <c r="O478" t="inlineStr"/>
      <c r="P478" t="inlineStr"/>
      <c r="Q478" t="inlineStr"/>
      <c r="R478" t="inlineStr"/>
      <c r="S478" t="inlineStr"/>
    </row>
    <row r="479">
      <c r="A479" t="inlineStr">
        <is>
          <t>REQ-00498</t>
        </is>
      </c>
      <c r="B479" s="13" t="inlineStr">
        <is>
          <t>(2)  Foreign End Products:
Line Item No. Country of Origin Exceeds 55% domestic content (yes/no)
____ ____ ____
____ ____ ____
____ ____ ____
[ ]List as necessary</t>
        </is>
      </c>
      <c r="C479" t="inlineStr">
        <is>
          <t>UNASSIGNED</t>
        </is>
      </c>
      <c r="D479" t="inlineStr"/>
      <c r="E479" t="inlineStr"/>
      <c r="F479" t="inlineStr">
        <is>
          <t>General</t>
        </is>
      </c>
      <c r="G479" s="9" t="inlineStr">
        <is>
          <t>Desirable</t>
        </is>
      </c>
      <c r="H479" s="6" t="inlineStr">
        <is>
          <t>Medium</t>
        </is>
      </c>
      <c r="I479" t="inlineStr"/>
      <c r="J479" t="inlineStr">
        <is>
          <t>Not Started</t>
        </is>
      </c>
      <c r="K479" t="inlineStr"/>
      <c r="L479" t="inlineStr"/>
      <c r="M479" t="inlineStr"/>
      <c r="N479" t="inlineStr"/>
      <c r="O479" t="inlineStr"/>
      <c r="P479" t="inlineStr"/>
      <c r="Q479" t="inlineStr"/>
      <c r="R479" t="inlineStr"/>
      <c r="S479" t="inlineStr"/>
    </row>
    <row r="480">
      <c r="A480" t="inlineStr">
        <is>
          <t>REQ-00499</t>
        </is>
      </c>
      <c r="B480" s="13" t="inlineStr">
        <is>
          <t>(3)  Domestic end products containing a critical component:
Line Item No. ____
[ ]List as necessary</t>
        </is>
      </c>
      <c r="C480" t="inlineStr">
        <is>
          <t>UNASSIGNED</t>
        </is>
      </c>
      <c r="D480" t="inlineStr"/>
      <c r="E480" t="inlineStr"/>
      <c r="F480" t="inlineStr">
        <is>
          <t>General</t>
        </is>
      </c>
      <c r="G480" s="9" t="inlineStr">
        <is>
          <t>Desirable</t>
        </is>
      </c>
      <c r="H480" s="6" t="inlineStr">
        <is>
          <t>Medium</t>
        </is>
      </c>
      <c r="I480" t="inlineStr"/>
      <c r="J480" t="inlineStr">
        <is>
          <t>Not Started</t>
        </is>
      </c>
      <c r="K480" t="inlineStr"/>
      <c r="L480" t="inlineStr"/>
      <c r="M480" t="inlineStr"/>
      <c r="N480" t="inlineStr"/>
      <c r="O480" t="inlineStr"/>
      <c r="P480" t="inlineStr"/>
      <c r="Q480" t="inlineStr"/>
      <c r="R480" t="inlineStr"/>
      <c r="S480" t="inlineStr"/>
    </row>
    <row r="481">
      <c r="A481" t="inlineStr">
        <is>
          <t>REQ-00500</t>
        </is>
      </c>
      <c r="B481" s="13" t="inlineStr">
        <is>
          <t>(4)  The Government will evaluate offers in accordance with the policies and procedures of FAR 
part  25.</t>
        </is>
      </c>
      <c r="C481" t="inlineStr">
        <is>
          <t>UNASSIGNED</t>
        </is>
      </c>
      <c r="D481" t="inlineStr"/>
      <c r="E481" t="inlineStr"/>
      <c r="F481" t="inlineStr">
        <is>
          <t>General</t>
        </is>
      </c>
      <c r="G481" s="9" t="inlineStr">
        <is>
          <t>Desirable</t>
        </is>
      </c>
      <c r="H481" s="6" t="inlineStr">
        <is>
          <t>Medium</t>
        </is>
      </c>
      <c r="I481" t="inlineStr"/>
      <c r="J481" t="inlineStr">
        <is>
          <t>Not Started</t>
        </is>
      </c>
      <c r="K481" t="inlineStr"/>
      <c r="L481" t="inlineStr"/>
      <c r="M481" t="inlineStr"/>
      <c r="N481" t="inlineStr"/>
      <c r="O481" t="inlineStr"/>
      <c r="P481" t="inlineStr"/>
      <c r="Q481" t="inlineStr"/>
      <c r="R481" t="inlineStr"/>
      <c r="S481" t="inlineStr"/>
    </row>
    <row r="482">
      <c r="A482" t="inlineStr">
        <is>
          <t>REQ-00501</t>
        </is>
      </c>
      <c r="B482" s="13" t="inlineStr">
        <is>
          <t>(1) 
 . (Applies only if the clause at Buy American-Free Trade Agreements-Israeli Trade Act Certificate
FAR 52.225-3, Buy American-Free Trade Agreements-Israeli Trade Act, is included in this solicitation.)</t>
        </is>
      </c>
      <c r="C482" t="inlineStr">
        <is>
          <t>UNASSIGNED</t>
        </is>
      </c>
      <c r="D482" t="inlineStr"/>
      <c r="E482" t="inlineStr"/>
      <c r="F482" t="inlineStr">
        <is>
          <t>General</t>
        </is>
      </c>
      <c r="G482" s="9" t="inlineStr">
        <is>
          <t>Desirable</t>
        </is>
      </c>
      <c r="H482" s="6" t="inlineStr">
        <is>
          <t>Medium</t>
        </is>
      </c>
      <c r="I482" t="inlineStr"/>
      <c r="J482" t="inlineStr">
        <is>
          <t>Not Started</t>
        </is>
      </c>
      <c r="K482" t="inlineStr"/>
      <c r="L482" t="inlineStr"/>
      <c r="M482" t="inlineStr"/>
      <c r="N482" t="inlineStr"/>
      <c r="O482" t="inlineStr"/>
      <c r="P482" t="inlineStr"/>
      <c r="Q482" t="inlineStr"/>
      <c r="R482" t="inlineStr"/>
      <c r="S482" t="inlineStr"/>
    </row>
    <row r="483">
      <c r="A483" t="inlineStr">
        <is>
          <t>REQ-00502</t>
        </is>
      </c>
      <c r="B483" s="13" t="inlineStr">
        <is>
          <t>(i) 
(A) 
 The Offeror certifies that each end product, except those listed in paragraph (g)(1)(ii) or (iii) of 
this provision, is a domestic end product and that each domestic end product listed in paragraph (g)(1)
(iv) of this provision contains a critical component.
DRAFT</t>
        </is>
      </c>
      <c r="C483" t="inlineStr">
        <is>
          <t>I</t>
        </is>
      </c>
      <c r="D483" t="inlineStr"/>
      <c r="E483" t="inlineStr"/>
      <c r="F483" t="inlineStr">
        <is>
          <t>Clause</t>
        </is>
      </c>
      <c r="G483" s="9" t="inlineStr">
        <is>
          <t>Desirable</t>
        </is>
      </c>
      <c r="H483" s="6" t="inlineStr">
        <is>
          <t>Medium</t>
        </is>
      </c>
      <c r="I483" t="inlineStr"/>
      <c r="J483" t="inlineStr">
        <is>
          <t>Not Started</t>
        </is>
      </c>
      <c r="K483" t="inlineStr"/>
      <c r="L483" t="inlineStr"/>
      <c r="M483" t="inlineStr"/>
      <c r="N483" t="inlineStr"/>
      <c r="O483" t="inlineStr"/>
      <c r="P483" t="inlineStr"/>
      <c r="Q483" t="inlineStr"/>
      <c r="R483" t="inlineStr"/>
      <c r="S483" t="inlineStr"/>
    </row>
    <row r="484">
      <c r="A484" t="inlineStr">
        <is>
          <t>REQ-00505</t>
        </is>
      </c>
      <c r="B484" s="13" t="inlineStr">
        <is>
          <t>(v)  The Government will evaluate  in accordance with the policies and procedures of FAR offers
part  25.</t>
        </is>
      </c>
      <c r="C484" t="inlineStr">
        <is>
          <t>UNASSIGNED</t>
        </is>
      </c>
      <c r="D484" t="inlineStr"/>
      <c r="E484" t="inlineStr"/>
      <c r="F484" t="inlineStr">
        <is>
          <t>General</t>
        </is>
      </c>
      <c r="G484" s="9" t="inlineStr">
        <is>
          <t>Desirable</t>
        </is>
      </c>
      <c r="H484" s="6" t="inlineStr">
        <is>
          <t>Medium</t>
        </is>
      </c>
      <c r="I484" t="inlineStr"/>
      <c r="J484" t="inlineStr">
        <is>
          <t>Not Started</t>
        </is>
      </c>
      <c r="K484" t="inlineStr"/>
      <c r="L484" t="inlineStr"/>
      <c r="M484" t="inlineStr"/>
      <c r="N484" t="inlineStr"/>
      <c r="O484" t="inlineStr"/>
      <c r="P484" t="inlineStr"/>
      <c r="Q484" t="inlineStr"/>
      <c r="R484" t="inlineStr"/>
      <c r="S484" t="inlineStr"/>
    </row>
    <row r="485">
      <c r="A485" t="inlineStr">
        <is>
          <t>REQ-00506</t>
        </is>
      </c>
      <c r="B485" s="13" t="inlineStr">
        <is>
          <t>(2)  . If Alternate II to Buy American-Free Trade Agreements-Israeli Trade Act Certificate, Alternate II
the clause at FAR 52.225-3 is included in this solicitation, substitute the following paragraph (g)(1)(ii) 
for paragraph (g)(1)(ii) of the basic provision:</t>
        </is>
      </c>
      <c r="C485" t="inlineStr">
        <is>
          <t>UNASSIGNED</t>
        </is>
      </c>
      <c r="D485" t="inlineStr"/>
      <c r="E485" t="inlineStr"/>
      <c r="F485" t="inlineStr">
        <is>
          <t>General</t>
        </is>
      </c>
      <c r="G485" s="9" t="inlineStr">
        <is>
          <t>Desirable</t>
        </is>
      </c>
      <c r="H485" s="6" t="inlineStr">
        <is>
          <t>Medium</t>
        </is>
      </c>
      <c r="I485" t="inlineStr"/>
      <c r="J485" t="inlineStr">
        <is>
          <t>Not Started</t>
        </is>
      </c>
      <c r="K485" t="inlineStr"/>
      <c r="L485" t="inlineStr"/>
      <c r="M485" t="inlineStr"/>
      <c r="N485" t="inlineStr"/>
      <c r="O485" t="inlineStr"/>
      <c r="P485" t="inlineStr"/>
      <c r="Q485" t="inlineStr"/>
      <c r="R485" t="inlineStr"/>
      <c r="S485" t="inlineStr"/>
    </row>
    <row r="486">
      <c r="A486" t="inlineStr">
        <is>
          <t>REQ-00507</t>
        </is>
      </c>
      <c r="B486" s="13" t="inlineStr">
        <is>
          <t>(g)(1)(ii) The offeror certifies that the following supplies are Israeli end products as defined in the 
clause of this solicitation entitled "Buy American-Free Trade Agreements-Israeli Trade Act":
Israeli End Products:
Line Item No.
____
____
____
[ ]List as necessary</t>
        </is>
      </c>
      <c r="C486" t="inlineStr">
        <is>
          <t>G</t>
        </is>
      </c>
      <c r="D486" t="inlineStr"/>
      <c r="E486" t="inlineStr"/>
      <c r="F486" t="inlineStr">
        <is>
          <t>Administration</t>
        </is>
      </c>
      <c r="G486" s="9" t="inlineStr">
        <is>
          <t>Desirable</t>
        </is>
      </c>
      <c r="H486" s="6" t="inlineStr">
        <is>
          <t>Medium</t>
        </is>
      </c>
      <c r="I486" t="inlineStr"/>
      <c r="J486" t="inlineStr">
        <is>
          <t>Not Started</t>
        </is>
      </c>
      <c r="K486" t="inlineStr"/>
      <c r="L486" t="inlineStr"/>
      <c r="M486" t="inlineStr"/>
      <c r="N486" t="inlineStr"/>
      <c r="O486" t="inlineStr"/>
      <c r="P486" t="inlineStr"/>
      <c r="Q486" t="inlineStr"/>
      <c r="R486" t="inlineStr"/>
      <c r="S486" t="inlineStr"/>
    </row>
    <row r="487">
      <c r="A487" t="inlineStr">
        <is>
          <t>REQ-00508</t>
        </is>
      </c>
      <c r="B487" s="13" t="inlineStr">
        <is>
          <t>(3)  . If Alternate III Buy American-Free Trade Agreements-Israeli Trade Act Certificate, Alternate III
to the clause at 52.225-3 is included in this solicitation, substitute the following paragraphs (g)(1)(i)(B) 
and (g)(1)(ii) for paragraphs (g)(1)(i)(B) and (g)(1)(ii) of the basic provision:</t>
        </is>
      </c>
      <c r="C487" t="inlineStr">
        <is>
          <t>UNASSIGNED</t>
        </is>
      </c>
      <c r="D487" t="inlineStr"/>
      <c r="E487" t="inlineStr"/>
      <c r="F487" t="inlineStr">
        <is>
          <t>General</t>
        </is>
      </c>
      <c r="G487" s="9" t="inlineStr">
        <is>
          <t>Desirable</t>
        </is>
      </c>
      <c r="H487" s="6" t="inlineStr">
        <is>
          <t>Medium</t>
        </is>
      </c>
      <c r="I487" t="inlineStr"/>
      <c r="J487" t="inlineStr">
        <is>
          <t>Not Started</t>
        </is>
      </c>
      <c r="K487" t="inlineStr"/>
      <c r="L487" t="inlineStr"/>
      <c r="M487" t="inlineStr"/>
      <c r="N487" t="inlineStr"/>
      <c r="O487" t="inlineStr"/>
      <c r="P487" t="inlineStr"/>
      <c r="Q487" t="inlineStr"/>
      <c r="R487" t="inlineStr"/>
      <c r="S487" t="inlineStr"/>
    </row>
    <row r="488">
      <c r="A488" t="inlineStr">
        <is>
          <t>REQ-00509</t>
        </is>
      </c>
      <c r="B488" s="13" t="inlineStr">
        <is>
          <t>(g)(1)(i)(B) The terms "Korean end product", "commercially available off-the-shelf (COTS) item," 
"critical component," "domestic end product," "end product," "foreign end product," "Free Trade 
Agreement country," "Free Trade Agreement country end product," "Israeli end product," and "United 
States" are defined in the clause of this solicitation entitled "Buy American-Free Trade Agreements-
I...</t>
        </is>
      </c>
      <c r="C488" t="inlineStr">
        <is>
          <t>G</t>
        </is>
      </c>
      <c r="D488" t="inlineStr"/>
      <c r="E488" t="inlineStr"/>
      <c r="F488" t="inlineStr">
        <is>
          <t>Administration</t>
        </is>
      </c>
      <c r="G488" s="9" t="inlineStr">
        <is>
          <t>Desirable</t>
        </is>
      </c>
      <c r="H488" s="6" t="inlineStr">
        <is>
          <t>Medium</t>
        </is>
      </c>
      <c r="I488" t="inlineStr"/>
      <c r="J488" t="inlineStr">
        <is>
          <t>Not Started</t>
        </is>
      </c>
      <c r="K488" t="inlineStr"/>
      <c r="L488" t="inlineStr"/>
      <c r="M488" t="inlineStr"/>
      <c r="N488" t="inlineStr"/>
      <c r="O488" t="inlineStr"/>
      <c r="P488" t="inlineStr"/>
      <c r="Q488" t="inlineStr"/>
      <c r="R488" t="inlineStr"/>
      <c r="S488" t="inlineStr"/>
    </row>
    <row r="489">
      <c r="A489" t="inlineStr">
        <is>
          <t>REQ-00510</t>
        </is>
      </c>
      <c r="B489" s="13" t="inlineStr">
        <is>
          <t>(g)(1)(ii) The Offeror certifies that the following supplies are Korean end products or Israeli end 
products as defined in the clause of this solicitation entitled "Buy American-Free Trade Agreements-
Israeli Trade Act":
Korean End Products or Israeli End Products:
Line Item No. Country of Origin
____ ____
____ ____
____ ____
DRAFT</t>
        </is>
      </c>
      <c r="C489" t="inlineStr">
        <is>
          <t>G</t>
        </is>
      </c>
      <c r="D489" t="inlineStr"/>
      <c r="E489" t="inlineStr"/>
      <c r="F489" t="inlineStr">
        <is>
          <t>Administration</t>
        </is>
      </c>
      <c r="G489" s="9" t="inlineStr">
        <is>
          <t>Desirable</t>
        </is>
      </c>
      <c r="H489" s="6" t="inlineStr">
        <is>
          <t>Medium</t>
        </is>
      </c>
      <c r="I489" t="inlineStr"/>
      <c r="J489" t="inlineStr">
        <is>
          <t>Not Started</t>
        </is>
      </c>
      <c r="K489" t="inlineStr"/>
      <c r="L489" t="inlineStr"/>
      <c r="M489" t="inlineStr"/>
      <c r="N489" t="inlineStr"/>
      <c r="O489" t="inlineStr"/>
      <c r="P489" t="inlineStr"/>
      <c r="Q489" t="inlineStr"/>
      <c r="R489" t="inlineStr"/>
      <c r="S489" t="inlineStr"/>
    </row>
    <row r="490">
      <c r="A490" t="inlineStr">
        <is>
          <t>REQ-00511</t>
        </is>
      </c>
      <c r="B490" s="13" t="inlineStr">
        <is>
          <t>(4)  . (Applies only if the clause at FAR 52.225-5, Trade Agreements, is Trade Agreements Certificate
included in this solicitation.)</t>
        </is>
      </c>
      <c r="C490" t="inlineStr">
        <is>
          <t>UNASSIGNED</t>
        </is>
      </c>
      <c r="D490" t="inlineStr"/>
      <c r="E490" t="inlineStr"/>
      <c r="F490" t="inlineStr">
        <is>
          <t>General</t>
        </is>
      </c>
      <c r="G490" s="9" t="inlineStr">
        <is>
          <t>Desirable</t>
        </is>
      </c>
      <c r="H490" s="6" t="inlineStr">
        <is>
          <t>Medium</t>
        </is>
      </c>
      <c r="I490" t="inlineStr"/>
      <c r="J490" t="inlineStr">
        <is>
          <t>Not Started</t>
        </is>
      </c>
      <c r="K490" t="inlineStr"/>
      <c r="L490" t="inlineStr"/>
      <c r="M490" t="inlineStr"/>
      <c r="N490" t="inlineStr"/>
      <c r="O490" t="inlineStr"/>
      <c r="P490" t="inlineStr"/>
      <c r="Q490" t="inlineStr"/>
      <c r="R490" t="inlineStr"/>
      <c r="S490" t="inlineStr"/>
    </row>
    <row r="491">
      <c r="A491" t="inlineStr">
        <is>
          <t>REQ-00512</t>
        </is>
      </c>
      <c r="B491" s="13" t="inlineStr">
        <is>
          <t>(i)  The offeror certifies that each end product, except those listed in paragraph (g)(4)(ii) of this 
provision, is a U.S.-made or designated country end product, as defined in the clause of this solicitation 
entitled "Trade Agreements."
(ii)  The offeror shall list as other end products those end products that are not U.S.-made or 
designated country end products.
Other End Products:
Line It...</t>
        </is>
      </c>
      <c r="C491" t="inlineStr">
        <is>
          <t>I</t>
        </is>
      </c>
      <c r="D491" t="inlineStr"/>
      <c r="E491" t="inlineStr"/>
      <c r="F491" t="inlineStr">
        <is>
          <t>Clause</t>
        </is>
      </c>
      <c r="G491" s="8" t="inlineStr">
        <is>
          <t>Mandatory</t>
        </is>
      </c>
      <c r="H491" s="5" t="inlineStr">
        <is>
          <t>High</t>
        </is>
      </c>
      <c r="I491" t="inlineStr"/>
      <c r="J491" t="inlineStr">
        <is>
          <t>Not Started</t>
        </is>
      </c>
      <c r="K491" t="inlineStr"/>
      <c r="L491" t="inlineStr"/>
      <c r="M491" t="inlineStr"/>
      <c r="N491" t="inlineStr"/>
      <c r="O491" t="inlineStr"/>
      <c r="P491" t="inlineStr"/>
      <c r="Q491" t="inlineStr"/>
      <c r="R491" t="inlineStr"/>
      <c r="S491" t="inlineStr"/>
    </row>
    <row r="492">
      <c r="A492" t="inlineStr">
        <is>
          <t>REQ-00513</t>
        </is>
      </c>
      <c r="B492" s="13" t="inlineStr">
        <is>
          <t>(h) 
 ). (Applies only if the Certification Regarding Responsibility Matters (Executive Order 12689
contract value is expected to exceed the simplified acquisition threshold.) The offeror certifies, to the 
best of its knowledge and belief, that the offeror and/or any of its principals-</t>
        </is>
      </c>
      <c r="C492" t="inlineStr">
        <is>
          <t>H</t>
        </is>
      </c>
      <c r="D492" t="inlineStr"/>
      <c r="E492" t="inlineStr"/>
      <c r="F492" t="inlineStr">
        <is>
          <t>Special Requirement</t>
        </is>
      </c>
      <c r="G492" s="9" t="inlineStr">
        <is>
          <t>Desirable</t>
        </is>
      </c>
      <c r="H492" s="6" t="inlineStr">
        <is>
          <t>Medium</t>
        </is>
      </c>
      <c r="I492" t="inlineStr"/>
      <c r="J492" t="inlineStr">
        <is>
          <t>Not Started</t>
        </is>
      </c>
      <c r="K492" t="inlineStr"/>
      <c r="L492" t="inlineStr"/>
      <c r="M492" t="inlineStr"/>
      <c r="N492" t="inlineStr"/>
      <c r="O492" t="inlineStr"/>
      <c r="P492" t="inlineStr"/>
      <c r="Q492" t="inlineStr"/>
      <c r="R492" t="inlineStr"/>
      <c r="S492" t="inlineStr"/>
    </row>
    <row r="493">
      <c r="A493" t="inlineStr">
        <is>
          <t>REQ-00514</t>
        </is>
      </c>
      <c r="B493" s="13" t="inlineStr">
        <is>
          <t>(1) 
 Are,
 are not presently debarred, suspended, proposed for debarment, or declared ineligible for the award of 
contracts by any Federal agency;</t>
        </is>
      </c>
      <c r="C493" t="inlineStr">
        <is>
          <t>K</t>
        </is>
      </c>
      <c r="D493" t="inlineStr"/>
      <c r="E493" t="inlineStr"/>
      <c r="F493" t="inlineStr">
        <is>
          <t>Representation</t>
        </is>
      </c>
      <c r="G493" s="9" t="inlineStr">
        <is>
          <t>Desirable</t>
        </is>
      </c>
      <c r="H493" s="6" t="inlineStr">
        <is>
          <t>Medium</t>
        </is>
      </c>
      <c r="I493" t="inlineStr"/>
      <c r="J493" t="inlineStr">
        <is>
          <t>Not Started</t>
        </is>
      </c>
      <c r="K493" t="inlineStr"/>
      <c r="L493" t="inlineStr"/>
      <c r="M493" t="inlineStr"/>
      <c r="N493" t="inlineStr"/>
      <c r="O493" t="inlineStr"/>
      <c r="P493" t="inlineStr"/>
      <c r="Q493" t="inlineStr"/>
      <c r="R493" t="inlineStr"/>
      <c r="S493" t="inlineStr"/>
    </row>
    <row r="494">
      <c r="A494" t="inlineStr">
        <is>
          <t>REQ-00515</t>
        </is>
      </c>
      <c r="B494" s="13" t="inlineStr">
        <is>
          <t>(2) 
 Have,
 have not, within a three-year period preceding this offer, been convicted of or had a civil judgment 
rendered against them for: commission of fraud or a criminal offense in connection with obtaining, 
DRAFT</t>
        </is>
      </c>
      <c r="C494" t="inlineStr">
        <is>
          <t>UNASSIGNED</t>
        </is>
      </c>
      <c r="D494" t="inlineStr"/>
      <c r="E494" t="inlineStr"/>
      <c r="F494" t="inlineStr">
        <is>
          <t>General</t>
        </is>
      </c>
      <c r="G494" s="9" t="inlineStr">
        <is>
          <t>Desirable</t>
        </is>
      </c>
      <c r="H494" s="6" t="inlineStr">
        <is>
          <t>Medium</t>
        </is>
      </c>
      <c r="I494" t="inlineStr"/>
      <c r="J494" t="inlineStr">
        <is>
          <t>Not Started</t>
        </is>
      </c>
      <c r="K494" t="inlineStr"/>
      <c r="L494" t="inlineStr"/>
      <c r="M494" t="inlineStr"/>
      <c r="N494" t="inlineStr"/>
      <c r="O494" t="inlineStr"/>
      <c r="P494" t="inlineStr"/>
      <c r="Q494" t="inlineStr"/>
      <c r="R494" t="inlineStr"/>
      <c r="S494" t="inlineStr"/>
    </row>
    <row r="495">
      <c r="A495" t="inlineStr">
        <is>
          <t>REQ-00517</t>
        </is>
      </c>
      <c r="B495" s="13" t="inlineStr">
        <is>
          <t>(3) 
 Are,
 are not presently indicted for, or otherwise criminally or civilly charged by a Government entity with, 
commission of any of these offenses enumerated in paragraph (h)(2) of this clause; and</t>
        </is>
      </c>
      <c r="C495" t="inlineStr">
        <is>
          <t>UNASSIGNED</t>
        </is>
      </c>
      <c r="D495" t="inlineStr"/>
      <c r="E495" t="inlineStr"/>
      <c r="F495" t="inlineStr">
        <is>
          <t>General</t>
        </is>
      </c>
      <c r="G495" s="9" t="inlineStr">
        <is>
          <t>Desirable</t>
        </is>
      </c>
      <c r="H495" s="6" t="inlineStr">
        <is>
          <t>Medium</t>
        </is>
      </c>
      <c r="I495" t="inlineStr"/>
      <c r="J495" t="inlineStr">
        <is>
          <t>Not Started</t>
        </is>
      </c>
      <c r="K495" t="inlineStr"/>
      <c r="L495" t="inlineStr"/>
      <c r="M495" t="inlineStr"/>
      <c r="N495" t="inlineStr"/>
      <c r="O495" t="inlineStr"/>
      <c r="P495" t="inlineStr"/>
      <c r="Q495" t="inlineStr"/>
      <c r="R495" t="inlineStr"/>
      <c r="S495" t="inlineStr"/>
    </row>
    <row r="496">
      <c r="A496" t="inlineStr">
        <is>
          <t>REQ-00518</t>
        </is>
      </c>
      <c r="B496" s="13" t="inlineStr">
        <is>
          <t>(4) 
 Have,
 have not, within a three-year period preceding this offer, been notified of any delinquent Federal taxes 
in an amount that exceeds the threshold at 9.104-5(a)(2) for which the liability remains unsatisfied.</t>
        </is>
      </c>
      <c r="C496" t="inlineStr">
        <is>
          <t>UNASSIGNED</t>
        </is>
      </c>
      <c r="D496" t="inlineStr"/>
      <c r="E496" t="inlineStr"/>
      <c r="F496" t="inlineStr">
        <is>
          <t>General</t>
        </is>
      </c>
      <c r="G496" s="9" t="inlineStr">
        <is>
          <t>Desirable</t>
        </is>
      </c>
      <c r="H496" s="6" t="inlineStr">
        <is>
          <t>Medium</t>
        </is>
      </c>
      <c r="I496" t="inlineStr"/>
      <c r="J496" t="inlineStr">
        <is>
          <t>Not Started</t>
        </is>
      </c>
      <c r="K496" t="inlineStr"/>
      <c r="L496" t="inlineStr"/>
      <c r="M496" t="inlineStr"/>
      <c r="N496" t="inlineStr"/>
      <c r="O496" t="inlineStr"/>
      <c r="P496" t="inlineStr"/>
      <c r="Q496" t="inlineStr"/>
      <c r="R496" t="inlineStr"/>
      <c r="S496" t="inlineStr"/>
    </row>
    <row r="497">
      <c r="A497" t="inlineStr">
        <is>
          <t>REQ-00519</t>
        </is>
      </c>
      <c r="B497" s="13" t="inlineStr">
        <is>
          <t>(i) 
 Taxes are considered delinquent if both of the following criteria apply:
(A)  . The liability is finally determined if it has been assessed. A The tax liability is finally determined
liability is not finally determined if there is a pending administrative or judicial challenge. In the case of 
a judicial challenge to the liability, the liability is not finally determined until all judicia...</t>
        </is>
      </c>
      <c r="C497" t="inlineStr">
        <is>
          <t>I</t>
        </is>
      </c>
      <c r="D497" t="inlineStr"/>
      <c r="E497" t="inlineStr"/>
      <c r="F497" t="inlineStr">
        <is>
          <t>Clause</t>
        </is>
      </c>
      <c r="G497" s="8" t="inlineStr">
        <is>
          <t>Mandatory</t>
        </is>
      </c>
      <c r="H497" s="6" t="inlineStr">
        <is>
          <t>Medium</t>
        </is>
      </c>
      <c r="I497" t="inlineStr"/>
      <c r="J497" t="inlineStr">
        <is>
          <t>Not Started</t>
        </is>
      </c>
      <c r="K497" t="inlineStr"/>
      <c r="L497" t="inlineStr"/>
      <c r="M497" t="inlineStr"/>
      <c r="N497" t="inlineStr"/>
      <c r="O497" t="inlineStr"/>
      <c r="P497" t="inlineStr"/>
      <c r="Q497" t="inlineStr"/>
      <c r="R497" t="inlineStr"/>
      <c r="S497" t="inlineStr"/>
    </row>
    <row r="498">
      <c r="A498" t="inlineStr">
        <is>
          <t>REQ-00520</t>
        </is>
      </c>
      <c r="B498" s="13" t="inlineStr">
        <is>
          <t>(i)  Certification Regarding Knowledge of Child Labor for Listed End Products (Executive Order 
13126). [The Contracting Officer must list in paragraph (i)(1) any end products being acquired under 
this solicitation that are included in the List of Products Requiring Contractor Certification as to Forced 
or Indentured Child Labor, unless excluded at 22.1503(b).]
DRAFT</t>
        </is>
      </c>
      <c r="C498" t="inlineStr">
        <is>
          <t>I</t>
        </is>
      </c>
      <c r="D498" t="inlineStr"/>
      <c r="E498" t="inlineStr"/>
      <c r="F498" t="inlineStr">
        <is>
          <t>Clause</t>
        </is>
      </c>
      <c r="G498" s="8" t="inlineStr">
        <is>
          <t>Mandatory</t>
        </is>
      </c>
      <c r="H498" s="5" t="inlineStr">
        <is>
          <t>High</t>
        </is>
      </c>
      <c r="I498" t="inlineStr"/>
      <c r="J498" t="inlineStr">
        <is>
          <t>Not Started</t>
        </is>
      </c>
      <c r="K498" t="inlineStr"/>
      <c r="L498" t="inlineStr"/>
      <c r="M498" t="inlineStr"/>
      <c r="N498" t="inlineStr"/>
      <c r="O498" t="inlineStr"/>
      <c r="P498" t="inlineStr"/>
      <c r="Q498" t="inlineStr"/>
      <c r="R498" t="inlineStr"/>
      <c r="S498" t="inlineStr"/>
    </row>
    <row r="499">
      <c r="A499" t="inlineStr">
        <is>
          <t>REQ-00521</t>
        </is>
      </c>
      <c r="B499" s="13" t="inlineStr">
        <is>
          <t>(1)  Listed end products.
Listed End Product Listed Countries of Origin
____ ____
____ ____</t>
        </is>
      </c>
      <c r="C499" t="inlineStr">
        <is>
          <t>UNASSIGNED</t>
        </is>
      </c>
      <c r="D499" t="inlineStr"/>
      <c r="E499" t="inlineStr"/>
      <c r="F499" t="inlineStr">
        <is>
          <t>General</t>
        </is>
      </c>
      <c r="G499" s="9" t="inlineStr">
        <is>
          <t>Desirable</t>
        </is>
      </c>
      <c r="H499" s="6" t="inlineStr">
        <is>
          <t>Medium</t>
        </is>
      </c>
      <c r="I499" t="inlineStr"/>
      <c r="J499" t="inlineStr">
        <is>
          <t>Not Started</t>
        </is>
      </c>
      <c r="K499" t="inlineStr"/>
      <c r="L499" t="inlineStr"/>
      <c r="M499" t="inlineStr"/>
      <c r="N499" t="inlineStr"/>
      <c r="O499" t="inlineStr"/>
      <c r="P499" t="inlineStr"/>
      <c r="Q499" t="inlineStr"/>
      <c r="R499" t="inlineStr"/>
      <c r="S499" t="inlineStr"/>
    </row>
    <row r="500">
      <c r="A500" t="inlineStr">
        <is>
          <t>REQ-00522</t>
        </is>
      </c>
      <c r="B500" s="13" t="inlineStr">
        <is>
          <t>(2)  Certification. [If the Contracting Officer has identified end products and countries of origin in 
paragraph (i)(1) of this provision, then the offeror must certify to either (i)(2)(i) or (i)(2)(ii) by checking 
the appropriate block.]
 # (i) 
 # (ii)</t>
        </is>
      </c>
      <c r="C500" t="inlineStr">
        <is>
          <t>K</t>
        </is>
      </c>
      <c r="D500" t="inlineStr"/>
      <c r="E500" t="inlineStr"/>
      <c r="F500" t="inlineStr">
        <is>
          <t>Representation</t>
        </is>
      </c>
      <c r="G500" s="8" t="inlineStr">
        <is>
          <t>Mandatory</t>
        </is>
      </c>
      <c r="H500" s="5" t="inlineStr">
        <is>
          <t>High</t>
        </is>
      </c>
      <c r="I500" t="inlineStr"/>
      <c r="J500" t="inlineStr">
        <is>
          <t>Not Started</t>
        </is>
      </c>
      <c r="K500" t="inlineStr"/>
      <c r="L500" t="inlineStr"/>
      <c r="M500" t="inlineStr"/>
      <c r="N500" t="inlineStr"/>
      <c r="O500" t="inlineStr"/>
      <c r="P500" t="inlineStr"/>
      <c r="Q500" t="inlineStr"/>
      <c r="R500" t="inlineStr"/>
      <c r="S500" t="inlineStr"/>
    </row>
    <row r="501">
      <c r="A501" t="inlineStr">
        <is>
          <t>REQ-00523</t>
        </is>
      </c>
      <c r="B501" s="13" t="inlineStr">
        <is>
          <t>(j)   (Does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solicitation is predominantly-</t>
        </is>
      </c>
      <c r="C501" t="inlineStr">
        <is>
          <t>J</t>
        </is>
      </c>
      <c r="D501" t="inlineStr"/>
      <c r="E501" t="inlineStr"/>
      <c r="F501" t="inlineStr">
        <is>
          <t>Attachment</t>
        </is>
      </c>
      <c r="G501" s="8" t="inlineStr">
        <is>
          <t>Mandatory</t>
        </is>
      </c>
      <c r="H501" s="5" t="inlineStr">
        <is>
          <t>High</t>
        </is>
      </c>
      <c r="I501" t="inlineStr"/>
      <c r="J501" t="inlineStr">
        <is>
          <t>Not Started</t>
        </is>
      </c>
      <c r="K501" t="inlineStr"/>
      <c r="L501" t="inlineStr"/>
      <c r="M501" t="inlineStr"/>
      <c r="N501" t="inlineStr"/>
      <c r="O501" t="inlineStr"/>
      <c r="P501" t="inlineStr"/>
      <c r="Q501" t="inlineStr"/>
      <c r="R501" t="inlineStr"/>
      <c r="S501" t="inlineStr"/>
    </row>
    <row r="502">
      <c r="A502" t="inlineStr">
        <is>
          <t>REQ-00524</t>
        </is>
      </c>
      <c r="B502" s="13" t="inlineStr">
        <is>
          <t>(1) 
In the United States (Check this box if the total anticipated price of offered end products manufactured 
in the United States exceeds the total anticipated price of offered end products manufactured outside the 
United States); or</t>
        </is>
      </c>
      <c r="C502" t="inlineStr">
        <is>
          <t>UNASSIGNED</t>
        </is>
      </c>
      <c r="D502" t="inlineStr"/>
      <c r="E502" t="inlineStr"/>
      <c r="F502" t="inlineStr">
        <is>
          <t>General</t>
        </is>
      </c>
      <c r="G502" s="9" t="inlineStr">
        <is>
          <t>Desirable</t>
        </is>
      </c>
      <c r="H502" s="6" t="inlineStr">
        <is>
          <t>Medium</t>
        </is>
      </c>
      <c r="I502" t="inlineStr"/>
      <c r="J502" t="inlineStr">
        <is>
          <t>Not Started</t>
        </is>
      </c>
      <c r="K502" t="inlineStr"/>
      <c r="L502" t="inlineStr"/>
      <c r="M502" t="inlineStr"/>
      <c r="N502" t="inlineStr"/>
      <c r="O502" t="inlineStr"/>
      <c r="P502" t="inlineStr"/>
      <c r="Q502" t="inlineStr"/>
      <c r="R502" t="inlineStr"/>
      <c r="S502" t="inlineStr"/>
    </row>
    <row r="503">
      <c r="A503" t="inlineStr">
        <is>
          <t>REQ-00525</t>
        </is>
      </c>
      <c r="B503" s="13" t="inlineStr">
        <is>
          <t>(k)   Certificates regarding exemptions from the application of the Service Contract Labor Standards
(Certification by the offeror as to its compliance with respect to the contract also constitutes its 
certification as to compliance by its subcontractor if it subcontracts out the exempt services.) [The 
]contracting officer is to check a box to indicate if paragraph (k)(1) or (k)(2) applies.
 ...</t>
        </is>
      </c>
      <c r="C503" t="inlineStr">
        <is>
          <t>K</t>
        </is>
      </c>
      <c r="D503" t="inlineStr"/>
      <c r="E503" t="inlineStr"/>
      <c r="F503" t="inlineStr">
        <is>
          <t>Representation</t>
        </is>
      </c>
      <c r="G503" s="9" t="inlineStr">
        <is>
          <t>Desirable</t>
        </is>
      </c>
      <c r="H503" s="6" t="inlineStr">
        <is>
          <t>Medium</t>
        </is>
      </c>
      <c r="I503" t="inlineStr"/>
      <c r="J503" t="inlineStr">
        <is>
          <t>Not Started</t>
        </is>
      </c>
      <c r="K503" t="inlineStr"/>
      <c r="L503" t="inlineStr"/>
      <c r="M503" t="inlineStr"/>
      <c r="N503" t="inlineStr"/>
      <c r="O503" t="inlineStr"/>
      <c r="P503" t="inlineStr"/>
      <c r="Q503" t="inlineStr"/>
      <c r="R503" t="inlineStr"/>
      <c r="S503" t="inlineStr"/>
    </row>
    <row r="504">
      <c r="A504" t="inlineStr">
        <is>
          <t>REQ-00526</t>
        </is>
      </c>
      <c r="B504" s="13" t="inlineStr">
        <is>
          <t>22.1003-4(c)(1). The offeror
does
does not certify that-</t>
        </is>
      </c>
      <c r="C504" t="inlineStr">
        <is>
          <t>UNASSIGNED</t>
        </is>
      </c>
      <c r="D504" t="inlineStr"/>
      <c r="E504" t="inlineStr"/>
      <c r="F504" t="inlineStr">
        <is>
          <t>General</t>
        </is>
      </c>
      <c r="G504" s="9" t="inlineStr">
        <is>
          <t>Desirable</t>
        </is>
      </c>
      <c r="H504" s="6" t="inlineStr">
        <is>
          <t>Medium</t>
        </is>
      </c>
      <c r="I504" t="inlineStr"/>
      <c r="J504" t="inlineStr">
        <is>
          <t>Not Started</t>
        </is>
      </c>
      <c r="K504" t="inlineStr"/>
      <c r="L504" t="inlineStr"/>
      <c r="M504" t="inlineStr"/>
      <c r="N504" t="inlineStr"/>
      <c r="O504" t="inlineStr"/>
      <c r="P504" t="inlineStr"/>
      <c r="Q504" t="inlineStr"/>
      <c r="R504" t="inlineStr"/>
      <c r="S504" t="inlineStr"/>
    </row>
    <row r="505">
      <c r="A505" t="inlineStr">
        <is>
          <t>REQ-00527</t>
        </is>
      </c>
      <c r="B505" s="13" t="inlineStr">
        <is>
          <t>(i)  The items of equipment to be serviced under this contract are used regularly for other than 
Governmental purposes and are sold or traded by the offeror (or subcontractor in the case of an exempt 
subcontract) in substantial quantities to the general public in the course of normal business operations;
(ii)  The services will be furnished at prices which are, or are based on, established ca...</t>
        </is>
      </c>
      <c r="C505" t="inlineStr">
        <is>
          <t>I</t>
        </is>
      </c>
      <c r="D505" t="inlineStr"/>
      <c r="E505" t="inlineStr"/>
      <c r="F505" t="inlineStr">
        <is>
          <t>Clause</t>
        </is>
      </c>
      <c r="G505" s="9" t="inlineStr">
        <is>
          <t>Desirable</t>
        </is>
      </c>
      <c r="H505" s="6" t="inlineStr">
        <is>
          <t>Medium</t>
        </is>
      </c>
      <c r="I505" t="inlineStr"/>
      <c r="J505" t="inlineStr">
        <is>
          <t>Not Started</t>
        </is>
      </c>
      <c r="K505" t="inlineStr"/>
      <c r="L505" t="inlineStr"/>
      <c r="M505" t="inlineStr"/>
      <c r="N505" t="inlineStr"/>
      <c r="O505" t="inlineStr"/>
      <c r="P505" t="inlineStr"/>
      <c r="Q505" t="inlineStr"/>
      <c r="R505" t="inlineStr"/>
      <c r="S505" t="inlineStr"/>
    </row>
    <row r="506">
      <c r="A506" t="inlineStr">
        <is>
          <t>REQ-00528</t>
        </is>
      </c>
      <c r="B506" s="13" t="inlineStr">
        <is>
          <t>22.1003-4(d)(1). The offeror
does
does not certify that-</t>
        </is>
      </c>
      <c r="C506" t="inlineStr">
        <is>
          <t>UNASSIGNED</t>
        </is>
      </c>
      <c r="D506" t="inlineStr"/>
      <c r="E506" t="inlineStr"/>
      <c r="F506" t="inlineStr">
        <is>
          <t>General</t>
        </is>
      </c>
      <c r="G506" s="9" t="inlineStr">
        <is>
          <t>Desirable</t>
        </is>
      </c>
      <c r="H506" s="6" t="inlineStr">
        <is>
          <t>Medium</t>
        </is>
      </c>
      <c r="I506" t="inlineStr"/>
      <c r="J506" t="inlineStr">
        <is>
          <t>Not Started</t>
        </is>
      </c>
      <c r="K506" t="inlineStr"/>
      <c r="L506" t="inlineStr"/>
      <c r="M506" t="inlineStr"/>
      <c r="N506" t="inlineStr"/>
      <c r="O506" t="inlineStr"/>
      <c r="P506" t="inlineStr"/>
      <c r="Q506" t="inlineStr"/>
      <c r="R506" t="inlineStr"/>
      <c r="S506" t="inlineStr"/>
    </row>
    <row r="507">
      <c r="A507" t="inlineStr">
        <is>
          <t>REQ-00529</t>
        </is>
      </c>
      <c r="B507" s="13" t="inlineStr">
        <is>
          <t>(i) 
 The services under the contract are offered and sold regularly to non-Governmental customers, and 
are provided by the offeror (or subcontractor in the case of an exempt subcontract) to the general public 
in substantial quantities in the course of normal business operations;
(ii)  The contract services will be furnished at prices that are, or are based on, established catalog or 
market ...</t>
        </is>
      </c>
      <c r="C507" t="inlineStr">
        <is>
          <t>I</t>
        </is>
      </c>
      <c r="D507" t="inlineStr"/>
      <c r="E507" t="inlineStr"/>
      <c r="F507" t="inlineStr">
        <is>
          <t>Clause</t>
        </is>
      </c>
      <c r="G507" s="9" t="inlineStr">
        <is>
          <t>Desirable</t>
        </is>
      </c>
      <c r="H507" s="6" t="inlineStr">
        <is>
          <t>Medium</t>
        </is>
      </c>
      <c r="I507" t="inlineStr"/>
      <c r="J507" t="inlineStr">
        <is>
          <t>Not Started</t>
        </is>
      </c>
      <c r="K507" t="inlineStr"/>
      <c r="L507" t="inlineStr"/>
      <c r="M507" t="inlineStr"/>
      <c r="N507" t="inlineStr"/>
      <c r="O507" t="inlineStr"/>
      <c r="P507" t="inlineStr"/>
      <c r="Q507" t="inlineStr"/>
      <c r="R507" t="inlineStr"/>
      <c r="S507" t="inlineStr"/>
    </row>
    <row r="508">
      <c r="A508" t="inlineStr">
        <is>
          <t>REQ-00530</t>
        </is>
      </c>
      <c r="B508" s="13" t="inlineStr">
        <is>
          <t>(3)  If paragraph (k)(1) or (k)(2) of this clause applies-</t>
        </is>
      </c>
      <c r="C508" t="inlineStr">
        <is>
          <t>UNASSIGNED</t>
        </is>
      </c>
      <c r="D508" t="inlineStr"/>
      <c r="E508" t="inlineStr"/>
      <c r="F508" t="inlineStr">
        <is>
          <t>General</t>
        </is>
      </c>
      <c r="G508" s="9" t="inlineStr">
        <is>
          <t>Desirable</t>
        </is>
      </c>
      <c r="H508" s="6" t="inlineStr">
        <is>
          <t>Medium</t>
        </is>
      </c>
      <c r="I508" t="inlineStr"/>
      <c r="J508" t="inlineStr">
        <is>
          <t>Not Started</t>
        </is>
      </c>
      <c r="K508" t="inlineStr"/>
      <c r="L508" t="inlineStr"/>
      <c r="M508" t="inlineStr"/>
      <c r="N508" t="inlineStr"/>
      <c r="O508" t="inlineStr"/>
      <c r="P508" t="inlineStr"/>
      <c r="Q508" t="inlineStr"/>
      <c r="R508" t="inlineStr"/>
      <c r="S508" t="inlineStr"/>
    </row>
    <row r="509">
      <c r="A509" t="inlineStr">
        <is>
          <t>REQ-00531</t>
        </is>
      </c>
      <c r="B509" s="13" t="inlineStr">
        <is>
          <t>(i)  If the offeror does not certify to the conditions in paragraph (k)(1) or (k)(2) and the Contracting 
Officer did not attach a Service Contract Labor Standards wage determination to the solicitation, the 
offeror shall notify the Contracting Officer as soon as possible; and
(ii)  The Contracting Officer may not make an award to the offeror if the offeror fails to execute the 
certification ...</t>
        </is>
      </c>
      <c r="C509" t="inlineStr">
        <is>
          <t>I</t>
        </is>
      </c>
      <c r="D509" t="inlineStr"/>
      <c r="E509" t="inlineStr"/>
      <c r="F509" t="inlineStr">
        <is>
          <t>Clause</t>
        </is>
      </c>
      <c r="G509" s="8" t="inlineStr">
        <is>
          <t>Mandatory</t>
        </is>
      </c>
      <c r="H509" s="5" t="inlineStr">
        <is>
          <t>High</t>
        </is>
      </c>
      <c r="I509" t="inlineStr"/>
      <c r="J509" t="inlineStr">
        <is>
          <t>Not Started</t>
        </is>
      </c>
      <c r="K509" t="inlineStr"/>
      <c r="L509" t="inlineStr"/>
      <c r="M509" t="inlineStr"/>
      <c r="N509" t="inlineStr"/>
      <c r="O509" t="inlineStr"/>
      <c r="P509" t="inlineStr"/>
      <c r="Q509" t="inlineStr"/>
      <c r="R509" t="inlineStr"/>
      <c r="S509" t="inlineStr"/>
    </row>
    <row r="510">
      <c r="A510" t="inlineStr">
        <is>
          <t>REQ-00532</t>
        </is>
      </c>
      <c r="B510" s="13" t="inlineStr">
        <is>
          <t>(l)   26 U.S.C. 6109, 31 U.S.C. 7701). (Not applicable if the Taxpayer Identification Number (TIN) (
offeror is required to provide this information to the SAM to be eligible for award.)</t>
        </is>
      </c>
      <c r="C510" t="inlineStr">
        <is>
          <t>L</t>
        </is>
      </c>
      <c r="D510" t="inlineStr"/>
      <c r="E510" t="inlineStr"/>
      <c r="F510" t="inlineStr">
        <is>
          <t>Proposal Instruction</t>
        </is>
      </c>
      <c r="G510" s="8" t="inlineStr">
        <is>
          <t>Mandatory</t>
        </is>
      </c>
      <c r="H510" s="5" t="inlineStr">
        <is>
          <t>High</t>
        </is>
      </c>
      <c r="I510" t="inlineStr"/>
      <c r="J510" t="inlineStr">
        <is>
          <t>Not Started</t>
        </is>
      </c>
      <c r="K510" t="inlineStr"/>
      <c r="L510" t="inlineStr"/>
      <c r="M510" t="inlineStr"/>
      <c r="N510" t="inlineStr"/>
      <c r="O510" t="inlineStr"/>
      <c r="P510" t="inlineStr"/>
      <c r="Q510" t="inlineStr"/>
      <c r="R510" t="inlineStr"/>
      <c r="S510" t="inlineStr"/>
    </row>
    <row r="511">
      <c r="A511" t="inlineStr">
        <is>
          <t>REQ-00533</t>
        </is>
      </c>
      <c r="B511" s="13" t="inlineStr">
        <is>
          <t>(1)  All offerors must submit the information required in paragraphs (l)(3) through (l)(5) of this 
provision to comply with debt collection requirements of 31 U.S.C. 7701(c) and 3325(d), reporting 
requirements of 26 U.S.C. 6041, 6041A, and 6050M, and implementing regulations issued by the 
Internal Revenue Service (IRS).</t>
        </is>
      </c>
      <c r="C511" t="inlineStr">
        <is>
          <t>L</t>
        </is>
      </c>
      <c r="D511" t="inlineStr"/>
      <c r="E511" t="inlineStr"/>
      <c r="F511" t="inlineStr">
        <is>
          <t>Proposal Instruction</t>
        </is>
      </c>
      <c r="G511" s="8" t="inlineStr">
        <is>
          <t>Mandatory</t>
        </is>
      </c>
      <c r="H511" s="5" t="inlineStr">
        <is>
          <t>High</t>
        </is>
      </c>
      <c r="I511" t="inlineStr"/>
      <c r="J511" t="inlineStr">
        <is>
          <t>Not Started</t>
        </is>
      </c>
      <c r="K511" t="inlineStr"/>
      <c r="L511" t="inlineStr"/>
      <c r="M511" t="inlineStr"/>
      <c r="N511" t="inlineStr"/>
      <c r="O511" t="inlineStr"/>
      <c r="P511" t="inlineStr"/>
      <c r="Q511" t="inlineStr"/>
      <c r="R511" t="inlineStr"/>
      <c r="S511" t="inlineStr"/>
    </row>
    <row r="512">
      <c r="A512" t="inlineStr">
        <is>
          <t>REQ-00534</t>
        </is>
      </c>
      <c r="B512" s="13" t="inlineStr">
        <is>
          <t>(2)  The TIN may be used by the Government to collect and report on any delinquent amounts arising 
out of the offeror's relationship with the Government (31 U.S.C. 7701(c)(3)). If the resulting contract is 
subject to the payment reporting requirements described in FAR 4.904, the TIN provided hereunder may 
be matched with IRS records to verify the accuracy of the offeror's TIN.</t>
        </is>
      </c>
      <c r="C512" t="inlineStr">
        <is>
          <t>UNASSIGNED</t>
        </is>
      </c>
      <c r="D512" t="inlineStr"/>
      <c r="E512" t="inlineStr"/>
      <c r="F512" t="inlineStr">
        <is>
          <t>General</t>
        </is>
      </c>
      <c r="G512" s="9" t="inlineStr">
        <is>
          <t>Desirable</t>
        </is>
      </c>
      <c r="H512" s="7" t="inlineStr">
        <is>
          <t>Low</t>
        </is>
      </c>
      <c r="I512" t="inlineStr"/>
      <c r="J512" t="inlineStr">
        <is>
          <t>Not Started</t>
        </is>
      </c>
      <c r="K512" t="inlineStr"/>
      <c r="L512" t="inlineStr"/>
      <c r="M512" t="inlineStr"/>
      <c r="N512" t="inlineStr"/>
      <c r="O512" t="inlineStr"/>
      <c r="P512" t="inlineStr"/>
      <c r="Q512" t="inlineStr"/>
      <c r="R512" t="inlineStr"/>
      <c r="S512" t="inlineStr"/>
    </row>
    <row r="513">
      <c r="A513" t="inlineStr">
        <is>
          <t>REQ-00535</t>
        </is>
      </c>
      <c r="B513" s="13" t="inlineStr">
        <is>
          <t>(3)  .Taxpayer Identification Number (TIN)
TIN: .____
TIN has been applied for.
TIN is not required because:
DRAFT</t>
        </is>
      </c>
      <c r="C513" t="inlineStr">
        <is>
          <t>K</t>
        </is>
      </c>
      <c r="D513" t="inlineStr"/>
      <c r="E513" t="inlineStr"/>
      <c r="F513" t="inlineStr">
        <is>
          <t>Representation</t>
        </is>
      </c>
      <c r="G513" s="8" t="inlineStr">
        <is>
          <t>Mandatory</t>
        </is>
      </c>
      <c r="H513" s="6" t="inlineStr">
        <is>
          <t>Medium</t>
        </is>
      </c>
      <c r="I513" t="inlineStr"/>
      <c r="J513" t="inlineStr">
        <is>
          <t>Not Started</t>
        </is>
      </c>
      <c r="K513" t="inlineStr"/>
      <c r="L513" t="inlineStr"/>
      <c r="M513" t="inlineStr"/>
      <c r="N513" t="inlineStr"/>
      <c r="O513" t="inlineStr"/>
      <c r="P513" t="inlineStr"/>
      <c r="Q513" t="inlineStr"/>
      <c r="R513" t="inlineStr"/>
      <c r="S513" t="inlineStr"/>
    </row>
    <row r="514">
      <c r="A514" t="inlineStr">
        <is>
          <t>REQ-00537</t>
        </is>
      </c>
      <c r="B514" s="13" t="inlineStr">
        <is>
          <t>(4) 
 .Type of organization
Sole proprietorship;
Partnership;
Corporate entity (not tax-exempt);
Corporate entity (tax-exempt);
Government entity (Federal, State, or local);
Foreign government;
International organization per 26 CFR1.6049-4;
Other .
____</t>
        </is>
      </c>
      <c r="C514" t="inlineStr">
        <is>
          <t>UNASSIGNED</t>
        </is>
      </c>
      <c r="D514" t="inlineStr"/>
      <c r="E514" t="inlineStr"/>
      <c r="F514" t="inlineStr">
        <is>
          <t>General</t>
        </is>
      </c>
      <c r="G514" s="9" t="inlineStr">
        <is>
          <t>Desirable</t>
        </is>
      </c>
      <c r="H514" s="6" t="inlineStr">
        <is>
          <t>Medium</t>
        </is>
      </c>
      <c r="I514" t="inlineStr"/>
      <c r="J514" t="inlineStr">
        <is>
          <t>Not Started</t>
        </is>
      </c>
      <c r="K514" t="inlineStr"/>
      <c r="L514" t="inlineStr"/>
      <c r="M514" t="inlineStr"/>
      <c r="N514" t="inlineStr"/>
      <c r="O514" t="inlineStr"/>
      <c r="P514" t="inlineStr"/>
      <c r="Q514" t="inlineStr"/>
      <c r="R514" t="inlineStr"/>
      <c r="S514" t="inlineStr"/>
    </row>
    <row r="515">
      <c r="A515" t="inlineStr">
        <is>
          <t>REQ-00538</t>
        </is>
      </c>
      <c r="B515" s="13" t="inlineStr">
        <is>
          <t>(5)  .Common parent
Offeror is not owned or controlled by a common parent;
Name and TIN of common parent:
Name .____
TIN .____</t>
        </is>
      </c>
      <c r="C515" t="inlineStr">
        <is>
          <t>UNASSIGNED</t>
        </is>
      </c>
      <c r="D515" t="inlineStr"/>
      <c r="E515" t="inlineStr"/>
      <c r="F515" t="inlineStr">
        <is>
          <t>General</t>
        </is>
      </c>
      <c r="G515" s="9" t="inlineStr">
        <is>
          <t>Desirable</t>
        </is>
      </c>
      <c r="H515" s="6" t="inlineStr">
        <is>
          <t>Medium</t>
        </is>
      </c>
      <c r="I515" t="inlineStr"/>
      <c r="J515" t="inlineStr">
        <is>
          <t>Not Started</t>
        </is>
      </c>
      <c r="K515" t="inlineStr"/>
      <c r="L515" t="inlineStr"/>
      <c r="M515" t="inlineStr"/>
      <c r="N515" t="inlineStr"/>
      <c r="O515" t="inlineStr"/>
      <c r="P515" t="inlineStr"/>
      <c r="Q515" t="inlineStr"/>
      <c r="R515" t="inlineStr"/>
      <c r="S515" t="inlineStr"/>
    </row>
    <row r="516">
      <c r="A516" t="inlineStr">
        <is>
          <t>REQ-00539</t>
        </is>
      </c>
      <c r="B516" s="13" t="inlineStr">
        <is>
          <t>(m)  . By submission of its offer, the offeror certifies that the Restricted business operations in Sudan
offeror does not conduct any restricted business operations in Sudan.
 Prohibition on Contracting with Inverted Domestic Corporations.(n)</t>
        </is>
      </c>
      <c r="C516" t="inlineStr">
        <is>
          <t>M</t>
        </is>
      </c>
      <c r="D516" t="inlineStr"/>
      <c r="E516" t="inlineStr"/>
      <c r="F516" t="inlineStr">
        <is>
          <t>Evaluation Factor</t>
        </is>
      </c>
      <c r="G516" s="9" t="inlineStr">
        <is>
          <t>Desirable</t>
        </is>
      </c>
      <c r="H516" s="6" t="inlineStr">
        <is>
          <t>Medium</t>
        </is>
      </c>
      <c r="I516" t="inlineStr"/>
      <c r="J516" t="inlineStr">
        <is>
          <t>Not Started</t>
        </is>
      </c>
      <c r="K516" t="inlineStr"/>
      <c r="L516" t="inlineStr"/>
      <c r="M516" t="inlineStr"/>
      <c r="N516" t="inlineStr"/>
      <c r="O516" t="inlineStr"/>
      <c r="P516" t="inlineStr"/>
      <c r="Q516" t="inlineStr"/>
      <c r="R516" t="inlineStr"/>
      <c r="S516" t="inlineStr"/>
    </row>
    <row r="517">
      <c r="A517" t="inlineStr">
        <is>
          <t>REQ-00540</t>
        </is>
      </c>
      <c r="B517" s="13" t="inlineStr">
        <is>
          <t>(1)  Government agencies are not permitted to use appropriated (or otherwise made available) funds 
for contracts with either an inverted domestic corporation, or a subsidiary of an inverted domestic 
corporation, unless the exception at 9.108-2(b) applies or the requirement is waived in accordance with 
the procedures at 9.108-4.</t>
        </is>
      </c>
      <c r="C517" t="inlineStr">
        <is>
          <t>UNASSIGNED</t>
        </is>
      </c>
      <c r="D517" t="inlineStr"/>
      <c r="E517" t="inlineStr"/>
      <c r="F517" t="inlineStr">
        <is>
          <t>General</t>
        </is>
      </c>
      <c r="G517" s="9" t="inlineStr">
        <is>
          <t>Desirable</t>
        </is>
      </c>
      <c r="H517" s="6" t="inlineStr">
        <is>
          <t>Medium</t>
        </is>
      </c>
      <c r="I517" t="inlineStr"/>
      <c r="J517" t="inlineStr">
        <is>
          <t>Not Started</t>
        </is>
      </c>
      <c r="K517" t="inlineStr"/>
      <c r="L517" t="inlineStr"/>
      <c r="M517" t="inlineStr"/>
      <c r="N517" t="inlineStr"/>
      <c r="O517" t="inlineStr"/>
      <c r="P517" t="inlineStr"/>
      <c r="Q517" t="inlineStr"/>
      <c r="R517" t="inlineStr"/>
      <c r="S517" t="inlineStr"/>
    </row>
    <row r="518">
      <c r="A518" t="inlineStr">
        <is>
          <t>REQ-00541</t>
        </is>
      </c>
      <c r="B518" s="13" t="inlineStr">
        <is>
          <t>(2)  . The Offeror represents that-Representation</t>
        </is>
      </c>
      <c r="C518" t="inlineStr">
        <is>
          <t>K</t>
        </is>
      </c>
      <c r="D518" t="inlineStr"/>
      <c r="E518" t="inlineStr"/>
      <c r="F518" t="inlineStr">
        <is>
          <t>Representation</t>
        </is>
      </c>
      <c r="G518" s="9" t="inlineStr">
        <is>
          <t>Desirable</t>
        </is>
      </c>
      <c r="H518" s="6" t="inlineStr">
        <is>
          <t>Medium</t>
        </is>
      </c>
      <c r="I518" t="inlineStr"/>
      <c r="J518" t="inlineStr">
        <is>
          <t>Not Started</t>
        </is>
      </c>
      <c r="K518" t="inlineStr"/>
      <c r="L518" t="inlineStr"/>
      <c r="M518" t="inlineStr"/>
      <c r="N518" t="inlineStr"/>
      <c r="O518" t="inlineStr"/>
      <c r="P518" t="inlineStr"/>
      <c r="Q518" t="inlineStr"/>
      <c r="R518" t="inlineStr"/>
      <c r="S518" t="inlineStr"/>
    </row>
    <row r="519">
      <c r="A519" t="inlineStr">
        <is>
          <t>REQ-00542</t>
        </is>
      </c>
      <c r="B519" s="13" t="inlineStr">
        <is>
          <t>(i)  It
is,
is not an inverted domestic corporation; and
DRAFT</t>
        </is>
      </c>
      <c r="C519" t="inlineStr">
        <is>
          <t>I</t>
        </is>
      </c>
      <c r="D519" t="inlineStr"/>
      <c r="E519" t="inlineStr"/>
      <c r="F519" t="inlineStr">
        <is>
          <t>Clause</t>
        </is>
      </c>
      <c r="G519" s="9" t="inlineStr">
        <is>
          <t>Desirable</t>
        </is>
      </c>
      <c r="H519" s="6" t="inlineStr">
        <is>
          <t>Medium</t>
        </is>
      </c>
      <c r="I519" t="inlineStr"/>
      <c r="J519" t="inlineStr">
        <is>
          <t>Not Started</t>
        </is>
      </c>
      <c r="K519" t="inlineStr"/>
      <c r="L519" t="inlineStr"/>
      <c r="M519" t="inlineStr"/>
      <c r="N519" t="inlineStr"/>
      <c r="O519" t="inlineStr"/>
      <c r="P519" t="inlineStr"/>
      <c r="Q519" t="inlineStr"/>
      <c r="R519" t="inlineStr"/>
      <c r="S519" t="inlineStr"/>
    </row>
    <row r="520">
      <c r="A520" t="inlineStr">
        <is>
          <t>REQ-00544</t>
        </is>
      </c>
      <c r="B520" s="13" t="inlineStr">
        <is>
          <t>(1)  The offeror shall e-mail questions concerning sensitive technology to the Department of State at 
CISADA106@state.gov.</t>
        </is>
      </c>
      <c r="C520" t="inlineStr">
        <is>
          <t>L</t>
        </is>
      </c>
      <c r="D520" t="inlineStr"/>
      <c r="E520" t="inlineStr"/>
      <c r="F520" t="inlineStr">
        <is>
          <t>Proposal Instruction</t>
        </is>
      </c>
      <c r="G520" s="8" t="inlineStr">
        <is>
          <t>Mandatory</t>
        </is>
      </c>
      <c r="H520" s="5" t="inlineStr">
        <is>
          <t>High</t>
        </is>
      </c>
      <c r="I520" t="inlineStr"/>
      <c r="J520" t="inlineStr">
        <is>
          <t>Not Started</t>
        </is>
      </c>
      <c r="K520" t="inlineStr"/>
      <c r="L520" t="inlineStr"/>
      <c r="M520" t="inlineStr"/>
      <c r="N520" t="inlineStr"/>
      <c r="O520" t="inlineStr"/>
      <c r="P520" t="inlineStr"/>
      <c r="Q520" t="inlineStr"/>
      <c r="R520" t="inlineStr"/>
      <c r="S520" t="inlineStr"/>
    </row>
    <row r="521">
      <c r="A521" t="inlineStr">
        <is>
          <t>REQ-00545</t>
        </is>
      </c>
      <c r="B521" s="13" t="inlineStr">
        <is>
          <t>(2)  . Unless a waiver is granted or an exception applies as provided Representation and Certifications
in paragraph (o)(3) of this provision, by submission of its offer, the offeror-</t>
        </is>
      </c>
      <c r="C521" t="inlineStr">
        <is>
          <t>K</t>
        </is>
      </c>
      <c r="D521" t="inlineStr"/>
      <c r="E521" t="inlineStr"/>
      <c r="F521" t="inlineStr">
        <is>
          <t>Representation</t>
        </is>
      </c>
      <c r="G521" s="9" t="inlineStr">
        <is>
          <t>Desirable</t>
        </is>
      </c>
      <c r="H521" s="6" t="inlineStr">
        <is>
          <t>Medium</t>
        </is>
      </c>
      <c r="I521" t="inlineStr"/>
      <c r="J521" t="inlineStr">
        <is>
          <t>Not Started</t>
        </is>
      </c>
      <c r="K521" t="inlineStr"/>
      <c r="L521" t="inlineStr"/>
      <c r="M521" t="inlineStr"/>
      <c r="N521" t="inlineStr"/>
      <c r="O521" t="inlineStr"/>
      <c r="P521" t="inlineStr"/>
      <c r="Q521" t="inlineStr"/>
      <c r="R521" t="inlineStr"/>
      <c r="S521" t="inlineStr"/>
    </row>
    <row r="522">
      <c r="A522" t="inlineStr">
        <is>
          <t>REQ-00546</t>
        </is>
      </c>
      <c r="B522" s="13" t="inlineStr">
        <is>
          <t>(i)  Represents, to the best of its knowledge and belief, that the offeror does not export any sensitive 
technology to the government of Iran or any entities or individuals owned or controlled by, or acting on 
behalf or at the direction of, the government of Iran;
(ii)  Certifies that the offeror, or any person owned or controlled by the offeror, does not engage in any 
activities for which s...</t>
        </is>
      </c>
      <c r="C522" t="inlineStr">
        <is>
          <t>I</t>
        </is>
      </c>
      <c r="D522" t="inlineStr"/>
      <c r="E522" t="inlineStr"/>
      <c r="F522" t="inlineStr">
        <is>
          <t>Clause</t>
        </is>
      </c>
      <c r="G522" s="9" t="inlineStr">
        <is>
          <t>Desirable</t>
        </is>
      </c>
      <c r="H522" s="7" t="inlineStr">
        <is>
          <t>Low</t>
        </is>
      </c>
      <c r="I522" t="inlineStr"/>
      <c r="J522" t="inlineStr">
        <is>
          <t>Not Started</t>
        </is>
      </c>
      <c r="K522" t="inlineStr"/>
      <c r="L522" t="inlineStr"/>
      <c r="M522" t="inlineStr"/>
      <c r="N522" t="inlineStr"/>
      <c r="O522" t="inlineStr"/>
      <c r="P522" t="inlineStr"/>
      <c r="Q522" t="inlineStr"/>
      <c r="R522" t="inlineStr"/>
      <c r="S522" t="inlineStr"/>
    </row>
    <row r="523">
      <c r="A523" t="inlineStr">
        <is>
          <t>REQ-00547</t>
        </is>
      </c>
      <c r="B523" s="13" t="inlineStr">
        <is>
          <t>(3)  The representation and certification requirements of paragraph (o)(2) of this provision do not 
apply if-</t>
        </is>
      </c>
      <c r="C523" t="inlineStr">
        <is>
          <t>K</t>
        </is>
      </c>
      <c r="D523" t="inlineStr"/>
      <c r="E523" t="inlineStr"/>
      <c r="F523" t="inlineStr">
        <is>
          <t>Representation</t>
        </is>
      </c>
      <c r="G523" s="9" t="inlineStr">
        <is>
          <t>Desirable</t>
        </is>
      </c>
      <c r="H523" s="6" t="inlineStr">
        <is>
          <t>Medium</t>
        </is>
      </c>
      <c r="I523" t="inlineStr"/>
      <c r="J523" t="inlineStr">
        <is>
          <t>Not Started</t>
        </is>
      </c>
      <c r="K523" t="inlineStr"/>
      <c r="L523" t="inlineStr"/>
      <c r="M523" t="inlineStr"/>
      <c r="N523" t="inlineStr"/>
      <c r="O523" t="inlineStr"/>
      <c r="P523" t="inlineStr"/>
      <c r="Q523" t="inlineStr"/>
      <c r="R523" t="inlineStr"/>
      <c r="S523" t="inlineStr"/>
    </row>
    <row r="524">
      <c r="A524" t="inlineStr">
        <is>
          <t>REQ-00548</t>
        </is>
      </c>
      <c r="B524" s="13" t="inlineStr">
        <is>
          <t>(i)  This solicitation includes a trade agreements certification ( , 52.212-3(g) or a comparable e.g.
agency provision); and
(ii)  The offeror has certified that all the offered products to be supplied are designated country end 
products.</t>
        </is>
      </c>
      <c r="C524" t="inlineStr">
        <is>
          <t>I</t>
        </is>
      </c>
      <c r="D524" t="inlineStr"/>
      <c r="E524" t="inlineStr"/>
      <c r="F524" t="inlineStr">
        <is>
          <t>Clause</t>
        </is>
      </c>
      <c r="G524" s="9" t="inlineStr">
        <is>
          <t>Desirable</t>
        </is>
      </c>
      <c r="H524" s="6" t="inlineStr">
        <is>
          <t>Medium</t>
        </is>
      </c>
      <c r="I524" t="inlineStr"/>
      <c r="J524" t="inlineStr">
        <is>
          <t>Not Started</t>
        </is>
      </c>
      <c r="K524" t="inlineStr"/>
      <c r="L524" t="inlineStr"/>
      <c r="M524" t="inlineStr"/>
      <c r="N524" t="inlineStr"/>
      <c r="O524" t="inlineStr"/>
      <c r="P524" t="inlineStr"/>
      <c r="Q524" t="inlineStr"/>
      <c r="R524" t="inlineStr"/>
      <c r="S524" t="inlineStr"/>
    </row>
    <row r="525">
      <c r="A525" t="inlineStr">
        <is>
          <t>REQ-00549</t>
        </is>
      </c>
      <c r="B525" s="13" t="inlineStr">
        <is>
          <t>(p)  . (Applies in all solicitations when there is a requirement to be Ownership or Control of Offeror
registered in SAM or a requirement to have a unique entity identifier in the solicitation).</t>
        </is>
      </c>
      <c r="C525" t="inlineStr">
        <is>
          <t>UNASSIGNED</t>
        </is>
      </c>
      <c r="D525" t="inlineStr"/>
      <c r="E525" t="inlineStr"/>
      <c r="F525" t="inlineStr">
        <is>
          <t>General</t>
        </is>
      </c>
      <c r="G525" s="9" t="inlineStr">
        <is>
          <t>Desirable</t>
        </is>
      </c>
      <c r="H525" s="6" t="inlineStr">
        <is>
          <t>Medium</t>
        </is>
      </c>
      <c r="I525" t="inlineStr"/>
      <c r="J525" t="inlineStr">
        <is>
          <t>Not Started</t>
        </is>
      </c>
      <c r="K525" t="inlineStr"/>
      <c r="L525" t="inlineStr"/>
      <c r="M525" t="inlineStr"/>
      <c r="N525" t="inlineStr"/>
      <c r="O525" t="inlineStr"/>
      <c r="P525" t="inlineStr"/>
      <c r="Q525" t="inlineStr"/>
      <c r="R525" t="inlineStr"/>
      <c r="S525" t="inlineStr"/>
    </row>
    <row r="526">
      <c r="A526" t="inlineStr">
        <is>
          <t>REQ-00550</t>
        </is>
      </c>
      <c r="B526" s="13" t="inlineStr">
        <is>
          <t>(1)  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C526" t="inlineStr">
        <is>
          <t>L</t>
        </is>
      </c>
      <c r="D526" t="inlineStr"/>
      <c r="E526" t="inlineStr"/>
      <c r="F526" t="inlineStr">
        <is>
          <t>Proposal Instruction</t>
        </is>
      </c>
      <c r="G526" s="8" t="inlineStr">
        <is>
          <t>Mandatory</t>
        </is>
      </c>
      <c r="H526" s="5" t="inlineStr">
        <is>
          <t>High</t>
        </is>
      </c>
      <c r="I526" t="inlineStr"/>
      <c r="J526" t="inlineStr">
        <is>
          <t>Not Started</t>
        </is>
      </c>
      <c r="K526" t="inlineStr"/>
      <c r="L526" t="inlineStr"/>
      <c r="M526" t="inlineStr"/>
      <c r="N526" t="inlineStr"/>
      <c r="O526" t="inlineStr"/>
      <c r="P526" t="inlineStr"/>
      <c r="Q526" t="inlineStr"/>
      <c r="R526" t="inlineStr"/>
      <c r="S526" t="inlineStr"/>
    </row>
    <row r="527">
      <c r="A527" t="inlineStr">
        <is>
          <t>REQ-00551</t>
        </is>
      </c>
      <c r="B527" s="13" t="inlineStr">
        <is>
          <t>(2)  If the Offeror indicates "has" in paragraph (p)(1) of this provision, enter the following information:
Immediate owner CAGE code: .____
Immediate owner legal name: .____
(Do not use a "doing business as" name)
Is the immediate owner owned or controlled by another entity:
DRAFT</t>
        </is>
      </c>
      <c r="C527" t="inlineStr">
        <is>
          <t>UNASSIGNED</t>
        </is>
      </c>
      <c r="D527" t="inlineStr"/>
      <c r="E527" t="inlineStr"/>
      <c r="F527" t="inlineStr">
        <is>
          <t>General</t>
        </is>
      </c>
      <c r="G527" s="9" t="inlineStr">
        <is>
          <t>Desirable</t>
        </is>
      </c>
      <c r="H527" s="6" t="inlineStr">
        <is>
          <t>Medium</t>
        </is>
      </c>
      <c r="I527" t="inlineStr"/>
      <c r="J527" t="inlineStr">
        <is>
          <t>Not Started</t>
        </is>
      </c>
      <c r="K527" t="inlineStr"/>
      <c r="L527" t="inlineStr"/>
      <c r="M527" t="inlineStr"/>
      <c r="N527" t="inlineStr"/>
      <c r="O527" t="inlineStr"/>
      <c r="P527" t="inlineStr"/>
      <c r="Q527" t="inlineStr"/>
      <c r="R527" t="inlineStr"/>
      <c r="S527" t="inlineStr"/>
    </row>
    <row r="528">
      <c r="A528" t="inlineStr">
        <is>
          <t>REQ-00552</t>
        </is>
      </c>
      <c r="B528" s="13" t="inlineStr">
        <is>
          <t>(3)  If the Offeror indicates "yes" in paragraph (p)(2) of this provision, indicating that the immediate 
owner is owned or controlled by another entity, then enter the following information:
Highest-level owner CAGE code: .____
Highest-level owner legal name: .____
( )Do not use a "doing business as" name</t>
        </is>
      </c>
      <c r="C528" t="inlineStr">
        <is>
          <t>UNASSIGNED</t>
        </is>
      </c>
      <c r="D528" t="inlineStr"/>
      <c r="E528" t="inlineStr"/>
      <c r="F528" t="inlineStr">
        <is>
          <t>General</t>
        </is>
      </c>
      <c r="G528" s="9" t="inlineStr">
        <is>
          <t>Desirable</t>
        </is>
      </c>
      <c r="H528" s="6" t="inlineStr">
        <is>
          <t>Medium</t>
        </is>
      </c>
      <c r="I528" t="inlineStr"/>
      <c r="J528" t="inlineStr">
        <is>
          <t>Not Started</t>
        </is>
      </c>
      <c r="K528" t="inlineStr"/>
      <c r="L528" t="inlineStr"/>
      <c r="M528" t="inlineStr"/>
      <c r="N528" t="inlineStr"/>
      <c r="O528" t="inlineStr"/>
      <c r="P528" t="inlineStr"/>
      <c r="Q528" t="inlineStr"/>
      <c r="R528" t="inlineStr"/>
      <c r="S528" t="inlineStr"/>
    </row>
    <row r="529">
      <c r="A529" t="inlineStr">
        <is>
          <t>REQ-00553</t>
        </is>
      </c>
      <c r="B529" s="13" t="inlineStr">
        <is>
          <t>(q)  Representation by Corporations Regarding Delinquent Tax Liability or a Felony Conviction 
under any Federal Law.</t>
        </is>
      </c>
      <c r="C529" t="inlineStr">
        <is>
          <t>K</t>
        </is>
      </c>
      <c r="D529" t="inlineStr"/>
      <c r="E529" t="inlineStr"/>
      <c r="F529" t="inlineStr">
        <is>
          <t>Representation</t>
        </is>
      </c>
      <c r="G529" s="9" t="inlineStr">
        <is>
          <t>Desirable</t>
        </is>
      </c>
      <c r="H529" s="6" t="inlineStr">
        <is>
          <t>Medium</t>
        </is>
      </c>
      <c r="I529" t="inlineStr"/>
      <c r="J529" t="inlineStr">
        <is>
          <t>Not Started</t>
        </is>
      </c>
      <c r="K529" t="inlineStr"/>
      <c r="L529" t="inlineStr"/>
      <c r="M529" t="inlineStr"/>
      <c r="N529" t="inlineStr"/>
      <c r="O529" t="inlineStr"/>
      <c r="P529" t="inlineStr"/>
      <c r="Q529" t="inlineStr"/>
      <c r="R529" t="inlineStr"/>
      <c r="S529" t="inlineStr"/>
    </row>
    <row r="530">
      <c r="A530" t="inlineStr">
        <is>
          <t>REQ-00554</t>
        </is>
      </c>
      <c r="B530" s="13" t="inlineStr">
        <is>
          <t>(1)  As required by sections 744 and 745 of Division E of the Consolidated and Further Continuing 
Appropriations Act, 2015 (Pub. L. 113-235), and similar provisions, if contained in subsequent 
appropriations acts, The Government will not enter into a contract with any corporation that-</t>
        </is>
      </c>
      <c r="C530" t="inlineStr">
        <is>
          <t>UNASSIGNED</t>
        </is>
      </c>
      <c r="D530" t="inlineStr"/>
      <c r="E530" t="inlineStr"/>
      <c r="F530" t="inlineStr">
        <is>
          <t>General</t>
        </is>
      </c>
      <c r="G530" s="8" t="inlineStr">
        <is>
          <t>Mandatory</t>
        </is>
      </c>
      <c r="H530" s="6" t="inlineStr">
        <is>
          <t>Medium</t>
        </is>
      </c>
      <c r="I530" t="inlineStr"/>
      <c r="J530" t="inlineStr">
        <is>
          <t>Not Started</t>
        </is>
      </c>
      <c r="K530" t="inlineStr"/>
      <c r="L530" t="inlineStr"/>
      <c r="M530" t="inlineStr"/>
      <c r="N530" t="inlineStr"/>
      <c r="O530" t="inlineStr"/>
      <c r="P530" t="inlineStr"/>
      <c r="Q530" t="inlineStr"/>
      <c r="R530" t="inlineStr"/>
      <c r="S530" t="inlineStr"/>
    </row>
    <row r="531">
      <c r="A531" t="inlineStr">
        <is>
          <t>REQ-00555</t>
        </is>
      </c>
      <c r="B531" s="13" t="inlineStr">
        <is>
          <t>(i)  Has any unpaid Federal tax liability that has been assessed, for which all judicial and 
administrative remedies have been exhausted or have lapsed, and that is not being paid in a timely 
manner pursuant to an agreement with the authority responsible for collecting the tax liability, where the 
awarding agency is aware of the unpaid tax liability, unless an agency has considered suspensio...</t>
        </is>
      </c>
      <c r="C531" t="inlineStr">
        <is>
          <t>I</t>
        </is>
      </c>
      <c r="D531" t="inlineStr"/>
      <c r="E531" t="inlineStr"/>
      <c r="F531" t="inlineStr">
        <is>
          <t>Clause</t>
        </is>
      </c>
      <c r="G531" s="9" t="inlineStr">
        <is>
          <t>Desirable</t>
        </is>
      </c>
      <c r="H531" s="6" t="inlineStr">
        <is>
          <t>Medium</t>
        </is>
      </c>
      <c r="I531" t="inlineStr"/>
      <c r="J531" t="inlineStr">
        <is>
          <t>Not Started</t>
        </is>
      </c>
      <c r="K531" t="inlineStr"/>
      <c r="L531" t="inlineStr"/>
      <c r="M531" t="inlineStr"/>
      <c r="N531" t="inlineStr"/>
      <c r="O531" t="inlineStr"/>
      <c r="P531" t="inlineStr"/>
      <c r="Q531" t="inlineStr"/>
      <c r="R531" t="inlineStr"/>
      <c r="S531" t="inlineStr"/>
    </row>
    <row r="532">
      <c r="A532" t="inlineStr">
        <is>
          <t>REQ-00556</t>
        </is>
      </c>
      <c r="B532" s="13" t="inlineStr">
        <is>
          <t>(i)  It is
is not
a corporation that has any unpaid Federal tax liability that has been assessed, for which all judicial and 
administrative remedies have been exhausted or have lapsed, and that is not being paid in a timely 
manner pursuant to an agreement with the authority responsible for collecting the tax liability; and
(ii)  It is
is not
a corporation that was convicted of a felony crimin...</t>
        </is>
      </c>
      <c r="C532" t="inlineStr">
        <is>
          <t>I</t>
        </is>
      </c>
      <c r="D532" t="inlineStr"/>
      <c r="E532" t="inlineStr"/>
      <c r="F532" t="inlineStr">
        <is>
          <t>Clause</t>
        </is>
      </c>
      <c r="G532" s="9" t="inlineStr">
        <is>
          <t>Desirable</t>
        </is>
      </c>
      <c r="H532" s="6" t="inlineStr">
        <is>
          <t>Medium</t>
        </is>
      </c>
      <c r="I532" t="inlineStr"/>
      <c r="J532" t="inlineStr">
        <is>
          <t>Not Started</t>
        </is>
      </c>
      <c r="K532" t="inlineStr"/>
      <c r="L532" t="inlineStr"/>
      <c r="M532" t="inlineStr"/>
      <c r="N532" t="inlineStr"/>
      <c r="O532" t="inlineStr"/>
      <c r="P532" t="inlineStr"/>
      <c r="Q532" t="inlineStr"/>
      <c r="R532" t="inlineStr"/>
      <c r="S532" t="inlineStr"/>
    </row>
    <row r="533">
      <c r="A533" t="inlineStr">
        <is>
          <t>REQ-00557</t>
        </is>
      </c>
      <c r="B533" s="13" t="inlineStr">
        <is>
          <t>(r)   (Applies in all solicitations that include the provision at 52.204-16, Predecessor of Offeror.
Commercial and Government Entity Code Reporting.)</t>
        </is>
      </c>
      <c r="C533" t="inlineStr">
        <is>
          <t>UNASSIGNED</t>
        </is>
      </c>
      <c r="D533" t="inlineStr"/>
      <c r="E533" t="inlineStr"/>
      <c r="F533" t="inlineStr">
        <is>
          <t>General</t>
        </is>
      </c>
      <c r="G533" s="9" t="inlineStr">
        <is>
          <t>Desirable</t>
        </is>
      </c>
      <c r="H533" s="6" t="inlineStr">
        <is>
          <t>Medium</t>
        </is>
      </c>
      <c r="I533" t="inlineStr"/>
      <c r="J533" t="inlineStr">
        <is>
          <t>Not Started</t>
        </is>
      </c>
      <c r="K533" t="inlineStr"/>
      <c r="L533" t="inlineStr"/>
      <c r="M533" t="inlineStr"/>
      <c r="N533" t="inlineStr"/>
      <c r="O533" t="inlineStr"/>
      <c r="P533" t="inlineStr"/>
      <c r="Q533" t="inlineStr"/>
      <c r="R533" t="inlineStr"/>
      <c r="S533" t="inlineStr"/>
    </row>
    <row r="534">
      <c r="A534" t="inlineStr">
        <is>
          <t>REQ-00558</t>
        </is>
      </c>
      <c r="B534" s="13" t="inlineStr">
        <is>
          <t>(1)  The Offeror represents that it
 is or
DRAFT</t>
        </is>
      </c>
      <c r="C534" t="inlineStr">
        <is>
          <t>UNASSIGNED</t>
        </is>
      </c>
      <c r="D534" t="inlineStr"/>
      <c r="E534" t="inlineStr"/>
      <c r="F534" t="inlineStr">
        <is>
          <t>General</t>
        </is>
      </c>
      <c r="G534" s="9" t="inlineStr">
        <is>
          <t>Desirable</t>
        </is>
      </c>
      <c r="H534" s="6" t="inlineStr">
        <is>
          <t>Medium</t>
        </is>
      </c>
      <c r="I534" t="inlineStr"/>
      <c r="J534" t="inlineStr">
        <is>
          <t>Not Started</t>
        </is>
      </c>
      <c r="K534" t="inlineStr"/>
      <c r="L534" t="inlineStr"/>
      <c r="M534" t="inlineStr"/>
      <c r="N534" t="inlineStr"/>
      <c r="O534" t="inlineStr"/>
      <c r="P534" t="inlineStr"/>
      <c r="Q534" t="inlineStr"/>
      <c r="R534" t="inlineStr"/>
      <c r="S534" t="inlineStr"/>
    </row>
    <row r="535">
      <c r="A535" t="inlineStr">
        <is>
          <t>REQ-00560</t>
        </is>
      </c>
      <c r="B535" s="13" t="inlineStr">
        <is>
          <t>(2)  If the Offeror has indicated "is" in paragraph (r)(1) of this provision, enter the following 
information for all predecessors that held a Federal contract or grant within the last three years (if more 
than one predecessor, list in reverse chronological order):
Predecessor CAGE code: (or mark "Unknown").____
Predecessor legal name: .____
( ).Do not use a "doing business as" name</t>
        </is>
      </c>
      <c r="C535" t="inlineStr">
        <is>
          <t>UNASSIGNED</t>
        </is>
      </c>
      <c r="D535" t="inlineStr"/>
      <c r="E535" t="inlineStr"/>
      <c r="F535" t="inlineStr">
        <is>
          <t>General</t>
        </is>
      </c>
      <c r="G535" s="9" t="inlineStr">
        <is>
          <t>Desirable</t>
        </is>
      </c>
      <c r="H535" s="6" t="inlineStr">
        <is>
          <t>Medium</t>
        </is>
      </c>
      <c r="I535" t="inlineStr"/>
      <c r="J535" t="inlineStr">
        <is>
          <t>Not Started</t>
        </is>
      </c>
      <c r="K535" t="inlineStr"/>
      <c r="L535" t="inlineStr"/>
      <c r="M535" t="inlineStr"/>
      <c r="N535" t="inlineStr"/>
      <c r="O535" t="inlineStr"/>
      <c r="P535" t="inlineStr"/>
      <c r="Q535" t="inlineStr"/>
      <c r="R535" t="inlineStr"/>
      <c r="S535" t="inlineStr"/>
    </row>
    <row r="536">
      <c r="A536" t="inlineStr">
        <is>
          <t>REQ-00561</t>
        </is>
      </c>
      <c r="B536" s="13" t="inlineStr">
        <is>
          <t>(t)  . Applies in all solicitations Public Disclosure of Greenhouse Gas Emissions and Reduction Goals
that require offerors to register in SAM (12.301(d)(1)).</t>
        </is>
      </c>
      <c r="C536" t="inlineStr">
        <is>
          <t>UNASSIGNED</t>
        </is>
      </c>
      <c r="D536" t="inlineStr"/>
      <c r="E536" t="inlineStr"/>
      <c r="F536" t="inlineStr">
        <is>
          <t>General</t>
        </is>
      </c>
      <c r="G536" s="9" t="inlineStr">
        <is>
          <t>Desirable</t>
        </is>
      </c>
      <c r="H536" s="6" t="inlineStr">
        <is>
          <t>Medium</t>
        </is>
      </c>
      <c r="I536" t="inlineStr"/>
      <c r="J536" t="inlineStr">
        <is>
          <t>Not Started</t>
        </is>
      </c>
      <c r="K536" t="inlineStr"/>
      <c r="L536" t="inlineStr"/>
      <c r="M536" t="inlineStr"/>
      <c r="N536" t="inlineStr"/>
      <c r="O536" t="inlineStr"/>
      <c r="P536" t="inlineStr"/>
      <c r="Q536" t="inlineStr"/>
      <c r="R536" t="inlineStr"/>
      <c r="S536" t="inlineStr"/>
    </row>
    <row r="537">
      <c r="A537" t="inlineStr">
        <is>
          <t>REQ-00562</t>
        </is>
      </c>
      <c r="B537" s="13" t="inlineStr">
        <is>
          <t>(1)  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Representation. [Offeror to check applicable block(s) in paragraph (t)(2)(i) and (ii)].(2)</t>
        </is>
      </c>
      <c r="C537" t="inlineStr">
        <is>
          <t>K</t>
        </is>
      </c>
      <c r="D537" t="inlineStr"/>
      <c r="E537" t="inlineStr"/>
      <c r="F537" t="inlineStr">
        <is>
          <t>Representation</t>
        </is>
      </c>
      <c r="G537" s="8" t="inlineStr">
        <is>
          <t>Mandatory</t>
        </is>
      </c>
      <c r="H537" s="5" t="inlineStr">
        <is>
          <t>High</t>
        </is>
      </c>
      <c r="I537" t="inlineStr"/>
      <c r="J537" t="inlineStr">
        <is>
          <t>Not Started</t>
        </is>
      </c>
      <c r="K537" t="inlineStr"/>
      <c r="L537" t="inlineStr"/>
      <c r="M537" t="inlineStr"/>
      <c r="N537" t="inlineStr"/>
      <c r="O537" t="inlineStr"/>
      <c r="P537" t="inlineStr"/>
      <c r="Q537" t="inlineStr"/>
      <c r="R537" t="inlineStr"/>
      <c r="S537" t="inlineStr"/>
    </row>
    <row r="538">
      <c r="A538" t="inlineStr">
        <is>
          <t>REQ-00563</t>
        </is>
      </c>
      <c r="B538" s="13" t="inlineStr">
        <is>
          <t>(i) 
 The Offeror (itself or through its immediate owner or highest-level owner)
does,
does not publicly disclose greenhouse gas emissions, i.e., makes available on a publicly accessible 
website the results of a greenhouse gas inventory, performed in accordance with an accounting standard 
with publicly available and consistently applied criteria, such as the Greenhouse Gas Protocol Corporate ...</t>
        </is>
      </c>
      <c r="C538" t="inlineStr">
        <is>
          <t>I</t>
        </is>
      </c>
      <c r="D538" t="inlineStr"/>
      <c r="E538" t="inlineStr"/>
      <c r="F538" t="inlineStr">
        <is>
          <t>Clause</t>
        </is>
      </c>
      <c r="G538" s="9" t="inlineStr">
        <is>
          <t>Desirable</t>
        </is>
      </c>
      <c r="H538" s="6" t="inlineStr">
        <is>
          <t>Medium</t>
        </is>
      </c>
      <c r="I538" t="inlineStr"/>
      <c r="J538" t="inlineStr">
        <is>
          <t>Not Started</t>
        </is>
      </c>
      <c r="K538" t="inlineStr"/>
      <c r="L538" t="inlineStr"/>
      <c r="M538" t="inlineStr"/>
      <c r="N538" t="inlineStr"/>
      <c r="O538" t="inlineStr"/>
      <c r="P538" t="inlineStr"/>
      <c r="Q538" t="inlineStr"/>
      <c r="R538" t="inlineStr"/>
      <c r="S538" t="inlineStr"/>
    </row>
    <row r="539">
      <c r="A539" t="inlineStr">
        <is>
          <t>REQ-00564</t>
        </is>
      </c>
      <c r="B539" s="13" t="inlineStr">
        <is>
          <t>(3)  If the Offeror checked "does" in paragraphs (t)(2)(i) or (t)(2)(ii) of this provision, respectively, the 
Offeror shall provide the publicly accessible website(s) where greenhouse gas emissions and/or 
reduction goals are reported: .____</t>
        </is>
      </c>
      <c r="C539" t="inlineStr">
        <is>
          <t>L</t>
        </is>
      </c>
      <c r="D539" t="inlineStr"/>
      <c r="E539" t="inlineStr"/>
      <c r="F539" t="inlineStr">
        <is>
          <t>Proposal Instruction</t>
        </is>
      </c>
      <c r="G539" s="8" t="inlineStr">
        <is>
          <t>Mandatory</t>
        </is>
      </c>
      <c r="H539" s="5" t="inlineStr">
        <is>
          <t>High</t>
        </is>
      </c>
      <c r="I539" t="inlineStr"/>
      <c r="J539" t="inlineStr">
        <is>
          <t>Not Started</t>
        </is>
      </c>
      <c r="K539" t="inlineStr"/>
      <c r="L539" t="inlineStr"/>
      <c r="M539" t="inlineStr"/>
      <c r="N539" t="inlineStr"/>
      <c r="O539" t="inlineStr"/>
      <c r="P539" t="inlineStr"/>
      <c r="Q539" t="inlineStr"/>
      <c r="R539" t="inlineStr"/>
      <c r="S539" t="inlineStr"/>
    </row>
    <row r="540">
      <c r="A540" t="inlineStr">
        <is>
          <t>REQ-00565</t>
        </is>
      </c>
      <c r="B540" s="13" t="inlineStr">
        <is>
          <t>(1)  In accordance with section 743 of Division E, Title VII, of the Consolidated and Further 
Continuing Appropriations Act, 2015 (Pub. L. 113-235) and its successor provisions in subsequent 
appropriations acts (and as extended in continuing resolutions), Government agencies are not permitted 
to use appropriated (or otherwise made available) funds for contracts with an entity that requires 
...</t>
        </is>
      </c>
      <c r="C540" t="inlineStr">
        <is>
          <t>UNASSIGNED</t>
        </is>
      </c>
      <c r="D540" t="inlineStr"/>
      <c r="E540" t="inlineStr"/>
      <c r="F540" t="inlineStr">
        <is>
          <t>General</t>
        </is>
      </c>
      <c r="G540" s="9" t="inlineStr">
        <is>
          <t>Desirable</t>
        </is>
      </c>
      <c r="H540" s="6" t="inlineStr">
        <is>
          <t>Medium</t>
        </is>
      </c>
      <c r="I540" t="inlineStr"/>
      <c r="J540" t="inlineStr">
        <is>
          <t>Not Started</t>
        </is>
      </c>
      <c r="K540" t="inlineStr"/>
      <c r="L540" t="inlineStr"/>
      <c r="M540" t="inlineStr"/>
      <c r="N540" t="inlineStr"/>
      <c r="O540" t="inlineStr"/>
      <c r="P540" t="inlineStr"/>
      <c r="Q540" t="inlineStr"/>
      <c r="R540" t="inlineStr"/>
      <c r="S540" t="inlineStr"/>
    </row>
    <row r="541">
      <c r="A541" t="inlineStr">
        <is>
          <t>REQ-00566</t>
        </is>
      </c>
      <c r="B541" s="13" t="inlineStr">
        <is>
          <t>(2)  The prohibition in paragraph (u)(1) of this provision does not contravene requirements applicable 
to Standard Form 312 (Classified Information Nondisclosure Agreement), Form 4414 (Sensitive 
Compartmented Information Nondisclosure Agreement), or any other form issued by a Federal 
department or agency governing the nondisclosure of classified information.</t>
        </is>
      </c>
      <c r="C541" t="inlineStr">
        <is>
          <t>UNASSIGNED</t>
        </is>
      </c>
      <c r="D541" t="inlineStr"/>
      <c r="E541" t="inlineStr"/>
      <c r="F541" t="inlineStr">
        <is>
          <t>General</t>
        </is>
      </c>
      <c r="G541" s="9" t="inlineStr">
        <is>
          <t>Desirable</t>
        </is>
      </c>
      <c r="H541" s="6" t="inlineStr">
        <is>
          <t>Medium</t>
        </is>
      </c>
      <c r="I541" t="inlineStr"/>
      <c r="J541" t="inlineStr">
        <is>
          <t>Not Started</t>
        </is>
      </c>
      <c r="K541" t="inlineStr"/>
      <c r="L541" t="inlineStr"/>
      <c r="M541" t="inlineStr"/>
      <c r="N541" t="inlineStr"/>
      <c r="O541" t="inlineStr"/>
      <c r="P541" t="inlineStr"/>
      <c r="Q541" t="inlineStr"/>
      <c r="R541" t="inlineStr"/>
      <c r="S541" t="inlineStr"/>
    </row>
    <row r="542">
      <c r="A542" t="inlineStr">
        <is>
          <t>REQ-00567</t>
        </is>
      </c>
      <c r="B542" s="13" t="inlineStr">
        <is>
          <t>(3) 
 . By submission of its offer, the Offeror represents that it will not require its Representation
employees or subcontractors to sign or comply with internal confidentiality agreements or statements 
prohibiting or otherwise restricting such employees or subcontractors from lawfully reporting waste, 
fraud, or abuse related to the performance of a Government contract to a designated invest...</t>
        </is>
      </c>
      <c r="C542" t="inlineStr">
        <is>
          <t>K</t>
        </is>
      </c>
      <c r="D542" t="inlineStr"/>
      <c r="E542" t="inlineStr"/>
      <c r="F542" t="inlineStr">
        <is>
          <t>Representation</t>
        </is>
      </c>
      <c r="G542" s="9" t="inlineStr">
        <is>
          <t>Desirable</t>
        </is>
      </c>
      <c r="H542" s="6" t="inlineStr">
        <is>
          <t>Medium</t>
        </is>
      </c>
      <c r="I542" t="inlineStr"/>
      <c r="J542" t="inlineStr">
        <is>
          <t>Not Started</t>
        </is>
      </c>
      <c r="K542" t="inlineStr"/>
      <c r="L542" t="inlineStr"/>
      <c r="M542" t="inlineStr"/>
      <c r="N542" t="inlineStr"/>
      <c r="O542" t="inlineStr"/>
      <c r="P542" t="inlineStr"/>
      <c r="Q542" t="inlineStr"/>
      <c r="R542" t="inlineStr"/>
      <c r="S542" t="inlineStr"/>
    </row>
    <row r="543">
      <c r="A543" t="inlineStr">
        <is>
          <t>REQ-00568</t>
        </is>
      </c>
      <c r="B543" s="13" t="inlineStr">
        <is>
          <t>(v) 
  Section 889(a)(1)(A) and Covered Telecommunications Equipment or Services-Representation.
section 889 (a)(1)(B) of Public Law 115-232.</t>
        </is>
      </c>
      <c r="C543" t="inlineStr">
        <is>
          <t>K</t>
        </is>
      </c>
      <c r="D543" t="inlineStr"/>
      <c r="E543" t="inlineStr"/>
      <c r="F543" t="inlineStr">
        <is>
          <t>Representation</t>
        </is>
      </c>
      <c r="G543" s="9" t="inlineStr">
        <is>
          <t>Desirable</t>
        </is>
      </c>
      <c r="H543" s="6" t="inlineStr">
        <is>
          <t>Medium</t>
        </is>
      </c>
      <c r="I543" t="inlineStr"/>
      <c r="J543" t="inlineStr">
        <is>
          <t>Not Started</t>
        </is>
      </c>
      <c r="K543" t="inlineStr"/>
      <c r="L543" t="inlineStr"/>
      <c r="M543" t="inlineStr"/>
      <c r="N543" t="inlineStr"/>
      <c r="O543" t="inlineStr"/>
      <c r="P543" t="inlineStr"/>
      <c r="Q543" t="inlineStr"/>
      <c r="R543" t="inlineStr"/>
      <c r="S543" t="inlineStr"/>
    </row>
    <row r="544">
      <c r="A544" t="inlineStr">
        <is>
          <t>REQ-00569</t>
        </is>
      </c>
      <c r="B544" s="13" t="inlineStr">
        <is>
          <t>(1)  The Offeror shall review the list of excluded parties in the System for Award Management (SAM) 
(https://www.sam.gov) for entities excluded from receiving federal awards for "covered 
telecommunications equipment or services".</t>
        </is>
      </c>
      <c r="C544" t="inlineStr">
        <is>
          <t>K</t>
        </is>
      </c>
      <c r="D544" t="inlineStr"/>
      <c r="E544" t="inlineStr"/>
      <c r="F544" t="inlineStr">
        <is>
          <t>Representation</t>
        </is>
      </c>
      <c r="G544" s="8" t="inlineStr">
        <is>
          <t>Mandatory</t>
        </is>
      </c>
      <c r="H544" s="5" t="inlineStr">
        <is>
          <t>High</t>
        </is>
      </c>
      <c r="I544" t="inlineStr"/>
      <c r="J544" t="inlineStr">
        <is>
          <t>Not Started</t>
        </is>
      </c>
      <c r="K544" t="inlineStr"/>
      <c r="L544" t="inlineStr"/>
      <c r="M544" t="inlineStr"/>
      <c r="N544" t="inlineStr"/>
      <c r="O544" t="inlineStr"/>
      <c r="P544" t="inlineStr"/>
      <c r="Q544" t="inlineStr"/>
      <c r="R544" t="inlineStr"/>
      <c r="S544" t="inlineStr"/>
    </row>
    <row r="545">
      <c r="A545" t="inlineStr">
        <is>
          <t>REQ-00570</t>
        </is>
      </c>
      <c r="B545" s="13" t="inlineStr">
        <is>
          <t>(i)  It
does,
does not provide covered telecommunications equipment or services as a part of its offered products or 
services to the Government in the performance of any contract, subcontract, or other contractual 
instrument.
(ii)  After conducting a reasonable inquiry for purposes of this representation, that it
does,
does not use covered telecommunications equipment or services, or any equi...</t>
        </is>
      </c>
      <c r="C545" t="inlineStr">
        <is>
          <t>I</t>
        </is>
      </c>
      <c r="D545" t="inlineStr"/>
      <c r="E545" t="inlineStr"/>
      <c r="F545" t="inlineStr">
        <is>
          <t>Clause</t>
        </is>
      </c>
      <c r="G545" s="9" t="inlineStr">
        <is>
          <t>Desirable</t>
        </is>
      </c>
      <c r="H545" s="6" t="inlineStr">
        <is>
          <t>Medium</t>
        </is>
      </c>
      <c r="I545" t="inlineStr"/>
      <c r="J545" t="inlineStr">
        <is>
          <t>Not Started</t>
        </is>
      </c>
      <c r="K545" t="inlineStr"/>
      <c r="L545" t="inlineStr"/>
      <c r="M545" t="inlineStr"/>
      <c r="N545" t="inlineStr"/>
      <c r="O545" t="inlineStr"/>
      <c r="P545" t="inlineStr"/>
      <c r="Q545" t="inlineStr"/>
      <c r="R545" t="inlineStr"/>
      <c r="S545" t="inlineStr"/>
    </row>
    <row r="546">
      <c r="A546" t="inlineStr">
        <is>
          <t>REQ-00571</t>
        </is>
      </c>
      <c r="B546" s="13" t="inlineStr">
        <is>
          <t>52.212-3 ALT I Offeror Representations and Certifications-Commercial 
Products and Commercial Services. (Alternate I) 2024-02
Alternate I . As prescribed in (b)(2), add the following paragraph (c)(12) to the (FEB 2024) 12.301 
basic provision:</t>
        </is>
      </c>
      <c r="C546" t="inlineStr">
        <is>
          <t>K</t>
        </is>
      </c>
      <c r="D546" t="inlineStr"/>
      <c r="E546" t="inlineStr"/>
      <c r="F546" t="inlineStr">
        <is>
          <t>Representation</t>
        </is>
      </c>
      <c r="G546" s="9" t="inlineStr">
        <is>
          <t>Desirable</t>
        </is>
      </c>
      <c r="H546" s="6" t="inlineStr">
        <is>
          <t>Medium</t>
        </is>
      </c>
      <c r="I546" t="inlineStr"/>
      <c r="J546" t="inlineStr">
        <is>
          <t>Not Started</t>
        </is>
      </c>
      <c r="K546" t="inlineStr"/>
      <c r="L546" t="inlineStr"/>
      <c r="M546" t="inlineStr"/>
      <c r="N546" t="inlineStr"/>
      <c r="O546" t="inlineStr"/>
      <c r="P546" t="inlineStr"/>
      <c r="Q546" t="inlineStr"/>
      <c r="R546" t="inlineStr"/>
      <c r="S546" t="inlineStr"/>
    </row>
    <row r="547">
      <c r="A547" t="inlineStr">
        <is>
          <t>REQ-00572</t>
        </is>
      </c>
      <c r="B547" s="13" t="inlineStr">
        <is>
          <t>(12) (Complete if the offeror has represented itself as disadvantaged in paragraph (c)(5) of this 
provision.)
Black American.
Hispanic American.
DRAFT</t>
        </is>
      </c>
      <c r="C547" t="inlineStr">
        <is>
          <t>UNASSIGNED</t>
        </is>
      </c>
      <c r="D547" t="inlineStr"/>
      <c r="E547" t="inlineStr"/>
      <c r="F547" t="inlineStr">
        <is>
          <t>General</t>
        </is>
      </c>
      <c r="G547" s="9" t="inlineStr">
        <is>
          <t>Desirable</t>
        </is>
      </c>
      <c r="H547" s="6" t="inlineStr">
        <is>
          <t>Medium</t>
        </is>
      </c>
      <c r="I547" t="inlineStr"/>
      <c r="J547" t="inlineStr">
        <is>
          <t>Not Started</t>
        </is>
      </c>
      <c r="K547" t="inlineStr"/>
      <c r="L547" t="inlineStr"/>
      <c r="M547" t="inlineStr"/>
      <c r="N547" t="inlineStr"/>
      <c r="O547" t="inlineStr"/>
      <c r="P547" t="inlineStr"/>
      <c r="Q547" t="inlineStr"/>
      <c r="R547" t="inlineStr"/>
      <c r="S547" t="inlineStr"/>
    </row>
    <row r="548">
      <c r="A548" t="inlineStr">
        <is>
          <t>REQ-00574</t>
        </is>
      </c>
      <c r="B548" s="13" t="inlineStr">
        <is>
          <t>52.212-4 ALT I Contract Terms and Conditions-Commercial Products and 
Commercial Services. (Alternate I) 2021-11
Alternate I . When a time-and-materials or labor-hour contract is contemplated, substitute (NOV 2021)
the following paragraphs (a), (e), (i), (l), and (m) for those in the basic clause.</t>
        </is>
      </c>
      <c r="C548" t="inlineStr">
        <is>
          <t>UNASSIGNED</t>
        </is>
      </c>
      <c r="D548" t="inlineStr"/>
      <c r="E548" t="inlineStr"/>
      <c r="F548" t="inlineStr">
        <is>
          <t>General</t>
        </is>
      </c>
      <c r="G548" s="9" t="inlineStr">
        <is>
          <t>Desirable</t>
        </is>
      </c>
      <c r="H548" s="6" t="inlineStr">
        <is>
          <t>Medium</t>
        </is>
      </c>
      <c r="I548" t="inlineStr"/>
      <c r="J548" t="inlineStr">
        <is>
          <t>Not Started</t>
        </is>
      </c>
      <c r="K548" t="inlineStr"/>
      <c r="L548" t="inlineStr"/>
      <c r="M548" t="inlineStr"/>
      <c r="N548" t="inlineStr"/>
      <c r="O548" t="inlineStr"/>
      <c r="P548" t="inlineStr"/>
      <c r="Q548" t="inlineStr"/>
      <c r="R548" t="inlineStr"/>
      <c r="S548" t="inlineStr"/>
    </row>
    <row r="549">
      <c r="A549" t="inlineStr">
        <is>
          <t>REQ-00575</t>
        </is>
      </c>
      <c r="B549" s="13" t="inlineStr">
        <is>
          <t>(a)  (1) The Government has the right to inspect and test all materials Inspection/Acceptance.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t>
        </is>
      </c>
      <c r="C549" t="inlineStr">
        <is>
          <t>A</t>
        </is>
      </c>
      <c r="D549" t="inlineStr"/>
      <c r="E549" t="inlineStr"/>
      <c r="F549" t="inlineStr">
        <is>
          <t>Contract Form</t>
        </is>
      </c>
      <c r="G549" s="9" t="inlineStr">
        <is>
          <t>Desirable</t>
        </is>
      </c>
      <c r="H549" s="7" t="inlineStr">
        <is>
          <t>Low</t>
        </is>
      </c>
      <c r="I549" t="inlineStr"/>
      <c r="J549" t="inlineStr">
        <is>
          <t>Not Started</t>
        </is>
      </c>
      <c r="K549" t="inlineStr"/>
      <c r="L549" t="inlineStr"/>
      <c r="M549" t="inlineStr"/>
      <c r="N549" t="inlineStr"/>
      <c r="O549" t="inlineStr"/>
      <c r="P549" t="inlineStr"/>
      <c r="Q549" t="inlineStr"/>
      <c r="R549" t="inlineStr"/>
      <c r="S549" t="inlineStr"/>
    </row>
    <row r="550">
      <c r="A550" t="inlineStr">
        <is>
          <t>REQ-00576</t>
        </is>
      </c>
      <c r="B550" s="13" t="inlineStr">
        <is>
          <t>(2) If the Government performs inspection or tests on the premises of the Contractor or a 
subcontractor, the Contractor shall furnish and shall require subcontractors to furnish all reasonable 
facilities and assistance for the safe and convenient performance of these duties.</t>
        </is>
      </c>
      <c r="C550" t="inlineStr">
        <is>
          <t>C</t>
        </is>
      </c>
      <c r="D550" t="inlineStr"/>
      <c r="E550" t="inlineStr"/>
      <c r="F550" t="inlineStr">
        <is>
          <t>Technical Requirement</t>
        </is>
      </c>
      <c r="G550" s="8" t="inlineStr">
        <is>
          <t>Mandatory</t>
        </is>
      </c>
      <c r="H550" s="5" t="inlineStr">
        <is>
          <t>High</t>
        </is>
      </c>
      <c r="I550" t="inlineStr"/>
      <c r="J550" t="inlineStr">
        <is>
          <t>Not Started</t>
        </is>
      </c>
      <c r="K550" t="inlineStr"/>
      <c r="L550" t="inlineStr"/>
      <c r="M550" t="inlineStr"/>
      <c r="N550" t="inlineStr"/>
      <c r="O550" t="inlineStr"/>
      <c r="P550" t="inlineStr"/>
      <c r="Q550" t="inlineStr"/>
      <c r="R550" t="inlineStr"/>
      <c r="S550" t="inlineStr"/>
    </row>
    <row r="551">
      <c r="A551" t="inlineStr">
        <is>
          <t>REQ-00577</t>
        </is>
      </c>
      <c r="B551" s="13" t="inlineStr">
        <is>
          <t>(3) Unless otherwise specified in the contract, the Government will accept or reject services and 
materials at the place of delivery as promptly as practicable after delivery, and they will be presumed 
accepted 60 days after the date of delivery, unless accepted earlier.</t>
        </is>
      </c>
      <c r="C551" t="inlineStr">
        <is>
          <t>UNASSIGNED</t>
        </is>
      </c>
      <c r="D551" t="inlineStr"/>
      <c r="E551" t="inlineStr"/>
      <c r="F551" t="inlineStr">
        <is>
          <t>General</t>
        </is>
      </c>
      <c r="G551" s="9" t="inlineStr">
        <is>
          <t>Desirable</t>
        </is>
      </c>
      <c r="H551" s="6" t="inlineStr">
        <is>
          <t>Medium</t>
        </is>
      </c>
      <c r="I551" t="inlineStr"/>
      <c r="J551" t="inlineStr">
        <is>
          <t>Not Started</t>
        </is>
      </c>
      <c r="K551" t="inlineStr"/>
      <c r="L551" t="inlineStr"/>
      <c r="M551" t="inlineStr"/>
      <c r="N551" t="inlineStr"/>
      <c r="O551" t="inlineStr"/>
      <c r="P551" t="inlineStr"/>
      <c r="Q551" t="inlineStr"/>
      <c r="R551" t="inlineStr"/>
      <c r="S551" t="inlineStr"/>
    </row>
    <row r="552">
      <c r="A552" t="inlineStr">
        <is>
          <t>REQ-00578</t>
        </is>
      </c>
      <c r="B552" s="13" t="inlineStr">
        <is>
          <t>(4) 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t>
        </is>
      </c>
      <c r="C552" t="inlineStr">
        <is>
          <t>C</t>
        </is>
      </c>
      <c r="D552" t="inlineStr"/>
      <c r="E552" t="inlineStr"/>
      <c r="F552" t="inlineStr">
        <is>
          <t>Technical Requirement</t>
        </is>
      </c>
      <c r="G552" s="8" t="inlineStr">
        <is>
          <t>Mandatory</t>
        </is>
      </c>
      <c r="H552" s="5" t="inlineStr">
        <is>
          <t>High</t>
        </is>
      </c>
      <c r="I552" t="inlineStr"/>
      <c r="J552" t="inlineStr">
        <is>
          <t>Not Started</t>
        </is>
      </c>
      <c r="K552" t="inlineStr"/>
      <c r="L552" t="inlineStr"/>
      <c r="M552" t="inlineStr"/>
      <c r="N552" t="inlineStr"/>
      <c r="O552" t="inlineStr"/>
      <c r="P552" t="inlineStr"/>
      <c r="Q552" t="inlineStr"/>
      <c r="R552" t="inlineStr"/>
      <c r="S552" t="inlineStr"/>
    </row>
    <row r="553">
      <c r="A553" t="inlineStr">
        <is>
          <t>REQ-00579</t>
        </is>
      </c>
      <c r="B553" s="13" t="inlineStr">
        <is>
          <t>(5)(i) If the Contractor fails to proceed with reasonable promptness to perform required 
replacement or correction, and if the replacement or correction can be performed within the ceiling price 
(or the ceiling price as increased by the Government), the Government may-
DRAFT</t>
        </is>
      </c>
      <c r="C553" t="inlineStr">
        <is>
          <t>UNASSIGNED</t>
        </is>
      </c>
      <c r="D553" t="inlineStr"/>
      <c r="E553" t="inlineStr"/>
      <c r="F553" t="inlineStr">
        <is>
          <t>General</t>
        </is>
      </c>
      <c r="G553" s="8" t="inlineStr">
        <is>
          <t>Mandatory</t>
        </is>
      </c>
      <c r="H553" s="7" t="inlineStr">
        <is>
          <t>Low</t>
        </is>
      </c>
      <c r="I553" t="inlineStr"/>
      <c r="J553" t="inlineStr">
        <is>
          <t>Not Started</t>
        </is>
      </c>
      <c r="K553" t="inlineStr"/>
      <c r="L553" t="inlineStr"/>
      <c r="M553" t="inlineStr"/>
      <c r="N553" t="inlineStr"/>
      <c r="O553" t="inlineStr"/>
      <c r="P553" t="inlineStr"/>
      <c r="Q553" t="inlineStr"/>
      <c r="R553" t="inlineStr"/>
      <c r="S553" t="inlineStr"/>
    </row>
    <row r="554">
      <c r="A554" t="inlineStr">
        <is>
          <t>REQ-00581</t>
        </is>
      </c>
      <c r="B554" s="13" t="inlineStr">
        <is>
          <t>(6) Notwithstanding paragraphs (a)(4) and (5) above, the Government may at any time require the 
Contractor to remedy by correction or replacement, without cost to the Government, any failure by the 
Contractor to comply with the requirements of this contract, if the failure is due to-</t>
        </is>
      </c>
      <c r="C554" t="inlineStr">
        <is>
          <t>UNASSIGNED</t>
        </is>
      </c>
      <c r="D554" t="inlineStr"/>
      <c r="E554" t="inlineStr"/>
      <c r="F554" t="inlineStr">
        <is>
          <t>General</t>
        </is>
      </c>
      <c r="G554" s="9" t="inlineStr">
        <is>
          <t>Desirable</t>
        </is>
      </c>
      <c r="H554" s="7" t="inlineStr">
        <is>
          <t>Low</t>
        </is>
      </c>
      <c r="I554" t="inlineStr"/>
      <c r="J554" t="inlineStr">
        <is>
          <t>Not Started</t>
        </is>
      </c>
      <c r="K554" t="inlineStr"/>
      <c r="L554" t="inlineStr"/>
      <c r="M554" t="inlineStr"/>
      <c r="N554" t="inlineStr"/>
      <c r="O554" t="inlineStr"/>
      <c r="P554" t="inlineStr"/>
      <c r="Q554" t="inlineStr"/>
      <c r="R554" t="inlineStr"/>
      <c r="S554" t="inlineStr"/>
    </row>
    <row r="555">
      <c r="A555" t="inlineStr">
        <is>
          <t>REQ-00582</t>
        </is>
      </c>
      <c r="B555" s="13" t="inlineStr">
        <is>
          <t>(i) Fraud, lack of good faith, or willful misconduct on the part of the Contractor's managerial 
personnel; or
(ii) The conduct of one or more of the Contractor's employees selected or retained by the 
Contractor after any of the Contractor's managerial personnel has reasonable grounds to believe that the 
employee is habitually careless or unqualified.</t>
        </is>
      </c>
      <c r="C555" t="inlineStr">
        <is>
          <t>I</t>
        </is>
      </c>
      <c r="D555" t="inlineStr"/>
      <c r="E555" t="inlineStr"/>
      <c r="F555" t="inlineStr">
        <is>
          <t>Clause</t>
        </is>
      </c>
      <c r="G555" s="9" t="inlineStr">
        <is>
          <t>Desirable</t>
        </is>
      </c>
      <c r="H555" s="6" t="inlineStr">
        <is>
          <t>Medium</t>
        </is>
      </c>
      <c r="I555" t="inlineStr"/>
      <c r="J555" t="inlineStr">
        <is>
          <t>Not Started</t>
        </is>
      </c>
      <c r="K555" t="inlineStr"/>
      <c r="L555" t="inlineStr"/>
      <c r="M555" t="inlineStr"/>
      <c r="N555" t="inlineStr"/>
      <c r="O555" t="inlineStr"/>
      <c r="P555" t="inlineStr"/>
      <c r="Q555" t="inlineStr"/>
      <c r="R555" t="inlineStr"/>
      <c r="S555" t="inlineStr"/>
    </row>
    <row r="556">
      <c r="A556" t="inlineStr">
        <is>
          <t>REQ-00583</t>
        </is>
      </c>
      <c r="B556" s="13" t="inlineStr">
        <is>
          <t>(7) This clause applies in the same manner and to the same extent to corrected or replacement 
materials or services as to materials and services originally delivered under this contract.</t>
        </is>
      </c>
      <c r="C556" t="inlineStr">
        <is>
          <t>UNASSIGNED</t>
        </is>
      </c>
      <c r="D556" t="inlineStr"/>
      <c r="E556" t="inlineStr"/>
      <c r="F556" t="inlineStr">
        <is>
          <t>General</t>
        </is>
      </c>
      <c r="G556" s="9" t="inlineStr">
        <is>
          <t>Desirable</t>
        </is>
      </c>
      <c r="H556" s="6" t="inlineStr">
        <is>
          <t>Medium</t>
        </is>
      </c>
      <c r="I556" t="inlineStr"/>
      <c r="J556" t="inlineStr">
        <is>
          <t>Not Started</t>
        </is>
      </c>
      <c r="K556" t="inlineStr"/>
      <c r="L556" t="inlineStr"/>
      <c r="M556" t="inlineStr"/>
      <c r="N556" t="inlineStr"/>
      <c r="O556" t="inlineStr"/>
      <c r="P556" t="inlineStr"/>
      <c r="Q556" t="inlineStr"/>
      <c r="R556" t="inlineStr"/>
      <c r="S556" t="inlineStr"/>
    </row>
    <row r="557">
      <c r="A557" t="inlineStr">
        <is>
          <t>REQ-00584</t>
        </is>
      </c>
      <c r="B557" s="13" t="inlineStr">
        <is>
          <t>(8) The Contractor has no obligation or liability under this contract to correct or replace materials 
and services that at time of delivery do not meet contract requirements, except as provided in this clause 
or as may be otherwise specified in the contract.</t>
        </is>
      </c>
      <c r="C557" t="inlineStr">
        <is>
          <t>UNASSIGNED</t>
        </is>
      </c>
      <c r="D557" t="inlineStr"/>
      <c r="E557" t="inlineStr"/>
      <c r="F557" t="inlineStr">
        <is>
          <t>General</t>
        </is>
      </c>
      <c r="G557" s="9" t="inlineStr">
        <is>
          <t>Desirable</t>
        </is>
      </c>
      <c r="H557" s="7" t="inlineStr">
        <is>
          <t>Low</t>
        </is>
      </c>
      <c r="I557" t="inlineStr"/>
      <c r="J557" t="inlineStr">
        <is>
          <t>Not Started</t>
        </is>
      </c>
      <c r="K557" t="inlineStr"/>
      <c r="L557" t="inlineStr"/>
      <c r="M557" t="inlineStr"/>
      <c r="N557" t="inlineStr"/>
      <c r="O557" t="inlineStr"/>
      <c r="P557" t="inlineStr"/>
      <c r="Q557" t="inlineStr"/>
      <c r="R557" t="inlineStr"/>
      <c r="S557" t="inlineStr"/>
    </row>
    <row r="558">
      <c r="A558" t="inlineStr">
        <is>
          <t>REQ-00585</t>
        </is>
      </c>
      <c r="B558" s="13" t="inlineStr">
        <is>
          <t>(9) Unless otherwise specified in the contract, the Contractor's obligation to correct or replace 
Government-furnished property shall be governed by the clause pertaining to Government property.</t>
        </is>
      </c>
      <c r="C558" t="inlineStr">
        <is>
          <t>C</t>
        </is>
      </c>
      <c r="D558" t="inlineStr"/>
      <c r="E558" t="inlineStr"/>
      <c r="F558" t="inlineStr">
        <is>
          <t>Technical Requirement</t>
        </is>
      </c>
      <c r="G558" s="8" t="inlineStr">
        <is>
          <t>Mandatory</t>
        </is>
      </c>
      <c r="H558" s="5" t="inlineStr">
        <is>
          <t>High</t>
        </is>
      </c>
      <c r="I558" t="inlineStr"/>
      <c r="J558" t="inlineStr">
        <is>
          <t>Not Started</t>
        </is>
      </c>
      <c r="K558" t="inlineStr"/>
      <c r="L558" t="inlineStr"/>
      <c r="M558" t="inlineStr"/>
      <c r="N558" t="inlineStr"/>
      <c r="O558" t="inlineStr"/>
      <c r="P558" t="inlineStr"/>
      <c r="Q558" t="inlineStr"/>
      <c r="R558" t="inlineStr"/>
      <c r="S558" t="inlineStr"/>
    </row>
    <row r="559">
      <c r="A559" t="inlineStr">
        <is>
          <t>REQ-00586</t>
        </is>
      </c>
      <c r="B559" s="13" t="inlineStr">
        <is>
          <t>(e)  (1) The clause at FAR 52.202-1, Definitions, is incorporated herein by reference. As Definitions.
used in this clause-</t>
        </is>
      </c>
      <c r="C559" t="inlineStr">
        <is>
          <t>E</t>
        </is>
      </c>
      <c r="D559" t="inlineStr"/>
      <c r="E559" t="inlineStr"/>
      <c r="F559" t="inlineStr">
        <is>
          <t>Inspection</t>
        </is>
      </c>
      <c r="G559" s="9" t="inlineStr">
        <is>
          <t>Desirable</t>
        </is>
      </c>
      <c r="H559" s="6" t="inlineStr">
        <is>
          <t>Medium</t>
        </is>
      </c>
      <c r="I559" t="inlineStr"/>
      <c r="J559" t="inlineStr">
        <is>
          <t>Not Started</t>
        </is>
      </c>
      <c r="K559" t="inlineStr"/>
      <c r="L559" t="inlineStr"/>
      <c r="M559" t="inlineStr"/>
      <c r="N559" t="inlineStr"/>
      <c r="O559" t="inlineStr"/>
      <c r="P559" t="inlineStr"/>
      <c r="Q559" t="inlineStr"/>
      <c r="R559" t="inlineStr"/>
      <c r="S559" t="inlineStr"/>
    </row>
    <row r="560">
      <c r="A560" t="inlineStr">
        <is>
          <t>REQ-00587</t>
        </is>
      </c>
      <c r="B560" s="13" t="inlineStr">
        <is>
          <t>(i) "Direct materials" means those materials that enter directly into the end product, or that are 
used or consumed directly in connection with the furnishing of the end product or service.
(ii) "Hourly rate" means the rate(s) prescribed in the contract for payment for labor that meets 
the labor category qualifications of a labor category specified in the contract that are-
(A) Performed by t...</t>
        </is>
      </c>
      <c r="C560" t="inlineStr">
        <is>
          <t>I</t>
        </is>
      </c>
      <c r="D560" t="inlineStr"/>
      <c r="E560" t="inlineStr"/>
      <c r="F560" t="inlineStr">
        <is>
          <t>Clause</t>
        </is>
      </c>
      <c r="G560" s="9" t="inlineStr">
        <is>
          <t>Desirable</t>
        </is>
      </c>
      <c r="H560" s="6" t="inlineStr">
        <is>
          <t>Medium</t>
        </is>
      </c>
      <c r="I560" t="inlineStr"/>
      <c r="J560" t="inlineStr">
        <is>
          <t>Not Started</t>
        </is>
      </c>
      <c r="K560" t="inlineStr"/>
      <c r="L560" t="inlineStr"/>
      <c r="M560" t="inlineStr"/>
      <c r="N560" t="inlineStr"/>
      <c r="O560" t="inlineStr"/>
      <c r="P560" t="inlineStr"/>
      <c r="Q560" t="inlineStr"/>
      <c r="R560" t="inlineStr"/>
      <c r="S560" t="inlineStr"/>
    </row>
    <row r="561">
      <c r="A561" t="inlineStr">
        <is>
          <t>REQ-00589</t>
        </is>
      </c>
      <c r="B561" s="13" t="inlineStr">
        <is>
          <t>(i)  (1)  The Government will pay the Contractor as follows upon the Payments. Work performed.
submission of commercial invoices approved by the Contracting Officer:</t>
        </is>
      </c>
      <c r="C561" t="inlineStr">
        <is>
          <t>I</t>
        </is>
      </c>
      <c r="D561" t="inlineStr"/>
      <c r="E561" t="inlineStr"/>
      <c r="F561" t="inlineStr">
        <is>
          <t>Clause</t>
        </is>
      </c>
      <c r="G561" s="9" t="inlineStr">
        <is>
          <t>Desirable</t>
        </is>
      </c>
      <c r="H561" s="6" t="inlineStr">
        <is>
          <t>Medium</t>
        </is>
      </c>
      <c r="I561" t="inlineStr"/>
      <c r="J561" t="inlineStr">
        <is>
          <t>Not Started</t>
        </is>
      </c>
      <c r="K561" t="inlineStr"/>
      <c r="L561" t="inlineStr"/>
      <c r="M561" t="inlineStr"/>
      <c r="N561" t="inlineStr"/>
      <c r="O561" t="inlineStr"/>
      <c r="P561" t="inlineStr"/>
      <c r="Q561" t="inlineStr"/>
      <c r="R561" t="inlineStr"/>
      <c r="S561" t="inlineStr"/>
    </row>
    <row r="562">
      <c r="A562" t="inlineStr">
        <is>
          <t>REQ-00590</t>
        </is>
      </c>
      <c r="B562" s="13" t="inlineStr">
        <is>
          <t>(i) .Hourly rate
(A) The amounts shall be computed by multiplying the appropriate hourly rates 
prescribed in the contract by the number of direct labor hours performed. Fractional parts of an hour 
shall be payable on a prorated basis.
(B) The rates shall be paid for all labor performed on the contract that meets the labor 
qualifications specified in the contract. Labor hours incurred to perf...</t>
        </is>
      </c>
      <c r="C562" t="inlineStr">
        <is>
          <t>I</t>
        </is>
      </c>
      <c r="D562" t="inlineStr"/>
      <c r="E562" t="inlineStr"/>
      <c r="F562" t="inlineStr">
        <is>
          <t>Clause</t>
        </is>
      </c>
      <c r="G562" s="8" t="inlineStr">
        <is>
          <t>Mandatory</t>
        </is>
      </c>
      <c r="H562" s="5" t="inlineStr">
        <is>
          <t>High</t>
        </is>
      </c>
      <c r="I562" t="inlineStr"/>
      <c r="J562" t="inlineStr">
        <is>
          <t>Not Started</t>
        </is>
      </c>
      <c r="K562" t="inlineStr"/>
      <c r="L562" t="inlineStr"/>
      <c r="M562" t="inlineStr"/>
      <c r="N562" t="inlineStr"/>
      <c r="O562" t="inlineStr"/>
      <c r="P562" t="inlineStr"/>
      <c r="Q562" t="inlineStr"/>
      <c r="R562" t="inlineStr"/>
      <c r="S562" t="inlineStr"/>
    </row>
    <row r="563">
      <c r="A563" t="inlineStr">
        <is>
          <t>REQ-00592</t>
        </is>
      </c>
      <c r="B563" s="13" t="inlineStr">
        <is>
          <t>(1) Has made payments for materials in accordance with the terms and conditions of the 
agreement or invoice; or</t>
        </is>
      </c>
      <c r="C563" t="inlineStr">
        <is>
          <t>UNASSIGNED</t>
        </is>
      </c>
      <c r="D563" t="inlineStr"/>
      <c r="E563" t="inlineStr"/>
      <c r="F563" t="inlineStr">
        <is>
          <t>General</t>
        </is>
      </c>
      <c r="G563" s="9" t="inlineStr">
        <is>
          <t>Desirable</t>
        </is>
      </c>
      <c r="H563" s="6" t="inlineStr">
        <is>
          <t>Medium</t>
        </is>
      </c>
      <c r="I563" t="inlineStr"/>
      <c r="J563" t="inlineStr">
        <is>
          <t>Not Started</t>
        </is>
      </c>
      <c r="K563" t="inlineStr"/>
      <c r="L563" t="inlineStr"/>
      <c r="M563" t="inlineStr"/>
      <c r="N563" t="inlineStr"/>
      <c r="O563" t="inlineStr"/>
      <c r="P563" t="inlineStr"/>
      <c r="Q563" t="inlineStr"/>
      <c r="R563" t="inlineStr"/>
      <c r="S563" t="inlineStr"/>
    </row>
    <row r="564">
      <c r="A564" t="inlineStr">
        <is>
          <t>REQ-00593</t>
        </is>
      </c>
      <c r="B564" s="13" t="inlineStr">
        <is>
          <t>(2) Makes these payments within 30 days of the submission of the Contractor's payment 
request to the Government and such payment is in accordance with the terms and conditions of the 
agreement or invoice.
(C) To the extent able, the Contractor shall-</t>
        </is>
      </c>
      <c r="C564" t="inlineStr">
        <is>
          <t>C</t>
        </is>
      </c>
      <c r="D564" t="inlineStr"/>
      <c r="E564" t="inlineStr"/>
      <c r="F564" t="inlineStr">
        <is>
          <t>Technical Requirement</t>
        </is>
      </c>
      <c r="G564" s="8" t="inlineStr">
        <is>
          <t>Mandatory</t>
        </is>
      </c>
      <c r="H564" s="5" t="inlineStr">
        <is>
          <t>High</t>
        </is>
      </c>
      <c r="I564" t="inlineStr"/>
      <c r="J564" t="inlineStr">
        <is>
          <t>Not Started</t>
        </is>
      </c>
      <c r="K564" t="inlineStr"/>
      <c r="L564" t="inlineStr"/>
      <c r="M564" t="inlineStr"/>
      <c r="N564" t="inlineStr"/>
      <c r="O564" t="inlineStr"/>
      <c r="P564" t="inlineStr"/>
      <c r="Q564" t="inlineStr"/>
      <c r="R564" t="inlineStr"/>
      <c r="S564" t="inlineStr"/>
    </row>
    <row r="565">
      <c r="A565" t="inlineStr">
        <is>
          <t>REQ-00594</t>
        </is>
      </c>
      <c r="B565" s="13" t="inlineStr">
        <is>
          <t>(1) Obtain materials at the most advantageous prices available with due regard to securing 
prompt delivery of satisfactory materials; and</t>
        </is>
      </c>
      <c r="C565" t="inlineStr">
        <is>
          <t>UNASSIGNED</t>
        </is>
      </c>
      <c r="D565" t="inlineStr"/>
      <c r="E565" t="inlineStr"/>
      <c r="F565" t="inlineStr">
        <is>
          <t>General</t>
        </is>
      </c>
      <c r="G565" s="9" t="inlineStr">
        <is>
          <t>Desirable</t>
        </is>
      </c>
      <c r="H565" s="6" t="inlineStr">
        <is>
          <t>Medium</t>
        </is>
      </c>
      <c r="I565" t="inlineStr"/>
      <c r="J565" t="inlineStr">
        <is>
          <t>Not Started</t>
        </is>
      </c>
      <c r="K565" t="inlineStr"/>
      <c r="L565" t="inlineStr"/>
      <c r="M565" t="inlineStr"/>
      <c r="N565" t="inlineStr"/>
      <c r="O565" t="inlineStr"/>
      <c r="P565" t="inlineStr"/>
      <c r="Q565" t="inlineStr"/>
      <c r="R565" t="inlineStr"/>
      <c r="S565" t="inlineStr"/>
    </row>
    <row r="566">
      <c r="A566" t="inlineStr">
        <is>
          <t>REQ-00595</t>
        </is>
      </c>
      <c r="B566" s="13" t="inlineStr">
        <is>
          <t>(2) Give credit to the Government for cash and trade discounts, rebates, scrap, 
commissions, and other amounts that are identifiable to the contract.
(D) . Unless listed below, other direct and indirect costs will not be Other Costs
reimbursed.</t>
        </is>
      </c>
      <c r="C566" t="inlineStr">
        <is>
          <t>UNASSIGNED</t>
        </is>
      </c>
      <c r="D566" t="inlineStr"/>
      <c r="E566" t="inlineStr"/>
      <c r="F566" t="inlineStr">
        <is>
          <t>General</t>
        </is>
      </c>
      <c r="G566" s="9" t="inlineStr">
        <is>
          <t>Desirable</t>
        </is>
      </c>
      <c r="H566" s="6" t="inlineStr">
        <is>
          <t>Medium</t>
        </is>
      </c>
      <c r="I566" t="inlineStr"/>
      <c r="J566" t="inlineStr">
        <is>
          <t>Not Started</t>
        </is>
      </c>
      <c r="K566" t="inlineStr"/>
      <c r="L566" t="inlineStr"/>
      <c r="M566" t="inlineStr"/>
      <c r="N566" t="inlineStr"/>
      <c r="O566" t="inlineStr"/>
      <c r="P566" t="inlineStr"/>
      <c r="Q566" t="inlineStr"/>
      <c r="R566" t="inlineStr"/>
      <c r="S566" t="inlineStr"/>
    </row>
    <row r="567">
      <c r="A567" t="inlineStr">
        <is>
          <t>REQ-00596</t>
        </is>
      </c>
      <c r="B567" s="13" t="inlineStr">
        <is>
          <t>(1) . The Government will reimburse the Contractor on the basis of Other Direct Costs
actual cost for the following, provided such costs comply with the requirements in paragraph (i)(1)(ii)(B) 
of this clause: [Insert each element of other direct costs (e.g., travel, computer usage charges, etc. 
____
Insert "None" if no reimbursement for other direct costs will be provided. If this is an indef...</t>
        </is>
      </c>
      <c r="C567" t="inlineStr">
        <is>
          <t>C</t>
        </is>
      </c>
      <c r="D567" t="inlineStr"/>
      <c r="E567" t="inlineStr"/>
      <c r="F567" t="inlineStr">
        <is>
          <t>Technical Requirement</t>
        </is>
      </c>
      <c r="G567" s="8" t="inlineStr">
        <is>
          <t>Mandatory</t>
        </is>
      </c>
      <c r="H567" s="5" t="inlineStr">
        <is>
          <t>High</t>
        </is>
      </c>
      <c r="I567" t="inlineStr"/>
      <c r="J567" t="inlineStr">
        <is>
          <t>Not Started</t>
        </is>
      </c>
      <c r="K567" t="inlineStr"/>
      <c r="L567" t="inlineStr"/>
      <c r="M567" t="inlineStr"/>
      <c r="N567" t="inlineStr"/>
      <c r="O567" t="inlineStr"/>
      <c r="P567" t="inlineStr"/>
      <c r="Q567" t="inlineStr"/>
      <c r="R567" t="inlineStr"/>
      <c r="S567" t="inlineStr"/>
    </row>
    <row r="568">
      <c r="A568" t="inlineStr">
        <is>
          <t>REQ-00597</t>
        </is>
      </c>
      <c r="B568" s="13" t="inlineStr">
        <is>
          <t>(2) . The Indirect Costs (Material Handling, Subcontract Administration, etc.)
Government will reimburse the Contractor for indirect costs on a pro-rata basis over the period of 
contract performance at the following fixed price: [Insert a fixed amount for the indirect costs and 
____
payment schedule. Insert "$0" if no fixed price reimbursement for indirect costs will be provided. (If this 
is...</t>
        </is>
      </c>
      <c r="C568" t="inlineStr">
        <is>
          <t>C</t>
        </is>
      </c>
      <c r="D568" t="inlineStr"/>
      <c r="E568" t="inlineStr"/>
      <c r="F568" t="inlineStr">
        <is>
          <t>Technical Requirement</t>
        </is>
      </c>
      <c r="G568" s="8" t="inlineStr">
        <is>
          <t>Mandatory</t>
        </is>
      </c>
      <c r="H568" s="5" t="inlineStr">
        <is>
          <t>High</t>
        </is>
      </c>
      <c r="I568" t="inlineStr"/>
      <c r="J568" t="inlineStr">
        <is>
          <t>Not Started</t>
        </is>
      </c>
      <c r="K568" t="inlineStr"/>
      <c r="L568" t="inlineStr"/>
      <c r="M568" t="inlineStr"/>
      <c r="N568" t="inlineStr"/>
      <c r="O568" t="inlineStr"/>
      <c r="P568" t="inlineStr"/>
      <c r="Q568" t="inlineStr"/>
      <c r="R568" t="inlineStr"/>
      <c r="S568" t="inlineStr"/>
    </row>
    <row r="569">
      <c r="A569" t="inlineStr">
        <is>
          <t>REQ-00598</t>
        </is>
      </c>
      <c r="B569" s="13" t="inlineStr">
        <is>
          <t>(2) .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t>
        </is>
      </c>
      <c r="C569" t="inlineStr">
        <is>
          <t>C</t>
        </is>
      </c>
      <c r="D569" t="inlineStr"/>
      <c r="E569" t="inlineStr"/>
      <c r="F569" t="inlineStr">
        <is>
          <t>Technical Requirement</t>
        </is>
      </c>
      <c r="G569" s="8" t="inlineStr">
        <is>
          <t>Mandatory</t>
        </is>
      </c>
      <c r="H569" s="5" t="inlineStr">
        <is>
          <t>High</t>
        </is>
      </c>
      <c r="I569" t="inlineStr"/>
      <c r="J569" t="inlineStr">
        <is>
          <t>Not Started</t>
        </is>
      </c>
      <c r="K569" t="inlineStr"/>
      <c r="L569" t="inlineStr"/>
      <c r="M569" t="inlineStr"/>
      <c r="N569" t="inlineStr"/>
      <c r="O569" t="inlineStr"/>
      <c r="P569" t="inlineStr"/>
      <c r="Q569" t="inlineStr"/>
      <c r="R569" t="inlineStr"/>
      <c r="S569" t="inlineStr"/>
    </row>
    <row r="570">
      <c r="A570" t="inlineStr">
        <is>
          <t>REQ-00599</t>
        </is>
      </c>
      <c r="B570" s="13" t="inlineStr">
        <is>
          <t>(3) . The Government will not be obligated to pay the Contractor any amount in Ceiling price
excess of the ceiling price in the Schedule, and the Contractor shall not be obligated to continue 
performance if to do so would exceed the ceiling price set forth in the Schedule, unless and until the 
DRAFT</t>
        </is>
      </c>
      <c r="C570" t="inlineStr">
        <is>
          <t>C</t>
        </is>
      </c>
      <c r="D570" t="inlineStr"/>
      <c r="E570" t="inlineStr"/>
      <c r="F570" t="inlineStr">
        <is>
          <t>Technical Requirement</t>
        </is>
      </c>
      <c r="G570" s="8" t="inlineStr">
        <is>
          <t>Mandatory</t>
        </is>
      </c>
      <c r="H570" s="5" t="inlineStr">
        <is>
          <t>High</t>
        </is>
      </c>
      <c r="I570" t="inlineStr"/>
      <c r="J570" t="inlineStr">
        <is>
          <t>Not Started</t>
        </is>
      </c>
      <c r="K570" t="inlineStr"/>
      <c r="L570" t="inlineStr"/>
      <c r="M570" t="inlineStr"/>
      <c r="N570" t="inlineStr"/>
      <c r="O570" t="inlineStr"/>
      <c r="P570" t="inlineStr"/>
      <c r="Q570" t="inlineStr"/>
      <c r="R570" t="inlineStr"/>
      <c r="S570" t="inlineStr"/>
    </row>
    <row r="571">
      <c r="A571" t="inlineStr">
        <is>
          <t>REQ-00601</t>
        </is>
      </c>
      <c r="B571" s="13" t="inlineStr">
        <is>
          <t>(4) .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C571" t="inlineStr">
        <is>
          <t>C</t>
        </is>
      </c>
      <c r="D571" t="inlineStr"/>
      <c r="E571" t="inlineStr"/>
      <c r="F571" t="inlineStr">
        <is>
          <t>Technical Requirement</t>
        </is>
      </c>
      <c r="G571" s="8" t="inlineStr">
        <is>
          <t>Mandatory</t>
        </is>
      </c>
      <c r="H571" s="5" t="inlineStr">
        <is>
          <t>High</t>
        </is>
      </c>
      <c r="I571" t="inlineStr"/>
      <c r="J571" t="inlineStr">
        <is>
          <t>Not Started</t>
        </is>
      </c>
      <c r="K571" t="inlineStr"/>
      <c r="L571" t="inlineStr"/>
      <c r="M571" t="inlineStr"/>
      <c r="N571" t="inlineStr"/>
      <c r="O571" t="inlineStr"/>
      <c r="P571" t="inlineStr"/>
      <c r="Q571" t="inlineStr"/>
      <c r="R571" t="inlineStr"/>
      <c r="S571" t="inlineStr"/>
    </row>
    <row r="572">
      <c r="A572" t="inlineStr">
        <is>
          <t>REQ-00602</t>
        </is>
      </c>
      <c r="B572" s="13" t="inlineStr">
        <is>
          <t>(i) Records that verify that the employees whose time has been included in any invoice meet 
the qualifications for the labor categories specified in the contract;
(ii) For labor hours (including any subcontractor hours reimbursed at the hourly rate in the 
schedule), when timecards are required as substantiation for payment-
(A) The original timecards (paper-based or electronic);
(B) The Contr...</t>
        </is>
      </c>
      <c r="C572" t="inlineStr">
        <is>
          <t>I</t>
        </is>
      </c>
      <c r="D572" t="inlineStr"/>
      <c r="E572" t="inlineStr"/>
      <c r="F572" t="inlineStr">
        <is>
          <t>Clause</t>
        </is>
      </c>
      <c r="G572" s="8" t="inlineStr">
        <is>
          <t>Mandatory</t>
        </is>
      </c>
      <c r="H572" s="6" t="inlineStr">
        <is>
          <t>Medium</t>
        </is>
      </c>
      <c r="I572" t="inlineStr"/>
      <c r="J572" t="inlineStr">
        <is>
          <t>Not Started</t>
        </is>
      </c>
      <c r="K572" t="inlineStr"/>
      <c r="L572" t="inlineStr"/>
      <c r="M572" t="inlineStr"/>
      <c r="N572" t="inlineStr"/>
      <c r="O572" t="inlineStr"/>
      <c r="P572" t="inlineStr"/>
      <c r="Q572" t="inlineStr"/>
      <c r="R572" t="inlineStr"/>
      <c r="S572" t="inlineStr"/>
    </row>
    <row r="573">
      <c r="A573" t="inlineStr">
        <is>
          <t>REQ-00603</t>
        </is>
      </c>
      <c r="B573" s="13" t="inlineStr">
        <is>
          <t>(5)  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 
underpayments. The Contractor shall promptly pay any such reduction within 30 days unless the parties 
...</t>
        </is>
      </c>
      <c r="C573" t="inlineStr">
        <is>
          <t>C</t>
        </is>
      </c>
      <c r="D573" t="inlineStr"/>
      <c r="E573" t="inlineStr"/>
      <c r="F573" t="inlineStr">
        <is>
          <t>Technical Requirement</t>
        </is>
      </c>
      <c r="G573" s="8" t="inlineStr">
        <is>
          <t>Mandatory</t>
        </is>
      </c>
      <c r="H573" s="5" t="inlineStr">
        <is>
          <t>High</t>
        </is>
      </c>
      <c r="I573" t="inlineStr"/>
      <c r="J573" t="inlineStr">
        <is>
          <t>Not Started</t>
        </is>
      </c>
      <c r="K573" t="inlineStr"/>
      <c r="L573" t="inlineStr"/>
      <c r="M573" t="inlineStr"/>
      <c r="N573" t="inlineStr"/>
      <c r="O573" t="inlineStr"/>
      <c r="P573" t="inlineStr"/>
      <c r="Q573" t="inlineStr"/>
      <c r="R573" t="inlineStr"/>
      <c r="S573" t="inlineStr"/>
    </row>
    <row r="574">
      <c r="A574" t="inlineStr">
        <is>
          <t>REQ-00604</t>
        </is>
      </c>
      <c r="B574" s="13" t="inlineStr">
        <is>
          <t>(i) Remit the overpayment amount to the payment office cited in the contract along with a 
description of the overpayment including the-
(A) Circumstances of the overpayment ( , duplicate payment, erroneous payment, e.g.
liquidation errors, date(s) of overpayment);
(B) Affected contract number and delivery order number, if applicable;
(C) Affected line item or subline item, if applicable; and
(...</t>
        </is>
      </c>
      <c r="C574" t="inlineStr">
        <is>
          <t>I</t>
        </is>
      </c>
      <c r="D574" t="inlineStr"/>
      <c r="E574" t="inlineStr"/>
      <c r="F574" t="inlineStr">
        <is>
          <t>Clause</t>
        </is>
      </c>
      <c r="G574" s="9" t="inlineStr">
        <is>
          <t>Desirable</t>
        </is>
      </c>
      <c r="H574" s="6" t="inlineStr">
        <is>
          <t>Medium</t>
        </is>
      </c>
      <c r="I574" t="inlineStr"/>
      <c r="J574" t="inlineStr">
        <is>
          <t>Not Started</t>
        </is>
      </c>
      <c r="K574" t="inlineStr"/>
      <c r="L574" t="inlineStr"/>
      <c r="M574" t="inlineStr"/>
      <c r="N574" t="inlineStr"/>
      <c r="O574" t="inlineStr"/>
      <c r="P574" t="inlineStr"/>
      <c r="Q574" t="inlineStr"/>
      <c r="R574" t="inlineStr"/>
      <c r="S574" t="inlineStr"/>
    </row>
    <row r="575">
      <c r="A575" t="inlineStr">
        <is>
          <t>REQ-00605</t>
        </is>
      </c>
      <c r="B575" s="13" t="inlineStr">
        <is>
          <t>(6)(i) All amounts that become payable by the Contractor to the Government under this contract 
shall bear simple interest from the date due until paid unless paid within 30 days of becoming due. The 
DRAFT</t>
        </is>
      </c>
      <c r="C575" t="inlineStr">
        <is>
          <t>C</t>
        </is>
      </c>
      <c r="D575" t="inlineStr"/>
      <c r="E575" t="inlineStr"/>
      <c r="F575" t="inlineStr">
        <is>
          <t>Technical Requirement</t>
        </is>
      </c>
      <c r="G575" s="8" t="inlineStr">
        <is>
          <t>Mandatory</t>
        </is>
      </c>
      <c r="H575" s="5" t="inlineStr">
        <is>
          <t>High</t>
        </is>
      </c>
      <c r="I575" t="inlineStr"/>
      <c r="J575" t="inlineStr">
        <is>
          <t>Not Started</t>
        </is>
      </c>
      <c r="K575" t="inlineStr"/>
      <c r="L575" t="inlineStr"/>
      <c r="M575" t="inlineStr"/>
      <c r="N575" t="inlineStr"/>
      <c r="O575" t="inlineStr"/>
      <c r="P575" t="inlineStr"/>
      <c r="Q575" t="inlineStr"/>
      <c r="R575" t="inlineStr"/>
      <c r="S575" t="inlineStr"/>
    </row>
    <row r="576">
      <c r="A576" t="inlineStr">
        <is>
          <t>REQ-00607</t>
        </is>
      </c>
      <c r="B576" s="13" t="inlineStr">
        <is>
          <t>C. 7109, which is applicable to the period in which the amount becomes due, and then at the rate 
applicable for each six month period as established by the Secretary until the amount is paid.
(ii) The Government may issue a demand for payment to the Contractor upon finding a debt 
is due under the contract.
(iii) . The Contracting Officer will issue a final decision as required by 33.211 Final...</t>
        </is>
      </c>
      <c r="C576" t="inlineStr">
        <is>
          <t>C</t>
        </is>
      </c>
      <c r="D576" t="inlineStr"/>
      <c r="E576" t="inlineStr"/>
      <c r="F576" t="inlineStr">
        <is>
          <t>Technical Requirement</t>
        </is>
      </c>
      <c r="G576" s="8" t="inlineStr">
        <is>
          <t>Mandatory</t>
        </is>
      </c>
      <c r="H576" s="5" t="inlineStr">
        <is>
          <t>High</t>
        </is>
      </c>
      <c r="I576" t="inlineStr"/>
      <c r="J576" t="inlineStr">
        <is>
          <t>Not Started</t>
        </is>
      </c>
      <c r="K576" t="inlineStr"/>
      <c r="L576" t="inlineStr"/>
      <c r="M576" t="inlineStr"/>
      <c r="N576" t="inlineStr"/>
      <c r="O576" t="inlineStr"/>
      <c r="P576" t="inlineStr"/>
      <c r="Q576" t="inlineStr"/>
      <c r="R576" t="inlineStr"/>
      <c r="S576" t="inlineStr"/>
    </row>
    <row r="577">
      <c r="A577" t="inlineStr">
        <is>
          <t>REQ-00608</t>
        </is>
      </c>
      <c r="B577" s="13" t="inlineStr">
        <is>
          <t>(v) Amounts shall be due at the earliest of the following dates:
(A) The date fixed under this contract.
(B) The date of the first written demand for payment, including any demand for payment 
resulting from a default termination.
(vi) The interest charge shall be computed for the actual number of calendar days involved 
beginning on the due date and ending on-
(A) The date on which the designa...</t>
        </is>
      </c>
      <c r="C577" t="inlineStr">
        <is>
          <t>M</t>
        </is>
      </c>
      <c r="D577" t="inlineStr"/>
      <c r="E577" t="inlineStr"/>
      <c r="F577" t="inlineStr">
        <is>
          <t>Evaluation Factor</t>
        </is>
      </c>
      <c r="G577" s="8" t="inlineStr">
        <is>
          <t>Mandatory</t>
        </is>
      </c>
      <c r="H577" s="5" t="inlineStr">
        <is>
          <t>High</t>
        </is>
      </c>
      <c r="I577" t="inlineStr"/>
      <c r="J577" t="inlineStr">
        <is>
          <t>Not Started</t>
        </is>
      </c>
      <c r="K577" t="inlineStr"/>
      <c r="L577" t="inlineStr"/>
      <c r="M577" t="inlineStr"/>
      <c r="N577" t="inlineStr"/>
      <c r="O577" t="inlineStr"/>
      <c r="P577" t="inlineStr"/>
      <c r="Q577" t="inlineStr"/>
      <c r="R577" t="inlineStr"/>
      <c r="S577" t="inlineStr"/>
    </row>
    <row r="578">
      <c r="A578" t="inlineStr">
        <is>
          <t>REQ-00609</t>
        </is>
      </c>
      <c r="B578" s="13" t="inlineStr">
        <is>
          <t>(7) . The Contractor, and each assignee under an assignment entered into under this Release of claims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t>
        </is>
      </c>
      <c r="C578" t="inlineStr">
        <is>
          <t>C</t>
        </is>
      </c>
      <c r="D578" t="inlineStr"/>
      <c r="E578" t="inlineStr"/>
      <c r="F578" t="inlineStr">
        <is>
          <t>Technical Requirement</t>
        </is>
      </c>
      <c r="G578" s="8" t="inlineStr">
        <is>
          <t>Mandatory</t>
        </is>
      </c>
      <c r="H578" s="5" t="inlineStr">
        <is>
          <t>High</t>
        </is>
      </c>
      <c r="I578" t="inlineStr"/>
      <c r="J578" t="inlineStr">
        <is>
          <t>Not Started</t>
        </is>
      </c>
      <c r="K578" t="inlineStr"/>
      <c r="L578" t="inlineStr"/>
      <c r="M578" t="inlineStr"/>
      <c r="N578" t="inlineStr"/>
      <c r="O578" t="inlineStr"/>
      <c r="P578" t="inlineStr"/>
      <c r="Q578" t="inlineStr"/>
      <c r="R578" t="inlineStr"/>
      <c r="S578" t="inlineStr"/>
    </row>
    <row r="579">
      <c r="A579" t="inlineStr">
        <is>
          <t>REQ-00610</t>
        </is>
      </c>
      <c r="B579" s="13" t="inlineStr">
        <is>
          <t>(i) Specified claims in stated amounts, or in estimated amounts if the amounts are not 
susceptible to exact statement by the Contractor.
(ii) Claims, together with reasonable incidental expenses, based upon the liabilities of the 
Contractor to third parties arising out of performing this contract, that are not known to the Contractor on 
the date of the execution of the release, and of which ...</t>
        </is>
      </c>
      <c r="C579" t="inlineStr">
        <is>
          <t>I</t>
        </is>
      </c>
      <c r="D579" t="inlineStr"/>
      <c r="E579" t="inlineStr"/>
      <c r="F579" t="inlineStr">
        <is>
          <t>Clause</t>
        </is>
      </c>
      <c r="G579" s="9" t="inlineStr">
        <is>
          <t>Desirable</t>
        </is>
      </c>
      <c r="H579" s="6" t="inlineStr">
        <is>
          <t>Medium</t>
        </is>
      </c>
      <c r="I579" t="inlineStr"/>
      <c r="J579" t="inlineStr">
        <is>
          <t>Not Started</t>
        </is>
      </c>
      <c r="K579" t="inlineStr"/>
      <c r="L579" t="inlineStr"/>
      <c r="M579" t="inlineStr"/>
      <c r="N579" t="inlineStr"/>
      <c r="O579" t="inlineStr"/>
      <c r="P579" t="inlineStr"/>
      <c r="Q579" t="inlineStr"/>
      <c r="R579" t="inlineStr"/>
      <c r="S579" t="inlineStr"/>
    </row>
    <row r="580">
      <c r="A580" t="inlineStr">
        <is>
          <t>REQ-00611</t>
        </is>
      </c>
      <c r="B580" s="13" t="inlineStr">
        <is>
          <t>(8) . The Government will make payment in accordance with the Prompt Prompt payment
Payment Act (31 U.S.C. 3903) and prompt payment regulations at .5 CFR part 1315</t>
        </is>
      </c>
      <c r="C580" t="inlineStr">
        <is>
          <t>UNASSIGNED</t>
        </is>
      </c>
      <c r="D580" t="inlineStr"/>
      <c r="E580" t="inlineStr"/>
      <c r="F580" t="inlineStr">
        <is>
          <t>General</t>
        </is>
      </c>
      <c r="G580" s="9" t="inlineStr">
        <is>
          <t>Desirable</t>
        </is>
      </c>
      <c r="H580" s="6" t="inlineStr">
        <is>
          <t>Medium</t>
        </is>
      </c>
      <c r="I580" t="inlineStr"/>
      <c r="J580" t="inlineStr">
        <is>
          <t>Not Started</t>
        </is>
      </c>
      <c r="K580" t="inlineStr"/>
      <c r="L580" t="inlineStr"/>
      <c r="M580" t="inlineStr"/>
      <c r="N580" t="inlineStr"/>
      <c r="O580" t="inlineStr"/>
      <c r="P580" t="inlineStr"/>
      <c r="Q580" t="inlineStr"/>
      <c r="R580" t="inlineStr"/>
      <c r="S580" t="inlineStr"/>
    </row>
    <row r="581">
      <c r="A581" t="inlineStr">
        <is>
          <t>REQ-00612</t>
        </is>
      </c>
      <c r="B581" s="13" t="inlineStr">
        <is>
          <t>(9) . If the Government makes payment by EFT, see 52.212-5(b) Electronic Funds Transfer (EFT)
for the appropriate EFT clause.</t>
        </is>
      </c>
      <c r="C581" t="inlineStr">
        <is>
          <t>UNASSIGNED</t>
        </is>
      </c>
      <c r="D581" t="inlineStr"/>
      <c r="E581" t="inlineStr"/>
      <c r="F581" t="inlineStr">
        <is>
          <t>General</t>
        </is>
      </c>
      <c r="G581" s="9" t="inlineStr">
        <is>
          <t>Desirable</t>
        </is>
      </c>
      <c r="H581" s="6" t="inlineStr">
        <is>
          <t>Medium</t>
        </is>
      </c>
      <c r="I581" t="inlineStr"/>
      <c r="J581" t="inlineStr">
        <is>
          <t>Not Started</t>
        </is>
      </c>
      <c r="K581" t="inlineStr"/>
      <c r="L581" t="inlineStr"/>
      <c r="M581" t="inlineStr"/>
      <c r="N581" t="inlineStr"/>
      <c r="O581" t="inlineStr"/>
      <c r="P581" t="inlineStr"/>
      <c r="Q581" t="inlineStr"/>
      <c r="R581" t="inlineStr"/>
      <c r="S581" t="inlineStr"/>
    </row>
    <row r="582">
      <c r="A582" t="inlineStr">
        <is>
          <t>REQ-00613</t>
        </is>
      </c>
      <c r="B582" s="13" t="inlineStr">
        <is>
          <t>(10) .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date if an electronic funds transfer payment is made.</t>
        </is>
      </c>
      <c r="C582" t="inlineStr">
        <is>
          <t>C</t>
        </is>
      </c>
      <c r="D582" t="inlineStr"/>
      <c r="E582" t="inlineStr"/>
      <c r="F582" t="inlineStr">
        <is>
          <t>Technical Requirement</t>
        </is>
      </c>
      <c r="G582" s="8" t="inlineStr">
        <is>
          <t>Mandatory</t>
        </is>
      </c>
      <c r="H582" s="5" t="inlineStr">
        <is>
          <t>High</t>
        </is>
      </c>
      <c r="I582" t="inlineStr"/>
      <c r="J582" t="inlineStr">
        <is>
          <t>Not Started</t>
        </is>
      </c>
      <c r="K582" t="inlineStr"/>
      <c r="L582" t="inlineStr"/>
      <c r="M582" t="inlineStr"/>
      <c r="N582" t="inlineStr"/>
      <c r="O582" t="inlineStr"/>
      <c r="P582" t="inlineStr"/>
      <c r="Q582" t="inlineStr"/>
      <c r="R582" t="inlineStr"/>
      <c r="S582" t="inlineStr"/>
    </row>
    <row r="583">
      <c r="A583" t="inlineStr">
        <is>
          <t>REQ-00614</t>
        </is>
      </c>
      <c r="B583" s="13" t="inlineStr">
        <is>
          <t>(l) 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t>
        </is>
      </c>
      <c r="C583" t="inlineStr">
        <is>
          <t>L</t>
        </is>
      </c>
      <c r="D583" t="inlineStr"/>
      <c r="E583" t="inlineStr"/>
      <c r="F583" t="inlineStr">
        <is>
          <t>Proposal Instruction</t>
        </is>
      </c>
      <c r="G583" s="8" t="inlineStr">
        <is>
          <t>Mandatory</t>
        </is>
      </c>
      <c r="H583" s="5" t="inlineStr">
        <is>
          <t>High</t>
        </is>
      </c>
      <c r="I583" t="inlineStr"/>
      <c r="J583" t="inlineStr">
        <is>
          <t>Not Started</t>
        </is>
      </c>
      <c r="K583" t="inlineStr"/>
      <c r="L583" t="inlineStr"/>
      <c r="M583" t="inlineStr"/>
      <c r="N583" t="inlineStr"/>
      <c r="O583" t="inlineStr"/>
      <c r="P583" t="inlineStr"/>
      <c r="Q583" t="inlineStr"/>
      <c r="R583" t="inlineStr"/>
      <c r="S583" t="inlineStr"/>
    </row>
    <row r="584">
      <c r="A584" t="inlineStr">
        <is>
          <t>REQ-00615</t>
        </is>
      </c>
      <c r="B584" s="13" t="inlineStr">
        <is>
          <t>(m) 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t>
        </is>
      </c>
      <c r="C584" t="inlineStr">
        <is>
          <t>M</t>
        </is>
      </c>
      <c r="D584" t="inlineStr"/>
      <c r="E584" t="inlineStr"/>
      <c r="F584" t="inlineStr">
        <is>
          <t>Evaluation Factor</t>
        </is>
      </c>
      <c r="G584" s="8" t="inlineStr">
        <is>
          <t>Mandatory</t>
        </is>
      </c>
      <c r="H584" s="5" t="inlineStr">
        <is>
          <t>High</t>
        </is>
      </c>
      <c r="I584" t="inlineStr"/>
      <c r="J584" t="inlineStr">
        <is>
          <t>Not Started</t>
        </is>
      </c>
      <c r="K584" t="inlineStr"/>
      <c r="L584" t="inlineStr"/>
      <c r="M584" t="inlineStr"/>
      <c r="N584" t="inlineStr"/>
      <c r="O584" t="inlineStr"/>
      <c r="P584" t="inlineStr"/>
      <c r="Q584" t="inlineStr"/>
      <c r="R584" t="inlineStr"/>
      <c r="S584" t="inlineStr"/>
    </row>
    <row r="585">
      <c r="A585" t="inlineStr">
        <is>
          <t>REQ-00616</t>
        </is>
      </c>
      <c r="B585" s="13" t="inlineStr">
        <is>
          <t>52.212-5
Contract Terms and Conditions Required To Implement 
Statutes or Executive Orders-Commercial Products and 
Commercial Services.
2024-05
As prescribed in , insert the following clause: 12.301(b)(4)
DRAFT</t>
        </is>
      </c>
      <c r="C585" t="inlineStr">
        <is>
          <t>UNASSIGNED</t>
        </is>
      </c>
      <c r="D585" t="inlineStr"/>
      <c r="E585" t="inlineStr"/>
      <c r="F585" t="inlineStr">
        <is>
          <t>General</t>
        </is>
      </c>
      <c r="G585" s="8" t="inlineStr">
        <is>
          <t>Mandatory</t>
        </is>
      </c>
      <c r="H585" s="6" t="inlineStr">
        <is>
          <t>Medium</t>
        </is>
      </c>
      <c r="I585" t="inlineStr"/>
      <c r="J585" t="inlineStr">
        <is>
          <t>Not Started</t>
        </is>
      </c>
      <c r="K585" t="inlineStr"/>
      <c r="L585" t="inlineStr"/>
      <c r="M585" t="inlineStr"/>
      <c r="N585" t="inlineStr"/>
      <c r="O585" t="inlineStr"/>
      <c r="P585" t="inlineStr"/>
      <c r="Q585" t="inlineStr"/>
      <c r="R585" t="inlineStr"/>
      <c r="S585" t="inlineStr"/>
    </row>
    <row r="586">
      <c r="A586" t="inlineStr">
        <is>
          <t>REQ-00618</t>
        </is>
      </c>
      <c r="B586" s="13" t="inlineStr">
        <is>
          <t>(a)  The Contractor shall comply with the following Federal Acquisition Regulation (FAR) clauses, 
which are incorporated in this contract by reference, to implement provisions of law or Executive orders 
applicable to acquisitions of commercial products and commercial services:</t>
        </is>
      </c>
      <c r="C586" t="inlineStr">
        <is>
          <t>A</t>
        </is>
      </c>
      <c r="D586" t="inlineStr"/>
      <c r="E586" t="inlineStr"/>
      <c r="F586" t="inlineStr">
        <is>
          <t>Contract Form</t>
        </is>
      </c>
      <c r="G586" s="8" t="inlineStr">
        <is>
          <t>Mandatory</t>
        </is>
      </c>
      <c r="H586" s="5" t="inlineStr">
        <is>
          <t>High</t>
        </is>
      </c>
      <c r="I586" t="inlineStr"/>
      <c r="J586" t="inlineStr">
        <is>
          <t>Not Started</t>
        </is>
      </c>
      <c r="K586" t="inlineStr"/>
      <c r="L586" t="inlineStr"/>
      <c r="M586" t="inlineStr"/>
      <c r="N586" t="inlineStr"/>
      <c r="O586" t="inlineStr"/>
      <c r="P586" t="inlineStr"/>
      <c r="Q586" t="inlineStr"/>
      <c r="R586" t="inlineStr"/>
      <c r="S586" t="inlineStr"/>
    </row>
    <row r="587">
      <c r="A587" t="inlineStr">
        <is>
          <t>REQ-00619</t>
        </is>
      </c>
      <c r="B587" s="13" t="inlineStr">
        <is>
          <t>(1)  52.203-19, Prohibition on Requiring Certain Internal Confidentiality Agreements or Statements 
 (section 743 of Division E, Title VII, of the Consolidated and Further Continuing (JAN 2017)
Appropriations Act, 2015 (Pub. L. 113-235) and its successor provisions in subsequent appropriations 
acts (and as extended in continuing resolutions)).</t>
        </is>
      </c>
      <c r="C587" t="inlineStr">
        <is>
          <t>UNASSIGNED</t>
        </is>
      </c>
      <c r="D587" t="inlineStr"/>
      <c r="E587" t="inlineStr"/>
      <c r="F587" t="inlineStr">
        <is>
          <t>General</t>
        </is>
      </c>
      <c r="G587" s="9" t="inlineStr">
        <is>
          <t>Desirable</t>
        </is>
      </c>
      <c r="H587" s="6" t="inlineStr">
        <is>
          <t>Medium</t>
        </is>
      </c>
      <c r="I587" t="inlineStr"/>
      <c r="J587" t="inlineStr">
        <is>
          <t>Not Started</t>
        </is>
      </c>
      <c r="K587" t="inlineStr"/>
      <c r="L587" t="inlineStr"/>
      <c r="M587" t="inlineStr"/>
      <c r="N587" t="inlineStr"/>
      <c r="O587" t="inlineStr"/>
      <c r="P587" t="inlineStr"/>
      <c r="Q587" t="inlineStr"/>
      <c r="R587" t="inlineStr"/>
      <c r="S587" t="inlineStr"/>
    </row>
    <row r="588">
      <c r="A588" t="inlineStr">
        <is>
          <t>REQ-00620</t>
        </is>
      </c>
      <c r="B588" s="13" t="inlineStr">
        <is>
          <t>(2)  52.204-23, Prohibition on Contracting for Hardware, Software, and Services Developed or 
Provided by Kaspersky Lab Covered Entities  (Section 1634 of Pub. L. 115-91).(DEC 2023)</t>
        </is>
      </c>
      <c r="C588" t="inlineStr">
        <is>
          <t>UNASSIGNED</t>
        </is>
      </c>
      <c r="D588" t="inlineStr"/>
      <c r="E588" t="inlineStr"/>
      <c r="F588" t="inlineStr">
        <is>
          <t>General</t>
        </is>
      </c>
      <c r="G588" s="9" t="inlineStr">
        <is>
          <t>Desirable</t>
        </is>
      </c>
      <c r="H588" s="6" t="inlineStr">
        <is>
          <t>Medium</t>
        </is>
      </c>
      <c r="I588" t="inlineStr"/>
      <c r="J588" t="inlineStr">
        <is>
          <t>Not Started</t>
        </is>
      </c>
      <c r="K588" t="inlineStr"/>
      <c r="L588" t="inlineStr"/>
      <c r="M588" t="inlineStr"/>
      <c r="N588" t="inlineStr"/>
      <c r="O588" t="inlineStr"/>
      <c r="P588" t="inlineStr"/>
      <c r="Q588" t="inlineStr"/>
      <c r="R588" t="inlineStr"/>
      <c r="S588" t="inlineStr"/>
    </row>
    <row r="589">
      <c r="A589" t="inlineStr">
        <is>
          <t>REQ-00621</t>
        </is>
      </c>
      <c r="B589" s="13" t="inlineStr">
        <is>
          <t>(3)  52.204-25, Prohibition on Contracting for Certain Telecommunications and Video Surveillance 
Services or Equipment.  (Section 889(a)(1)(A) of Pub. L. 115-232).(NOV 2021)</t>
        </is>
      </c>
      <c r="C589" t="inlineStr">
        <is>
          <t>UNASSIGNED</t>
        </is>
      </c>
      <c r="D589" t="inlineStr"/>
      <c r="E589" t="inlineStr"/>
      <c r="F589" t="inlineStr">
        <is>
          <t>General</t>
        </is>
      </c>
      <c r="G589" s="9" t="inlineStr">
        <is>
          <t>Desirable</t>
        </is>
      </c>
      <c r="H589" s="6" t="inlineStr">
        <is>
          <t>Medium</t>
        </is>
      </c>
      <c r="I589" t="inlineStr"/>
      <c r="J589" t="inlineStr">
        <is>
          <t>Not Started</t>
        </is>
      </c>
      <c r="K589" t="inlineStr"/>
      <c r="L589" t="inlineStr"/>
      <c r="M589" t="inlineStr"/>
      <c r="N589" t="inlineStr"/>
      <c r="O589" t="inlineStr"/>
      <c r="P589" t="inlineStr"/>
      <c r="Q589" t="inlineStr"/>
      <c r="R589" t="inlineStr"/>
      <c r="S589" t="inlineStr"/>
    </row>
    <row r="590">
      <c r="A590" t="inlineStr">
        <is>
          <t>REQ-00622</t>
        </is>
      </c>
      <c r="B590" s="13" t="inlineStr">
        <is>
          <t>(4)  52.209-10, Prohibition on Contracting with Inverted Domestic Corporations .(NOV 2015)</t>
        </is>
      </c>
      <c r="C590" t="inlineStr">
        <is>
          <t>UNASSIGNED</t>
        </is>
      </c>
      <c r="D590" t="inlineStr"/>
      <c r="E590" t="inlineStr"/>
      <c r="F590" t="inlineStr">
        <is>
          <t>General</t>
        </is>
      </c>
      <c r="G590" s="9" t="inlineStr">
        <is>
          <t>Desirable</t>
        </is>
      </c>
      <c r="H590" s="6" t="inlineStr">
        <is>
          <t>Medium</t>
        </is>
      </c>
      <c r="I590" t="inlineStr"/>
      <c r="J590" t="inlineStr">
        <is>
          <t>Not Started</t>
        </is>
      </c>
      <c r="K590" t="inlineStr"/>
      <c r="L590" t="inlineStr"/>
      <c r="M590" t="inlineStr"/>
      <c r="N590" t="inlineStr"/>
      <c r="O590" t="inlineStr"/>
      <c r="P590" t="inlineStr"/>
      <c r="Q590" t="inlineStr"/>
      <c r="R590" t="inlineStr"/>
      <c r="S590" t="inlineStr"/>
    </row>
    <row r="591">
      <c r="A591" t="inlineStr">
        <is>
          <t>REQ-00623</t>
        </is>
      </c>
      <c r="B591" s="13" t="inlineStr">
        <is>
          <t>(5)  52.232-40, Providing Accelerated Payments to Small Business Subcontractors  (31 U.(MAR 2023)</t>
        </is>
      </c>
      <c r="C591" t="inlineStr">
        <is>
          <t>K</t>
        </is>
      </c>
      <c r="D591" t="inlineStr"/>
      <c r="E591" t="inlineStr"/>
      <c r="F591" t="inlineStr">
        <is>
          <t>Representation</t>
        </is>
      </c>
      <c r="G591" s="9" t="inlineStr">
        <is>
          <t>Desirable</t>
        </is>
      </c>
      <c r="H591" s="6" t="inlineStr">
        <is>
          <t>Medium</t>
        </is>
      </c>
      <c r="I591" t="inlineStr"/>
      <c r="J591" t="inlineStr">
        <is>
          <t>Not Started</t>
        </is>
      </c>
      <c r="K591" t="inlineStr"/>
      <c r="L591" t="inlineStr"/>
      <c r="M591" t="inlineStr"/>
      <c r="N591" t="inlineStr"/>
      <c r="O591" t="inlineStr"/>
      <c r="P591" t="inlineStr"/>
      <c r="Q591" t="inlineStr"/>
      <c r="R591" t="inlineStr"/>
      <c r="S591" t="inlineStr"/>
    </row>
    <row r="592">
      <c r="A592" t="inlineStr">
        <is>
          <t>REQ-00625</t>
        </is>
      </c>
      <c r="B592" s="13" t="inlineStr">
        <is>
          <t>(7)    52.233-4, Applicable Law for Breach of Contract Claim  (Public Laws 108-77 and (OCT 2004)
108-78 ( 19 U.S.C. 3805 note)).</t>
        </is>
      </c>
      <c r="C592" t="inlineStr">
        <is>
          <t>UNASSIGNED</t>
        </is>
      </c>
      <c r="D592" t="inlineStr"/>
      <c r="E592" t="inlineStr"/>
      <c r="F592" t="inlineStr">
        <is>
          <t>General</t>
        </is>
      </c>
      <c r="G592" s="9" t="inlineStr">
        <is>
          <t>Desirable</t>
        </is>
      </c>
      <c r="H592" s="6" t="inlineStr">
        <is>
          <t>Medium</t>
        </is>
      </c>
      <c r="I592" t="inlineStr"/>
      <c r="J592" t="inlineStr">
        <is>
          <t>Not Started</t>
        </is>
      </c>
      <c r="K592" t="inlineStr"/>
      <c r="L592" t="inlineStr"/>
      <c r="M592" t="inlineStr"/>
      <c r="N592" t="inlineStr"/>
      <c r="O592" t="inlineStr"/>
      <c r="P592" t="inlineStr"/>
      <c r="Q592" t="inlineStr"/>
      <c r="R592" t="inlineStr"/>
      <c r="S592" t="inlineStr"/>
    </row>
    <row r="593">
      <c r="A593" t="inlineStr">
        <is>
          <t>REQ-00626</t>
        </is>
      </c>
      <c r="B593" s="13" t="inlineStr">
        <is>
          <t>(b)  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 .]Contracting Officer check as appropriate</t>
        </is>
      </c>
      <c r="C593" t="inlineStr">
        <is>
          <t>B</t>
        </is>
      </c>
      <c r="D593" t="inlineStr"/>
      <c r="E593" t="inlineStr"/>
      <c r="F593" t="inlineStr">
        <is>
          <t>Pricing</t>
        </is>
      </c>
      <c r="G593" s="8" t="inlineStr">
        <is>
          <t>Mandatory</t>
        </is>
      </c>
      <c r="H593" s="5" t="inlineStr">
        <is>
          <t>High</t>
        </is>
      </c>
      <c r="I593" t="inlineStr"/>
      <c r="J593" t="inlineStr">
        <is>
          <t>Not Started</t>
        </is>
      </c>
      <c r="K593" t="inlineStr"/>
      <c r="L593" t="inlineStr"/>
      <c r="M593" t="inlineStr"/>
      <c r="N593" t="inlineStr"/>
      <c r="O593" t="inlineStr"/>
      <c r="P593" t="inlineStr"/>
      <c r="Q593" t="inlineStr"/>
      <c r="R593" t="inlineStr"/>
      <c r="S593" t="inlineStr"/>
    </row>
    <row r="594">
      <c r="A594" t="inlineStr">
        <is>
          <t>REQ-00627</t>
        </is>
      </c>
      <c r="B594" s="13" t="inlineStr">
        <is>
          <t>52.203-6, Restrictions on Subcontractor Sales to the Government  with  (1) (JUN 2020), Alternate I
(41 U.S.C. 4704 and 10 U.S.C. 4655). (NOV 2021)</t>
        </is>
      </c>
      <c r="C594" t="inlineStr">
        <is>
          <t>UNASSIGNED</t>
        </is>
      </c>
      <c r="D594" t="inlineStr"/>
      <c r="E594" t="inlineStr"/>
      <c r="F594" t="inlineStr">
        <is>
          <t>General</t>
        </is>
      </c>
      <c r="G594" s="9" t="inlineStr">
        <is>
          <t>Desirable</t>
        </is>
      </c>
      <c r="H594" s="6" t="inlineStr">
        <is>
          <t>Medium</t>
        </is>
      </c>
      <c r="I594" t="inlineStr"/>
      <c r="J594" t="inlineStr">
        <is>
          <t>Not Started</t>
        </is>
      </c>
      <c r="K594" t="inlineStr"/>
      <c r="L594" t="inlineStr"/>
      <c r="M594" t="inlineStr"/>
      <c r="N594" t="inlineStr"/>
      <c r="O594" t="inlineStr"/>
      <c r="P594" t="inlineStr"/>
      <c r="Q594" t="inlineStr"/>
      <c r="R594" t="inlineStr"/>
      <c r="S594" t="inlineStr"/>
    </row>
    <row r="595">
      <c r="A595" t="inlineStr">
        <is>
          <t>REQ-00628</t>
        </is>
      </c>
      <c r="B595" s="13" t="inlineStr">
        <is>
          <t>52.203-13, Contractor Code of Business Ethics and Conduct  (41 U.S.C. 3509)).(2) (NOV 2021)</t>
        </is>
      </c>
      <c r="C595" t="inlineStr">
        <is>
          <t>UNASSIGNED</t>
        </is>
      </c>
      <c r="D595" t="inlineStr"/>
      <c r="E595" t="inlineStr"/>
      <c r="F595" t="inlineStr">
        <is>
          <t>General</t>
        </is>
      </c>
      <c r="G595" s="9" t="inlineStr">
        <is>
          <t>Desirable</t>
        </is>
      </c>
      <c r="H595" s="6" t="inlineStr">
        <is>
          <t>Medium</t>
        </is>
      </c>
      <c r="I595" t="inlineStr"/>
      <c r="J595" t="inlineStr">
        <is>
          <t>Not Started</t>
        </is>
      </c>
      <c r="K595" t="inlineStr"/>
      <c r="L595" t="inlineStr"/>
      <c r="M595" t="inlineStr"/>
      <c r="N595" t="inlineStr"/>
      <c r="O595" t="inlineStr"/>
      <c r="P595" t="inlineStr"/>
      <c r="Q595" t="inlineStr"/>
      <c r="R595" t="inlineStr"/>
      <c r="S595" t="inlineStr"/>
    </row>
    <row r="596">
      <c r="A596" t="inlineStr">
        <is>
          <t>REQ-00629</t>
        </is>
      </c>
      <c r="B596" s="13" t="inlineStr">
        <is>
          <t>52.203-15, Whistleblower Protections under the American Recovery and Reinvestment Act of 2009 (3) 
 (Section 1553 of Pub. L. 111-5). (Applies to contracts funded by the American Recovery (JUN 2010)
and Reinvestment Act of 2009.)</t>
        </is>
      </c>
      <c r="C596" t="inlineStr">
        <is>
          <t>UNASSIGNED</t>
        </is>
      </c>
      <c r="D596" t="inlineStr"/>
      <c r="E596" t="inlineStr"/>
      <c r="F596" t="inlineStr">
        <is>
          <t>General</t>
        </is>
      </c>
      <c r="G596" s="9" t="inlineStr">
        <is>
          <t>Desirable</t>
        </is>
      </c>
      <c r="H596" s="6" t="inlineStr">
        <is>
          <t>Medium</t>
        </is>
      </c>
      <c r="I596" t="inlineStr"/>
      <c r="J596" t="inlineStr">
        <is>
          <t>Not Started</t>
        </is>
      </c>
      <c r="K596" t="inlineStr"/>
      <c r="L596" t="inlineStr"/>
      <c r="M596" t="inlineStr"/>
      <c r="N596" t="inlineStr"/>
      <c r="O596" t="inlineStr"/>
      <c r="P596" t="inlineStr"/>
      <c r="Q596" t="inlineStr"/>
      <c r="R596" t="inlineStr"/>
      <c r="S596" t="inlineStr"/>
    </row>
    <row r="597">
      <c r="A597" t="inlineStr">
        <is>
          <t>REQ-00630</t>
        </is>
      </c>
      <c r="B597" s="13" t="inlineStr">
        <is>
          <t>52.203-17, Contractor Employee Whistleblower Rights  (41 U.S.C. 4712); this clause (4) (NOV 2023)
does not apply to contracts of DoD, NASA, the Coast Guard, or applicable elements of the intelligence 
community-see FAR 3.900(a).</t>
        </is>
      </c>
      <c r="C597" t="inlineStr">
        <is>
          <t>UNASSIGNED</t>
        </is>
      </c>
      <c r="D597" t="inlineStr"/>
      <c r="E597" t="inlineStr"/>
      <c r="F597" t="inlineStr">
        <is>
          <t>General</t>
        </is>
      </c>
      <c r="G597" s="9" t="inlineStr">
        <is>
          <t>Desirable</t>
        </is>
      </c>
      <c r="H597" s="6" t="inlineStr">
        <is>
          <t>Medium</t>
        </is>
      </c>
      <c r="I597" t="inlineStr"/>
      <c r="J597" t="inlineStr">
        <is>
          <t>Not Started</t>
        </is>
      </c>
      <c r="K597" t="inlineStr"/>
      <c r="L597" t="inlineStr"/>
      <c r="M597" t="inlineStr"/>
      <c r="N597" t="inlineStr"/>
      <c r="O597" t="inlineStr"/>
      <c r="P597" t="inlineStr"/>
      <c r="Q597" t="inlineStr"/>
      <c r="R597" t="inlineStr"/>
      <c r="S597" t="inlineStr"/>
    </row>
    <row r="598">
      <c r="A598" t="inlineStr">
        <is>
          <t>REQ-00631</t>
        </is>
      </c>
      <c r="B598" s="13" t="inlineStr">
        <is>
          <t>52.204-10, Reporting Executive Compensation and First-Tier Subcontract Awards  (Pub. (5) (JUN 2020)</t>
        </is>
      </c>
      <c r="C598" t="inlineStr">
        <is>
          <t>UNASSIGNED</t>
        </is>
      </c>
      <c r="D598" t="inlineStr"/>
      <c r="E598" t="inlineStr"/>
      <c r="F598" t="inlineStr">
        <is>
          <t>General</t>
        </is>
      </c>
      <c r="G598" s="9" t="inlineStr">
        <is>
          <t>Desirable</t>
        </is>
      </c>
      <c r="H598" s="6" t="inlineStr">
        <is>
          <t>Medium</t>
        </is>
      </c>
      <c r="I598" t="inlineStr"/>
      <c r="J598" t="inlineStr">
        <is>
          <t>Not Started</t>
        </is>
      </c>
      <c r="K598" t="inlineStr"/>
      <c r="L598" t="inlineStr"/>
      <c r="M598" t="inlineStr"/>
      <c r="N598" t="inlineStr"/>
      <c r="O598" t="inlineStr"/>
      <c r="P598" t="inlineStr"/>
      <c r="Q598" t="inlineStr"/>
      <c r="R598" t="inlineStr"/>
      <c r="S598" t="inlineStr"/>
    </row>
    <row r="599">
      <c r="A599" t="inlineStr">
        <is>
          <t>REQ-00633</t>
        </is>
      </c>
      <c r="B599" s="13" t="inlineStr">
        <is>
          <t>52.204-14, Service Contract Reporting Requirements  (Pub. L. 111-117, section 743 of (7) (OCT 2016)
Div. C).</t>
        </is>
      </c>
      <c r="C599" t="inlineStr">
        <is>
          <t>UNASSIGNED</t>
        </is>
      </c>
      <c r="D599" t="inlineStr"/>
      <c r="E599" t="inlineStr"/>
      <c r="F599" t="inlineStr">
        <is>
          <t>General</t>
        </is>
      </c>
      <c r="G599" s="9" t="inlineStr">
        <is>
          <t>Desirable</t>
        </is>
      </c>
      <c r="H599" s="6" t="inlineStr">
        <is>
          <t>Medium</t>
        </is>
      </c>
      <c r="I599" t="inlineStr"/>
      <c r="J599" t="inlineStr">
        <is>
          <t>Not Started</t>
        </is>
      </c>
      <c r="K599" t="inlineStr"/>
      <c r="L599" t="inlineStr"/>
      <c r="M599" t="inlineStr"/>
      <c r="N599" t="inlineStr"/>
      <c r="O599" t="inlineStr"/>
      <c r="P599" t="inlineStr"/>
      <c r="Q599" t="inlineStr"/>
      <c r="R599" t="inlineStr"/>
      <c r="S599" t="inlineStr"/>
    </row>
    <row r="600">
      <c r="A600" t="inlineStr">
        <is>
          <t>REQ-00634</t>
        </is>
      </c>
      <c r="B600" s="13" t="inlineStr">
        <is>
          <t>52.204-15, Service Contract Reporting Requirements for Indefinite-Delivery Contracts  (8) (OCT 2016)
(Pub. L. 111-117, section 743 of Div. C).</t>
        </is>
      </c>
      <c r="C600" t="inlineStr">
        <is>
          <t>UNASSIGNED</t>
        </is>
      </c>
      <c r="D600" t="inlineStr"/>
      <c r="E600" t="inlineStr"/>
      <c r="F600" t="inlineStr">
        <is>
          <t>General</t>
        </is>
      </c>
      <c r="G600" s="9" t="inlineStr">
        <is>
          <t>Desirable</t>
        </is>
      </c>
      <c r="H600" s="6" t="inlineStr">
        <is>
          <t>Medium</t>
        </is>
      </c>
      <c r="I600" t="inlineStr"/>
      <c r="J600" t="inlineStr">
        <is>
          <t>Not Started</t>
        </is>
      </c>
      <c r="K600" t="inlineStr"/>
      <c r="L600" t="inlineStr"/>
      <c r="M600" t="inlineStr"/>
      <c r="N600" t="inlineStr"/>
      <c r="O600" t="inlineStr"/>
      <c r="P600" t="inlineStr"/>
      <c r="Q600" t="inlineStr"/>
      <c r="R600" t="inlineStr"/>
      <c r="S600" t="inlineStr"/>
    </row>
    <row r="601">
      <c r="A601" t="inlineStr">
        <is>
          <t>REQ-00635</t>
        </is>
      </c>
      <c r="B601" s="13" t="inlineStr">
        <is>
          <t>52.204-27, Prohibition on a ByteDance Covered Application  (Section 102 of Division R (9) (JUN 2023)
of Pub. L. 117-328).</t>
        </is>
      </c>
      <c r="C601" t="inlineStr">
        <is>
          <t>UNASSIGNED</t>
        </is>
      </c>
      <c r="D601" t="inlineStr"/>
      <c r="E601" t="inlineStr"/>
      <c r="F601" t="inlineStr">
        <is>
          <t>General</t>
        </is>
      </c>
      <c r="G601" s="9" t="inlineStr">
        <is>
          <t>Desirable</t>
        </is>
      </c>
      <c r="H601" s="6" t="inlineStr">
        <is>
          <t>Medium</t>
        </is>
      </c>
      <c r="I601" t="inlineStr"/>
      <c r="J601" t="inlineStr">
        <is>
          <t>Not Started</t>
        </is>
      </c>
      <c r="K601" t="inlineStr"/>
      <c r="L601" t="inlineStr"/>
      <c r="M601" t="inlineStr"/>
      <c r="N601" t="inlineStr"/>
      <c r="O601" t="inlineStr"/>
      <c r="P601" t="inlineStr"/>
      <c r="Q601" t="inlineStr"/>
      <c r="R601" t="inlineStr"/>
      <c r="S601" t="inlineStr"/>
    </row>
    <row r="602">
      <c r="A602" t="inlineStr">
        <is>
          <t>REQ-00636</t>
        </is>
      </c>
      <c r="B602" s="13" t="inlineStr">
        <is>
          <t>52.204-28, Federal Acquisition Supply Chain Security Act Orders-Federal Supply Schedules, (10) 
Governmentwide Acquisition Contracts, and Multi-Agency Contracts.  (Pub. L. 115-390, (DEC 2023)
title II).</t>
        </is>
      </c>
      <c r="C602" t="inlineStr">
        <is>
          <t>UNASSIGNED</t>
        </is>
      </c>
      <c r="D602" t="inlineStr"/>
      <c r="E602" t="inlineStr"/>
      <c r="F602" t="inlineStr">
        <is>
          <t>General</t>
        </is>
      </c>
      <c r="G602" s="9" t="inlineStr">
        <is>
          <t>Desirable</t>
        </is>
      </c>
      <c r="H602" s="6" t="inlineStr">
        <is>
          <t>Medium</t>
        </is>
      </c>
      <c r="I602" t="inlineStr"/>
      <c r="J602" t="inlineStr">
        <is>
          <t>Not Started</t>
        </is>
      </c>
      <c r="K602" t="inlineStr"/>
      <c r="L602" t="inlineStr"/>
      <c r="M602" t="inlineStr"/>
      <c r="N602" t="inlineStr"/>
      <c r="O602" t="inlineStr"/>
      <c r="P602" t="inlineStr"/>
      <c r="Q602" t="inlineStr"/>
      <c r="R602" t="inlineStr"/>
      <c r="S602" t="inlineStr"/>
    </row>
    <row r="603">
      <c r="A603" t="inlineStr">
        <is>
          <t>REQ-00637</t>
        </is>
      </c>
      <c r="B603" s="13" t="inlineStr">
        <is>
          <t>(i)  52.204-30, Federal Acquisition Supply Chain Security Act Orders-Prohibition.  (Pub. (DEC 2023)</t>
        </is>
      </c>
      <c r="C603" t="inlineStr">
        <is>
          <t>I</t>
        </is>
      </c>
      <c r="D603" t="inlineStr"/>
      <c r="E603" t="inlineStr"/>
      <c r="F603" t="inlineStr">
        <is>
          <t>Clause</t>
        </is>
      </c>
      <c r="G603" s="9" t="inlineStr">
        <is>
          <t>Desirable</t>
        </is>
      </c>
      <c r="H603" s="6" t="inlineStr">
        <is>
          <t>Medium</t>
        </is>
      </c>
      <c r="I603" t="inlineStr"/>
      <c r="J603" t="inlineStr">
        <is>
          <t>Not Started</t>
        </is>
      </c>
      <c r="K603" t="inlineStr"/>
      <c r="L603" t="inlineStr"/>
      <c r="M603" t="inlineStr"/>
      <c r="N603" t="inlineStr"/>
      <c r="O603" t="inlineStr"/>
      <c r="P603" t="inlineStr"/>
      <c r="Q603" t="inlineStr"/>
      <c r="R603" t="inlineStr"/>
      <c r="S603" t="inlineStr"/>
    </row>
    <row r="604">
      <c r="A604" t="inlineStr">
        <is>
          <t>REQ-00639</t>
        </is>
      </c>
      <c r="B604" s="13" t="inlineStr">
        <is>
          <t>52.209-6, Protecting the Government's Interest When Subcontracting with Contractors Debarred, (12) 
Suspended, or Proposed for Debarment.  (31 U.S.C. 6101 note).(NOV 2021)</t>
        </is>
      </c>
      <c r="C604" t="inlineStr">
        <is>
          <t>K</t>
        </is>
      </c>
      <c r="D604" t="inlineStr"/>
      <c r="E604" t="inlineStr"/>
      <c r="F604" t="inlineStr">
        <is>
          <t>Representation</t>
        </is>
      </c>
      <c r="G604" s="9" t="inlineStr">
        <is>
          <t>Desirable</t>
        </is>
      </c>
      <c r="H604" s="6" t="inlineStr">
        <is>
          <t>Medium</t>
        </is>
      </c>
      <c r="I604" t="inlineStr"/>
      <c r="J604" t="inlineStr">
        <is>
          <t>Not Started</t>
        </is>
      </c>
      <c r="K604" t="inlineStr"/>
      <c r="L604" t="inlineStr"/>
      <c r="M604" t="inlineStr"/>
      <c r="N604" t="inlineStr"/>
      <c r="O604" t="inlineStr"/>
      <c r="P604" t="inlineStr"/>
      <c r="Q604" t="inlineStr"/>
      <c r="R604" t="inlineStr"/>
      <c r="S604" t="inlineStr"/>
    </row>
    <row r="605">
      <c r="A605" t="inlineStr">
        <is>
          <t>REQ-00640</t>
        </is>
      </c>
      <c r="B605" s="13" t="inlineStr">
        <is>
          <t>52.209-9, Updates of Publicly Available Information Regarding Responsibility Matters (13) (OCT 2018)
(41 U.S.C. 2313).
 [Reserved].(14)</t>
        </is>
      </c>
      <c r="C605" t="inlineStr">
        <is>
          <t>UNASSIGNED</t>
        </is>
      </c>
      <c r="D605" t="inlineStr"/>
      <c r="E605" t="inlineStr"/>
      <c r="F605" t="inlineStr">
        <is>
          <t>General</t>
        </is>
      </c>
      <c r="G605" s="9" t="inlineStr">
        <is>
          <t>Desirable</t>
        </is>
      </c>
      <c r="H605" s="6" t="inlineStr">
        <is>
          <t>Medium</t>
        </is>
      </c>
      <c r="I605" t="inlineStr"/>
      <c r="J605" t="inlineStr">
        <is>
          <t>Not Started</t>
        </is>
      </c>
      <c r="K605" t="inlineStr"/>
      <c r="L605" t="inlineStr"/>
      <c r="M605" t="inlineStr"/>
      <c r="N605" t="inlineStr"/>
      <c r="O605" t="inlineStr"/>
      <c r="P605" t="inlineStr"/>
      <c r="Q605" t="inlineStr"/>
      <c r="R605" t="inlineStr"/>
      <c r="S605" t="inlineStr"/>
    </row>
    <row r="606">
      <c r="A606" t="inlineStr">
        <is>
          <t>REQ-00641</t>
        </is>
      </c>
      <c r="B606" s="13" t="inlineStr">
        <is>
          <t>52.219-3, Notice of HUBZone Set-Aside or Sole-Source Award ( ) (15 U.S.C. 657a).(15) OCT 2022</t>
        </is>
      </c>
      <c r="C606" t="inlineStr">
        <is>
          <t>UNASSIGNED</t>
        </is>
      </c>
      <c r="D606" t="inlineStr"/>
      <c r="E606" t="inlineStr"/>
      <c r="F606" t="inlineStr">
        <is>
          <t>General</t>
        </is>
      </c>
      <c r="G606" s="9" t="inlineStr">
        <is>
          <t>Desirable</t>
        </is>
      </c>
      <c r="H606" s="6" t="inlineStr">
        <is>
          <t>Medium</t>
        </is>
      </c>
      <c r="I606" t="inlineStr"/>
      <c r="J606" t="inlineStr">
        <is>
          <t>Not Started</t>
        </is>
      </c>
      <c r="K606" t="inlineStr"/>
      <c r="L606" t="inlineStr"/>
      <c r="M606" t="inlineStr"/>
      <c r="N606" t="inlineStr"/>
      <c r="O606" t="inlineStr"/>
      <c r="P606" t="inlineStr"/>
      <c r="Q606" t="inlineStr"/>
      <c r="R606" t="inlineStr"/>
      <c r="S606" t="inlineStr"/>
    </row>
    <row r="607">
      <c r="A607" t="inlineStr">
        <is>
          <t>REQ-00642</t>
        </is>
      </c>
      <c r="B607" s="13" t="inlineStr">
        <is>
          <t>52.219-4, Notice of Price Evaluation Preference for HUBZone Small Business Concerns ((16) OCT 
) (if the offeror elects to waive the preference, it shall so indicate in its offer) (15 U.S.C. 657a).2022
 [Reserved](17)</t>
        </is>
      </c>
      <c r="C607" t="inlineStr">
        <is>
          <t>K</t>
        </is>
      </c>
      <c r="D607" t="inlineStr"/>
      <c r="E607" t="inlineStr"/>
      <c r="F607" t="inlineStr">
        <is>
          <t>Representation</t>
        </is>
      </c>
      <c r="G607" s="8" t="inlineStr">
        <is>
          <t>Mandatory</t>
        </is>
      </c>
      <c r="H607" s="5" t="inlineStr">
        <is>
          <t>High</t>
        </is>
      </c>
      <c r="I607" t="inlineStr"/>
      <c r="J607" t="inlineStr">
        <is>
          <t>Not Started</t>
        </is>
      </c>
      <c r="K607" t="inlineStr"/>
      <c r="L607" t="inlineStr"/>
      <c r="M607" t="inlineStr"/>
      <c r="N607" t="inlineStr"/>
      <c r="O607" t="inlineStr"/>
      <c r="P607" t="inlineStr"/>
      <c r="Q607" t="inlineStr"/>
      <c r="R607" t="inlineStr"/>
      <c r="S607" t="inlineStr"/>
    </row>
    <row r="608">
      <c r="A608" t="inlineStr">
        <is>
          <t>REQ-00643</t>
        </is>
      </c>
      <c r="B608" s="13" t="inlineStr">
        <is>
          <t>(i)  52.219-6, Notice of Total Small Business Set-Aside  (15 U.S.C. 644).(NOV 2020)
DRAFT</t>
        </is>
      </c>
      <c r="C608" t="inlineStr">
        <is>
          <t>I</t>
        </is>
      </c>
      <c r="D608" t="inlineStr"/>
      <c r="E608" t="inlineStr"/>
      <c r="F608" t="inlineStr">
        <is>
          <t>Clause</t>
        </is>
      </c>
      <c r="G608" s="9" t="inlineStr">
        <is>
          <t>Desirable</t>
        </is>
      </c>
      <c r="H608" s="6" t="inlineStr">
        <is>
          <t>Medium</t>
        </is>
      </c>
      <c r="I608" t="inlineStr"/>
      <c r="J608" t="inlineStr">
        <is>
          <t>Not Started</t>
        </is>
      </c>
      <c r="K608" t="inlineStr"/>
      <c r="L608" t="inlineStr"/>
      <c r="M608" t="inlineStr"/>
      <c r="N608" t="inlineStr"/>
      <c r="O608" t="inlineStr"/>
      <c r="P608" t="inlineStr"/>
      <c r="Q608" t="inlineStr"/>
      <c r="R608" t="inlineStr"/>
      <c r="S608" t="inlineStr"/>
    </row>
    <row r="609">
      <c r="A609" t="inlineStr">
        <is>
          <t>REQ-00645</t>
        </is>
      </c>
      <c r="B609" s="13" t="inlineStr">
        <is>
          <t>(i)  52.219-7, Notice of Partial Small Business Set-Aside  (15 U.S.C. 644).(NOV 2020)
 Alternate I  of 52.219-7.(ii) (MAR 2020)</t>
        </is>
      </c>
      <c r="C609" t="inlineStr">
        <is>
          <t>I</t>
        </is>
      </c>
      <c r="D609" t="inlineStr"/>
      <c r="E609" t="inlineStr"/>
      <c r="F609" t="inlineStr">
        <is>
          <t>Clause</t>
        </is>
      </c>
      <c r="G609" s="9" t="inlineStr">
        <is>
          <t>Desirable</t>
        </is>
      </c>
      <c r="H609" s="6" t="inlineStr">
        <is>
          <t>Medium</t>
        </is>
      </c>
      <c r="I609" t="inlineStr"/>
      <c r="J609" t="inlineStr">
        <is>
          <t>Not Started</t>
        </is>
      </c>
      <c r="K609" t="inlineStr"/>
      <c r="L609" t="inlineStr"/>
      <c r="M609" t="inlineStr"/>
      <c r="N609" t="inlineStr"/>
      <c r="O609" t="inlineStr"/>
      <c r="P609" t="inlineStr"/>
      <c r="Q609" t="inlineStr"/>
      <c r="R609" t="inlineStr"/>
      <c r="S609" t="inlineStr"/>
    </row>
    <row r="610">
      <c r="A610" t="inlineStr">
        <is>
          <t>REQ-00646</t>
        </is>
      </c>
      <c r="B610" s="13" t="inlineStr">
        <is>
          <t>52.219-8, Utilization of Small Business Concerns ( ) (15 U.S.C. 637(d)(2) and (3)).(20) FEB 2024</t>
        </is>
      </c>
      <c r="C610" t="inlineStr">
        <is>
          <t>K</t>
        </is>
      </c>
      <c r="D610" t="inlineStr"/>
      <c r="E610" t="inlineStr"/>
      <c r="F610" t="inlineStr">
        <is>
          <t>Representation</t>
        </is>
      </c>
      <c r="G610" s="9" t="inlineStr">
        <is>
          <t>Desirable</t>
        </is>
      </c>
      <c r="H610" s="6" t="inlineStr">
        <is>
          <t>Medium</t>
        </is>
      </c>
      <c r="I610" t="inlineStr"/>
      <c r="J610" t="inlineStr">
        <is>
          <t>Not Started</t>
        </is>
      </c>
      <c r="K610" t="inlineStr"/>
      <c r="L610" t="inlineStr"/>
      <c r="M610" t="inlineStr"/>
      <c r="N610" t="inlineStr"/>
      <c r="O610" t="inlineStr"/>
      <c r="P610" t="inlineStr"/>
      <c r="Q610" t="inlineStr"/>
      <c r="R610" t="inlineStr"/>
      <c r="S610" t="inlineStr"/>
    </row>
    <row r="611">
      <c r="A611" t="inlineStr">
        <is>
          <t>REQ-00647</t>
        </is>
      </c>
      <c r="B611" s="13" t="inlineStr">
        <is>
          <t>(i)  52.219-9, Small Business Subcontracting Plan ( ) (15 U.S.C. 637(d)(4)).SEP 2023
 Alternate I  of 52.219-9.(ii) (NOV 2016)
 Alternate II  of 52.219-9.(iii) (NOV 2016)
 Alternate III  of 52.219-9.(iv) (JUN 2020)
 Alternate IV ( ) of 52.219-9.(v) SEP 2023</t>
        </is>
      </c>
      <c r="C611" t="inlineStr">
        <is>
          <t>I</t>
        </is>
      </c>
      <c r="D611" t="inlineStr"/>
      <c r="E611" t="inlineStr"/>
      <c r="F611" t="inlineStr">
        <is>
          <t>Clause</t>
        </is>
      </c>
      <c r="G611" s="9" t="inlineStr">
        <is>
          <t>Desirable</t>
        </is>
      </c>
      <c r="H611" s="6" t="inlineStr">
        <is>
          <t>Medium</t>
        </is>
      </c>
      <c r="I611" t="inlineStr"/>
      <c r="J611" t="inlineStr">
        <is>
          <t>Not Started</t>
        </is>
      </c>
      <c r="K611" t="inlineStr"/>
      <c r="L611" t="inlineStr"/>
      <c r="M611" t="inlineStr"/>
      <c r="N611" t="inlineStr"/>
      <c r="O611" t="inlineStr"/>
      <c r="P611" t="inlineStr"/>
      <c r="Q611" t="inlineStr"/>
      <c r="R611" t="inlineStr"/>
      <c r="S611" t="inlineStr"/>
    </row>
    <row r="612">
      <c r="A612" t="inlineStr">
        <is>
          <t>REQ-00648</t>
        </is>
      </c>
      <c r="B612" s="13" t="inlineStr">
        <is>
          <t>(i)  52.219-13, Notice of Set-Aside of Orders  (15 U.S.C. 644(r)).(MAR 2020)
 Alternate I  of 52.219-13.(ii) (MAR 2020)</t>
        </is>
      </c>
      <c r="C612" t="inlineStr">
        <is>
          <t>I</t>
        </is>
      </c>
      <c r="D612" t="inlineStr"/>
      <c r="E612" t="inlineStr"/>
      <c r="F612" t="inlineStr">
        <is>
          <t>Clause</t>
        </is>
      </c>
      <c r="G612" s="9" t="inlineStr">
        <is>
          <t>Desirable</t>
        </is>
      </c>
      <c r="H612" s="6" t="inlineStr">
        <is>
          <t>Medium</t>
        </is>
      </c>
      <c r="I612" t="inlineStr"/>
      <c r="J612" t="inlineStr">
        <is>
          <t>Not Started</t>
        </is>
      </c>
      <c r="K612" t="inlineStr"/>
      <c r="L612" t="inlineStr"/>
      <c r="M612" t="inlineStr"/>
      <c r="N612" t="inlineStr"/>
      <c r="O612" t="inlineStr"/>
      <c r="P612" t="inlineStr"/>
      <c r="Q612" t="inlineStr"/>
      <c r="R612" t="inlineStr"/>
      <c r="S612" t="inlineStr"/>
    </row>
    <row r="613">
      <c r="A613" t="inlineStr">
        <is>
          <t>REQ-00649</t>
        </is>
      </c>
      <c r="B613" s="13" t="inlineStr">
        <is>
          <t>52.219-14, Limitations on Subcontracting ( ) (15 U.S.C. 637s).(23) OCT 2022</t>
        </is>
      </c>
      <c r="C613" t="inlineStr">
        <is>
          <t>UNASSIGNED</t>
        </is>
      </c>
      <c r="D613" t="inlineStr"/>
      <c r="E613" t="inlineStr"/>
      <c r="F613" t="inlineStr">
        <is>
          <t>General</t>
        </is>
      </c>
      <c r="G613" s="9" t="inlineStr">
        <is>
          <t>Desirable</t>
        </is>
      </c>
      <c r="H613" s="6" t="inlineStr">
        <is>
          <t>Medium</t>
        </is>
      </c>
      <c r="I613" t="inlineStr"/>
      <c r="J613" t="inlineStr">
        <is>
          <t>Not Started</t>
        </is>
      </c>
      <c r="K613" t="inlineStr"/>
      <c r="L613" t="inlineStr"/>
      <c r="M613" t="inlineStr"/>
      <c r="N613" t="inlineStr"/>
      <c r="O613" t="inlineStr"/>
      <c r="P613" t="inlineStr"/>
      <c r="Q613" t="inlineStr"/>
      <c r="R613" t="inlineStr"/>
      <c r="S613" t="inlineStr"/>
    </row>
    <row r="614">
      <c r="A614" t="inlineStr">
        <is>
          <t>REQ-00650</t>
        </is>
      </c>
      <c r="B614" s="13" t="inlineStr">
        <is>
          <t>52.219-16, Liquidated Damages-Subcontracting Plan  (15 U.S.C. 637(d)(4)(F)(i)).(24) (SEP 2021)</t>
        </is>
      </c>
      <c r="C614" t="inlineStr">
        <is>
          <t>UNASSIGNED</t>
        </is>
      </c>
      <c r="D614" t="inlineStr"/>
      <c r="E614" t="inlineStr"/>
      <c r="F614" t="inlineStr">
        <is>
          <t>General</t>
        </is>
      </c>
      <c r="G614" s="9" t="inlineStr">
        <is>
          <t>Desirable</t>
        </is>
      </c>
      <c r="H614" s="6" t="inlineStr">
        <is>
          <t>Medium</t>
        </is>
      </c>
      <c r="I614" t="inlineStr"/>
      <c r="J614" t="inlineStr">
        <is>
          <t>Not Started</t>
        </is>
      </c>
      <c r="K614" t="inlineStr"/>
      <c r="L614" t="inlineStr"/>
      <c r="M614" t="inlineStr"/>
      <c r="N614" t="inlineStr"/>
      <c r="O614" t="inlineStr"/>
      <c r="P614" t="inlineStr"/>
      <c r="Q614" t="inlineStr"/>
      <c r="R614" t="inlineStr"/>
      <c r="S614" t="inlineStr"/>
    </row>
    <row r="615">
      <c r="A615" t="inlineStr">
        <is>
          <t>REQ-00651</t>
        </is>
      </c>
      <c r="B615" s="13" t="inlineStr">
        <is>
          <t>52.219-27, Notice of Set-Aside for, or Sole-Source Award to, Service-Disabled Veteran-Owned (25) 
Small Business (SDVOSB) Concerns Eligible Under the SDVOSB Program ( ) (15 U.S.FEB 2024</t>
        </is>
      </c>
      <c r="C615" t="inlineStr">
        <is>
          <t>K</t>
        </is>
      </c>
      <c r="D615" t="inlineStr"/>
      <c r="E615" t="inlineStr"/>
      <c r="F615" t="inlineStr">
        <is>
          <t>Representation</t>
        </is>
      </c>
      <c r="G615" s="9" t="inlineStr">
        <is>
          <t>Desirable</t>
        </is>
      </c>
      <c r="H615" s="6" t="inlineStr">
        <is>
          <t>Medium</t>
        </is>
      </c>
      <c r="I615" t="inlineStr"/>
      <c r="J615" t="inlineStr">
        <is>
          <t>Not Started</t>
        </is>
      </c>
      <c r="K615" t="inlineStr"/>
      <c r="L615" t="inlineStr"/>
      <c r="M615" t="inlineStr"/>
      <c r="N615" t="inlineStr"/>
      <c r="O615" t="inlineStr"/>
      <c r="P615" t="inlineStr"/>
      <c r="Q615" t="inlineStr"/>
      <c r="R615" t="inlineStr"/>
      <c r="S615" t="inlineStr"/>
    </row>
    <row r="616">
      <c r="A616" t="inlineStr">
        <is>
          <t>REQ-00652</t>
        </is>
      </c>
      <c r="B616" s="13" t="inlineStr">
        <is>
          <t>(i)  52.219-28, Post Award Small Business Program Rerepresentation ( ) (15 U.S.C. 632(a)FEB 2024</t>
        </is>
      </c>
      <c r="C616" t="inlineStr">
        <is>
          <t>I</t>
        </is>
      </c>
      <c r="D616" t="inlineStr"/>
      <c r="E616" t="inlineStr"/>
      <c r="F616" t="inlineStr">
        <is>
          <t>Clause</t>
        </is>
      </c>
      <c r="G616" s="9" t="inlineStr">
        <is>
          <t>Desirable</t>
        </is>
      </c>
      <c r="H616" s="6" t="inlineStr">
        <is>
          <t>Medium</t>
        </is>
      </c>
      <c r="I616" t="inlineStr"/>
      <c r="J616" t="inlineStr">
        <is>
          <t>Not Started</t>
        </is>
      </c>
      <c r="K616" t="inlineStr"/>
      <c r="L616" t="inlineStr"/>
      <c r="M616" t="inlineStr"/>
      <c r="N616" t="inlineStr"/>
      <c r="O616" t="inlineStr"/>
      <c r="P616" t="inlineStr"/>
      <c r="Q616" t="inlineStr"/>
      <c r="R616" t="inlineStr"/>
      <c r="S616" t="inlineStr"/>
    </row>
    <row r="617">
      <c r="A617" t="inlineStr">
        <is>
          <t>REQ-00654</t>
        </is>
      </c>
      <c r="B617" s="13" t="inlineStr">
        <is>
          <t>52.219-29, Notice of Set-Aside for, or Sole-Source Award to, Economically Disadvantaged (27) 
Women-Owned Small Business Concerns ( ) (15 U.S.C. 637(m)).OCT 2022</t>
        </is>
      </c>
      <c r="C617" t="inlineStr">
        <is>
          <t>K</t>
        </is>
      </c>
      <c r="D617" t="inlineStr"/>
      <c r="E617" t="inlineStr"/>
      <c r="F617" t="inlineStr">
        <is>
          <t>Representation</t>
        </is>
      </c>
      <c r="G617" s="9" t="inlineStr">
        <is>
          <t>Desirable</t>
        </is>
      </c>
      <c r="H617" s="6" t="inlineStr">
        <is>
          <t>Medium</t>
        </is>
      </c>
      <c r="I617" t="inlineStr"/>
      <c r="J617" t="inlineStr">
        <is>
          <t>Not Started</t>
        </is>
      </c>
      <c r="K617" t="inlineStr"/>
      <c r="L617" t="inlineStr"/>
      <c r="M617" t="inlineStr"/>
      <c r="N617" t="inlineStr"/>
      <c r="O617" t="inlineStr"/>
      <c r="P617" t="inlineStr"/>
      <c r="Q617" t="inlineStr"/>
      <c r="R617" t="inlineStr"/>
      <c r="S617" t="inlineStr"/>
    </row>
    <row r="618">
      <c r="A618" t="inlineStr">
        <is>
          <t>REQ-00655</t>
        </is>
      </c>
      <c r="B618" s="13" t="inlineStr">
        <is>
          <t>52.219-30, Notice of Set-Aside for, or Sole-Source Award to, Women-Owned Small Business (28) 
Concerns Eligible Under the Women-Owned Small Business Program ( ) (15 U.S.C. 637(m)).OCT 2022</t>
        </is>
      </c>
      <c r="C618" t="inlineStr">
        <is>
          <t>K</t>
        </is>
      </c>
      <c r="D618" t="inlineStr"/>
      <c r="E618" t="inlineStr"/>
      <c r="F618" t="inlineStr">
        <is>
          <t>Representation</t>
        </is>
      </c>
      <c r="G618" s="9" t="inlineStr">
        <is>
          <t>Desirable</t>
        </is>
      </c>
      <c r="H618" s="6" t="inlineStr">
        <is>
          <t>Medium</t>
        </is>
      </c>
      <c r="I618" t="inlineStr"/>
      <c r="J618" t="inlineStr">
        <is>
          <t>Not Started</t>
        </is>
      </c>
      <c r="K618" t="inlineStr"/>
      <c r="L618" t="inlineStr"/>
      <c r="M618" t="inlineStr"/>
      <c r="N618" t="inlineStr"/>
      <c r="O618" t="inlineStr"/>
      <c r="P618" t="inlineStr"/>
      <c r="Q618" t="inlineStr"/>
      <c r="R618" t="inlineStr"/>
      <c r="S618" t="inlineStr"/>
    </row>
    <row r="619">
      <c r="A619" t="inlineStr">
        <is>
          <t>REQ-00656</t>
        </is>
      </c>
      <c r="B619" s="13" t="inlineStr">
        <is>
          <t>52.219-32, Orders Issued Directly Under Small Business Reserves  (15 U.S.C. 644(r)).(29) (MAR 2020)</t>
        </is>
      </c>
      <c r="C619" t="inlineStr">
        <is>
          <t>K</t>
        </is>
      </c>
      <c r="D619" t="inlineStr"/>
      <c r="E619" t="inlineStr"/>
      <c r="F619" t="inlineStr">
        <is>
          <t>Representation</t>
        </is>
      </c>
      <c r="G619" s="9" t="inlineStr">
        <is>
          <t>Desirable</t>
        </is>
      </c>
      <c r="H619" s="6" t="inlineStr">
        <is>
          <t>Medium</t>
        </is>
      </c>
      <c r="I619" t="inlineStr"/>
      <c r="J619" t="inlineStr">
        <is>
          <t>Not Started</t>
        </is>
      </c>
      <c r="K619" t="inlineStr"/>
      <c r="L619" t="inlineStr"/>
      <c r="M619" t="inlineStr"/>
      <c r="N619" t="inlineStr"/>
      <c r="O619" t="inlineStr"/>
      <c r="P619" t="inlineStr"/>
      <c r="Q619" t="inlineStr"/>
      <c r="R619" t="inlineStr"/>
      <c r="S619" t="inlineStr"/>
    </row>
    <row r="620">
      <c r="A620" t="inlineStr">
        <is>
          <t>REQ-00659</t>
        </is>
      </c>
      <c r="B620" s="13" t="inlineStr">
        <is>
          <t>52.222-19, Child Labor-Cooperation with Authorities and Remedies .(32) (FEB 2024)</t>
        </is>
      </c>
      <c r="C620" t="inlineStr">
        <is>
          <t>UNASSIGNED</t>
        </is>
      </c>
      <c r="D620" t="inlineStr"/>
      <c r="E620" t="inlineStr"/>
      <c r="F620" t="inlineStr">
        <is>
          <t>General</t>
        </is>
      </c>
      <c r="G620" s="9" t="inlineStr">
        <is>
          <t>Desirable</t>
        </is>
      </c>
      <c r="H620" s="6" t="inlineStr">
        <is>
          <t>Medium</t>
        </is>
      </c>
      <c r="I620" t="inlineStr"/>
      <c r="J620" t="inlineStr">
        <is>
          <t>Not Started</t>
        </is>
      </c>
      <c r="K620" t="inlineStr"/>
      <c r="L620" t="inlineStr"/>
      <c r="M620" t="inlineStr"/>
      <c r="N620" t="inlineStr"/>
      <c r="O620" t="inlineStr"/>
      <c r="P620" t="inlineStr"/>
      <c r="Q620" t="inlineStr"/>
      <c r="R620" t="inlineStr"/>
      <c r="S620" t="inlineStr"/>
    </row>
    <row r="621">
      <c r="A621" t="inlineStr">
        <is>
          <t>REQ-00660</t>
        </is>
      </c>
      <c r="B621" s="13" t="inlineStr">
        <is>
          <t>52.222-21, Prohibition of Segregated Facilities .(33) (APR 2015)</t>
        </is>
      </c>
      <c r="C621" t="inlineStr">
        <is>
          <t>UNASSIGNED</t>
        </is>
      </c>
      <c r="D621" t="inlineStr"/>
      <c r="E621" t="inlineStr"/>
      <c r="F621" t="inlineStr">
        <is>
          <t>General</t>
        </is>
      </c>
      <c r="G621" s="9" t="inlineStr">
        <is>
          <t>Desirable</t>
        </is>
      </c>
      <c r="H621" s="6" t="inlineStr">
        <is>
          <t>Medium</t>
        </is>
      </c>
      <c r="I621" t="inlineStr"/>
      <c r="J621" t="inlineStr">
        <is>
          <t>Not Started</t>
        </is>
      </c>
      <c r="K621" t="inlineStr"/>
      <c r="L621" t="inlineStr"/>
      <c r="M621" t="inlineStr"/>
      <c r="N621" t="inlineStr"/>
      <c r="O621" t="inlineStr"/>
      <c r="P621" t="inlineStr"/>
      <c r="Q621" t="inlineStr"/>
      <c r="R621" t="inlineStr"/>
      <c r="S621" t="inlineStr"/>
    </row>
    <row r="622">
      <c r="A622" t="inlineStr">
        <is>
          <t>REQ-00662</t>
        </is>
      </c>
      <c r="B622" s="13" t="inlineStr">
        <is>
          <t>(i)  52.222-35, Equal Opportunity for Veterans  (38 U.S.C. 4212).(JUN 2020)
 Alternate I  of 52.222-35.(ii) (JUL 2014)</t>
        </is>
      </c>
      <c r="C622" t="inlineStr">
        <is>
          <t>I</t>
        </is>
      </c>
      <c r="D622" t="inlineStr"/>
      <c r="E622" t="inlineStr"/>
      <c r="F622" t="inlineStr">
        <is>
          <t>Clause</t>
        </is>
      </c>
      <c r="G622" s="9" t="inlineStr">
        <is>
          <t>Desirable</t>
        </is>
      </c>
      <c r="H622" s="6" t="inlineStr">
        <is>
          <t>Medium</t>
        </is>
      </c>
      <c r="I622" t="inlineStr"/>
      <c r="J622" t="inlineStr">
        <is>
          <t>Not Started</t>
        </is>
      </c>
      <c r="K622" t="inlineStr"/>
      <c r="L622" t="inlineStr"/>
      <c r="M622" t="inlineStr"/>
      <c r="N622" t="inlineStr"/>
      <c r="O622" t="inlineStr"/>
      <c r="P622" t="inlineStr"/>
      <c r="Q622" t="inlineStr"/>
      <c r="R622" t="inlineStr"/>
      <c r="S622" t="inlineStr"/>
    </row>
    <row r="623">
      <c r="A623" t="inlineStr">
        <is>
          <t>REQ-00663</t>
        </is>
      </c>
      <c r="B623" s="13" t="inlineStr">
        <is>
          <t>(i)  52.222-36, Equal Opportunity for Workers with Disabilities  (29 U.S.C. 793).(JUN 2020)
 Alternate I  of 52.222-36.(ii) (JUL 2014)</t>
        </is>
      </c>
      <c r="C623" t="inlineStr">
        <is>
          <t>I</t>
        </is>
      </c>
      <c r="D623" t="inlineStr"/>
      <c r="E623" t="inlineStr"/>
      <c r="F623" t="inlineStr">
        <is>
          <t>Clause</t>
        </is>
      </c>
      <c r="G623" s="9" t="inlineStr">
        <is>
          <t>Desirable</t>
        </is>
      </c>
      <c r="H623" s="6" t="inlineStr">
        <is>
          <t>Medium</t>
        </is>
      </c>
      <c r="I623" t="inlineStr"/>
      <c r="J623" t="inlineStr">
        <is>
          <t>Not Started</t>
        </is>
      </c>
      <c r="K623" t="inlineStr"/>
      <c r="L623" t="inlineStr"/>
      <c r="M623" t="inlineStr"/>
      <c r="N623" t="inlineStr"/>
      <c r="O623" t="inlineStr"/>
      <c r="P623" t="inlineStr"/>
      <c r="Q623" t="inlineStr"/>
      <c r="R623" t="inlineStr"/>
      <c r="S623" t="inlineStr"/>
    </row>
    <row r="624">
      <c r="A624" t="inlineStr">
        <is>
          <t>REQ-00664</t>
        </is>
      </c>
      <c r="B624" s="13" t="inlineStr">
        <is>
          <t>52.222-37, Employment Reports on Veterans ( ) (38 U.S.C. 4212).(37) JUN 2020</t>
        </is>
      </c>
      <c r="C624" t="inlineStr">
        <is>
          <t>UNASSIGNED</t>
        </is>
      </c>
      <c r="D624" t="inlineStr"/>
      <c r="E624" t="inlineStr"/>
      <c r="F624" t="inlineStr">
        <is>
          <t>General</t>
        </is>
      </c>
      <c r="G624" s="9" t="inlineStr">
        <is>
          <t>Desirable</t>
        </is>
      </c>
      <c r="H624" s="6" t="inlineStr">
        <is>
          <t>Medium</t>
        </is>
      </c>
      <c r="I624" t="inlineStr"/>
      <c r="J624" t="inlineStr">
        <is>
          <t>Not Started</t>
        </is>
      </c>
      <c r="K624" t="inlineStr"/>
      <c r="L624" t="inlineStr"/>
      <c r="M624" t="inlineStr"/>
      <c r="N624" t="inlineStr"/>
      <c r="O624" t="inlineStr"/>
      <c r="P624" t="inlineStr"/>
      <c r="Q624" t="inlineStr"/>
      <c r="R624" t="inlineStr"/>
      <c r="S624" t="inlineStr"/>
    </row>
    <row r="625">
      <c r="A625" t="inlineStr">
        <is>
          <t>REQ-00665</t>
        </is>
      </c>
      <c r="B625" s="13" t="inlineStr">
        <is>
          <t>52.222-40, Notification of Employee Rights Under the National Labor Relations Act  (38) (DEC 2010)
(E.O. 13496).
DRAFT</t>
        </is>
      </c>
      <c r="C625" t="inlineStr">
        <is>
          <t>UNASSIGNED</t>
        </is>
      </c>
      <c r="D625" t="inlineStr"/>
      <c r="E625" t="inlineStr"/>
      <c r="F625" t="inlineStr">
        <is>
          <t>General</t>
        </is>
      </c>
      <c r="G625" s="9" t="inlineStr">
        <is>
          <t>Desirable</t>
        </is>
      </c>
      <c r="H625" s="6" t="inlineStr">
        <is>
          <t>Medium</t>
        </is>
      </c>
      <c r="I625" t="inlineStr"/>
      <c r="J625" t="inlineStr">
        <is>
          <t>Not Started</t>
        </is>
      </c>
      <c r="K625" t="inlineStr"/>
      <c r="L625" t="inlineStr"/>
      <c r="M625" t="inlineStr"/>
      <c r="N625" t="inlineStr"/>
      <c r="O625" t="inlineStr"/>
      <c r="P625" t="inlineStr"/>
      <c r="Q625" t="inlineStr"/>
      <c r="R625" t="inlineStr"/>
      <c r="S625" t="inlineStr"/>
    </row>
    <row r="626">
      <c r="A626" t="inlineStr">
        <is>
          <t>REQ-00666</t>
        </is>
      </c>
      <c r="B626" s="13" t="inlineStr">
        <is>
          <t>(i)  52.222-50, Combating Trafficking in Persons  (22 U.S.C. chapter 78 and E.O. 13627).(NOV 2021)
 Alternate I  of 52.222-50 (22 U.S.C. chapter 78 and E.O. 13627).(ii) (MAR 2015)</t>
        </is>
      </c>
      <c r="C626" t="inlineStr">
        <is>
          <t>I</t>
        </is>
      </c>
      <c r="D626" t="inlineStr"/>
      <c r="E626" t="inlineStr"/>
      <c r="F626" t="inlineStr">
        <is>
          <t>Clause</t>
        </is>
      </c>
      <c r="G626" s="9" t="inlineStr">
        <is>
          <t>Desirable</t>
        </is>
      </c>
      <c r="H626" s="6" t="inlineStr">
        <is>
          <t>Medium</t>
        </is>
      </c>
      <c r="I626" t="inlineStr"/>
      <c r="J626" t="inlineStr">
        <is>
          <t>Not Started</t>
        </is>
      </c>
      <c r="K626" t="inlineStr"/>
      <c r="L626" t="inlineStr"/>
      <c r="M626" t="inlineStr"/>
      <c r="N626" t="inlineStr"/>
      <c r="O626" t="inlineStr"/>
      <c r="P626" t="inlineStr"/>
      <c r="Q626" t="inlineStr"/>
      <c r="R626" t="inlineStr"/>
      <c r="S626" t="inlineStr"/>
    </row>
    <row r="627">
      <c r="A627" t="inlineStr">
        <is>
          <t>REQ-00667</t>
        </is>
      </c>
      <c r="B627" s="13" t="inlineStr">
        <is>
          <t>52.222-54, Employment Eligibility Verification  (Executive Order 12989). (Not (40) (MAY 2022)
applicable to the acquisition of commercially available off-the-shelf items or certain other types of 
commercial products or commercial services as prescribed in FAR 22.1803.)</t>
        </is>
      </c>
      <c r="C627" t="inlineStr">
        <is>
          <t>UNASSIGNED</t>
        </is>
      </c>
      <c r="D627" t="inlineStr"/>
      <c r="E627" t="inlineStr"/>
      <c r="F627" t="inlineStr">
        <is>
          <t>General</t>
        </is>
      </c>
      <c r="G627" s="9" t="inlineStr">
        <is>
          <t>Desirable</t>
        </is>
      </c>
      <c r="H627" s="7" t="inlineStr">
        <is>
          <t>Low</t>
        </is>
      </c>
      <c r="I627" t="inlineStr"/>
      <c r="J627" t="inlineStr">
        <is>
          <t>Not Started</t>
        </is>
      </c>
      <c r="K627" t="inlineStr"/>
      <c r="L627" t="inlineStr"/>
      <c r="M627" t="inlineStr"/>
      <c r="N627" t="inlineStr"/>
      <c r="O627" t="inlineStr"/>
      <c r="P627" t="inlineStr"/>
      <c r="Q627" t="inlineStr"/>
      <c r="R627" t="inlineStr"/>
      <c r="S627" t="inlineStr"/>
    </row>
    <row r="628">
      <c r="A628" t="inlineStr">
        <is>
          <t>REQ-00668</t>
        </is>
      </c>
      <c r="B628" s="13" t="inlineStr">
        <is>
          <t>(i)  52.223-9, Estimate of Percentage of Recovered Material Content for EPA-Designated Items (May 
2008) ( 42 U.S.C. 6962(c)(3)(A)(ii)). (Not applicable to the acquisition of commercially available off-the-
shelf items.)
 Alternate I  of 52.223-9 (42 U.S.C. 6962(i)(2)(C)). (Not applicable to the acquisition of (ii) (MAY 2008)
commercially available off-the-shelf items.)</t>
        </is>
      </c>
      <c r="C628" t="inlineStr">
        <is>
          <t>I</t>
        </is>
      </c>
      <c r="D628" t="inlineStr"/>
      <c r="E628" t="inlineStr"/>
      <c r="F628" t="inlineStr">
        <is>
          <t>Clause</t>
        </is>
      </c>
      <c r="G628" s="9" t="inlineStr">
        <is>
          <t>Desirable</t>
        </is>
      </c>
      <c r="H628" s="7" t="inlineStr">
        <is>
          <t>Low</t>
        </is>
      </c>
      <c r="I628" t="inlineStr"/>
      <c r="J628" t="inlineStr">
        <is>
          <t>Not Started</t>
        </is>
      </c>
      <c r="K628" t="inlineStr"/>
      <c r="L628" t="inlineStr"/>
      <c r="M628" t="inlineStr"/>
      <c r="N628" t="inlineStr"/>
      <c r="O628" t="inlineStr"/>
      <c r="P628" t="inlineStr"/>
      <c r="Q628" t="inlineStr"/>
      <c r="R628" t="inlineStr"/>
      <c r="S628" t="inlineStr"/>
    </row>
    <row r="629">
      <c r="A629" t="inlineStr">
        <is>
          <t>REQ-00669</t>
        </is>
      </c>
      <c r="B629" s="13" t="inlineStr">
        <is>
          <t>(42) 52.223-11, Ozone-Depleting Substances and High Global Warming Potential Hydrofluorocarbons 
 (42 U.S.C. 7671, ).(MAY 2024) et seq.</t>
        </is>
      </c>
      <c r="C629" t="inlineStr">
        <is>
          <t>UNASSIGNED</t>
        </is>
      </c>
      <c r="D629" t="inlineStr"/>
      <c r="E629" t="inlineStr"/>
      <c r="F629" t="inlineStr">
        <is>
          <t>General</t>
        </is>
      </c>
      <c r="G629" s="9" t="inlineStr">
        <is>
          <t>Desirable</t>
        </is>
      </c>
      <c r="H629" s="7" t="inlineStr">
        <is>
          <t>Low</t>
        </is>
      </c>
      <c r="I629" t="inlineStr"/>
      <c r="J629" t="inlineStr">
        <is>
          <t>Not Started</t>
        </is>
      </c>
      <c r="K629" t="inlineStr"/>
      <c r="L629" t="inlineStr"/>
      <c r="M629" t="inlineStr"/>
      <c r="N629" t="inlineStr"/>
      <c r="O629" t="inlineStr"/>
      <c r="P629" t="inlineStr"/>
      <c r="Q629" t="inlineStr"/>
      <c r="R629" t="inlineStr"/>
      <c r="S629" t="inlineStr"/>
    </row>
    <row r="630">
      <c r="A630" t="inlineStr">
        <is>
          <t>REQ-00670</t>
        </is>
      </c>
      <c r="B630" s="13" t="inlineStr">
        <is>
          <t>(43) 52.223-12, Maintenance, Service, Repair, or Disposal of Refrigeration Equipment and Air 
Conditioners  (42 U.S.C. 7671, ).(MAY 2024) et seq.</t>
        </is>
      </c>
      <c r="C630" t="inlineStr">
        <is>
          <t>UNASSIGNED</t>
        </is>
      </c>
      <c r="D630" t="inlineStr"/>
      <c r="E630" t="inlineStr"/>
      <c r="F630" t="inlineStr">
        <is>
          <t>General</t>
        </is>
      </c>
      <c r="G630" s="9" t="inlineStr">
        <is>
          <t>Desirable</t>
        </is>
      </c>
      <c r="H630" s="7" t="inlineStr">
        <is>
          <t>Low</t>
        </is>
      </c>
      <c r="I630" t="inlineStr"/>
      <c r="J630" t="inlineStr">
        <is>
          <t>Not Started</t>
        </is>
      </c>
      <c r="K630" t="inlineStr"/>
      <c r="L630" t="inlineStr"/>
      <c r="M630" t="inlineStr"/>
      <c r="N630" t="inlineStr"/>
      <c r="O630" t="inlineStr"/>
      <c r="P630" t="inlineStr"/>
      <c r="Q630" t="inlineStr"/>
      <c r="R630" t="inlineStr"/>
      <c r="S630" t="inlineStr"/>
    </row>
    <row r="631">
      <c r="A631" t="inlineStr">
        <is>
          <t>REQ-00675</t>
        </is>
      </c>
      <c r="B631" s="13" t="inlineStr">
        <is>
          <t>(i)  52.225-1, Buy American-Supplies  (41 U.S.C. chapter 83).(OCT 2022)
DRAFT</t>
        </is>
      </c>
      <c r="C631" t="inlineStr">
        <is>
          <t>I</t>
        </is>
      </c>
      <c r="D631" t="inlineStr"/>
      <c r="E631" t="inlineStr"/>
      <c r="F631" t="inlineStr">
        <is>
          <t>Clause</t>
        </is>
      </c>
      <c r="G631" s="9" t="inlineStr">
        <is>
          <t>Desirable</t>
        </is>
      </c>
      <c r="H631" s="6" t="inlineStr">
        <is>
          <t>Medium</t>
        </is>
      </c>
      <c r="I631" t="inlineStr"/>
      <c r="J631" t="inlineStr">
        <is>
          <t>Not Started</t>
        </is>
      </c>
      <c r="K631" t="inlineStr"/>
      <c r="L631" t="inlineStr"/>
      <c r="M631" t="inlineStr"/>
      <c r="N631" t="inlineStr"/>
      <c r="O631" t="inlineStr"/>
      <c r="P631" t="inlineStr"/>
      <c r="Q631" t="inlineStr"/>
      <c r="R631" t="inlineStr"/>
      <c r="S631" t="inlineStr"/>
    </row>
    <row r="632">
      <c r="A632" t="inlineStr">
        <is>
          <t>REQ-00679</t>
        </is>
      </c>
      <c r="B632" s="13" t="inlineStr">
        <is>
          <t>52.225-13, Restrictions on Certain Foreign Purchases  (E.O.'s, proclamations, and (51) (FEB 2021)
statutes administered by the Office of Foreign Assets Control of the Department of the Treasury).</t>
        </is>
      </c>
      <c r="C632" t="inlineStr">
        <is>
          <t>UNASSIGNED</t>
        </is>
      </c>
      <c r="D632" t="inlineStr"/>
      <c r="E632" t="inlineStr"/>
      <c r="F632" t="inlineStr">
        <is>
          <t>General</t>
        </is>
      </c>
      <c r="G632" s="9" t="inlineStr">
        <is>
          <t>Desirable</t>
        </is>
      </c>
      <c r="H632" s="6" t="inlineStr">
        <is>
          <t>Medium</t>
        </is>
      </c>
      <c r="I632" t="inlineStr"/>
      <c r="J632" t="inlineStr">
        <is>
          <t>Not Started</t>
        </is>
      </c>
      <c r="K632" t="inlineStr"/>
      <c r="L632" t="inlineStr"/>
      <c r="M632" t="inlineStr"/>
      <c r="N632" t="inlineStr"/>
      <c r="O632" t="inlineStr"/>
      <c r="P632" t="inlineStr"/>
      <c r="Q632" t="inlineStr"/>
      <c r="R632" t="inlineStr"/>
      <c r="S632" t="inlineStr"/>
    </row>
    <row r="633">
      <c r="A633" t="inlineStr">
        <is>
          <t>REQ-00680</t>
        </is>
      </c>
      <c r="B633" s="13" t="inlineStr">
        <is>
          <t>52.225-26, Contractors Performing Private Security Functions Outside the United States (Oct 2016) (52) 
(Section 862, as amended, of the National Defense Authorization Act for Fiscal Year 2008; 10 U.S.C. 
Subtitle A, Part V, Subpart G Note).</t>
        </is>
      </c>
      <c r="C633" t="inlineStr">
        <is>
          <t>UNASSIGNED</t>
        </is>
      </c>
      <c r="D633" t="inlineStr"/>
      <c r="E633" t="inlineStr"/>
      <c r="F633" t="inlineStr">
        <is>
          <t>General</t>
        </is>
      </c>
      <c r="G633" s="9" t="inlineStr">
        <is>
          <t>Desirable</t>
        </is>
      </c>
      <c r="H633" s="6" t="inlineStr">
        <is>
          <t>Medium</t>
        </is>
      </c>
      <c r="I633" t="inlineStr"/>
      <c r="J633" t="inlineStr">
        <is>
          <t>Not Started</t>
        </is>
      </c>
      <c r="K633" t="inlineStr"/>
      <c r="L633" t="inlineStr"/>
      <c r="M633" t="inlineStr"/>
      <c r="N633" t="inlineStr"/>
      <c r="O633" t="inlineStr"/>
      <c r="P633" t="inlineStr"/>
      <c r="Q633" t="inlineStr"/>
      <c r="R633" t="inlineStr"/>
      <c r="S633" t="inlineStr"/>
    </row>
    <row r="634">
      <c r="A634" t="inlineStr">
        <is>
          <t>REQ-00681</t>
        </is>
      </c>
      <c r="B634" s="13" t="inlineStr">
        <is>
          <t>52.226-4, Notice of Disaster or Emergency Area Set-Aside (Nov 2007) (42 U.S.C. 5150).(53)</t>
        </is>
      </c>
      <c r="C634" t="inlineStr">
        <is>
          <t>UNASSIGNED</t>
        </is>
      </c>
      <c r="D634" t="inlineStr"/>
      <c r="E634" t="inlineStr"/>
      <c r="F634" t="inlineStr">
        <is>
          <t>General</t>
        </is>
      </c>
      <c r="G634" s="9" t="inlineStr">
        <is>
          <t>Desirable</t>
        </is>
      </c>
      <c r="H634" s="6" t="inlineStr">
        <is>
          <t>Medium</t>
        </is>
      </c>
      <c r="I634" t="inlineStr"/>
      <c r="J634" t="inlineStr">
        <is>
          <t>Not Started</t>
        </is>
      </c>
      <c r="K634" t="inlineStr"/>
      <c r="L634" t="inlineStr"/>
      <c r="M634" t="inlineStr"/>
      <c r="N634" t="inlineStr"/>
      <c r="O634" t="inlineStr"/>
      <c r="P634" t="inlineStr"/>
      <c r="Q634" t="inlineStr"/>
      <c r="R634" t="inlineStr"/>
      <c r="S634" t="inlineStr"/>
    </row>
    <row r="635">
      <c r="A635" t="inlineStr">
        <is>
          <t>REQ-00682</t>
        </is>
      </c>
      <c r="B635" s="13" t="inlineStr">
        <is>
          <t>52.226-5, Restrictions on Subcontracting Outside Disaster or Emergency Area  (42 U.(54) (NOV 2007)</t>
        </is>
      </c>
      <c r="C635" t="inlineStr">
        <is>
          <t>UNASSIGNED</t>
        </is>
      </c>
      <c r="D635" t="inlineStr"/>
      <c r="E635" t="inlineStr"/>
      <c r="F635" t="inlineStr">
        <is>
          <t>General</t>
        </is>
      </c>
      <c r="G635" s="9" t="inlineStr">
        <is>
          <t>Desirable</t>
        </is>
      </c>
      <c r="H635" s="6" t="inlineStr">
        <is>
          <t>Medium</t>
        </is>
      </c>
      <c r="I635" t="inlineStr"/>
      <c r="J635" t="inlineStr">
        <is>
          <t>Not Started</t>
        </is>
      </c>
      <c r="K635" t="inlineStr"/>
      <c r="L635" t="inlineStr"/>
      <c r="M635" t="inlineStr"/>
      <c r="N635" t="inlineStr"/>
      <c r="O635" t="inlineStr"/>
      <c r="P635" t="inlineStr"/>
      <c r="Q635" t="inlineStr"/>
      <c r="R635" t="inlineStr"/>
      <c r="S635" t="inlineStr"/>
    </row>
    <row r="636">
      <c r="A636" t="inlineStr">
        <is>
          <t>REQ-00683</t>
        </is>
      </c>
      <c r="B636" s="13" t="inlineStr">
        <is>
          <t>(55) 52.226-8, Encouraging Contractor Policies to Ban Text Messaging While Driving  (E.(MAY 2024)</t>
        </is>
      </c>
      <c r="C636" t="inlineStr">
        <is>
          <t>UNASSIGNED</t>
        </is>
      </c>
      <c r="D636" t="inlineStr"/>
      <c r="E636" t="inlineStr"/>
      <c r="F636" t="inlineStr">
        <is>
          <t>General</t>
        </is>
      </c>
      <c r="G636" s="9" t="inlineStr">
        <is>
          <t>Desirable</t>
        </is>
      </c>
      <c r="H636" s="7" t="inlineStr">
        <is>
          <t>Low</t>
        </is>
      </c>
      <c r="I636" t="inlineStr"/>
      <c r="J636" t="inlineStr">
        <is>
          <t>Not Started</t>
        </is>
      </c>
      <c r="K636" t="inlineStr"/>
      <c r="L636" t="inlineStr"/>
      <c r="M636" t="inlineStr"/>
      <c r="N636" t="inlineStr"/>
      <c r="O636" t="inlineStr"/>
      <c r="P636" t="inlineStr"/>
      <c r="Q636" t="inlineStr"/>
      <c r="R636" t="inlineStr"/>
      <c r="S636" t="inlineStr"/>
    </row>
    <row r="637">
      <c r="A637" t="inlineStr">
        <is>
          <t>REQ-00684</t>
        </is>
      </c>
      <c r="B637" s="13" t="inlineStr">
        <is>
          <t>52.229-12, Tax on Certain Foreign Procurements .(56) (FEB 2021)</t>
        </is>
      </c>
      <c r="C637" t="inlineStr">
        <is>
          <t>UNASSIGNED</t>
        </is>
      </c>
      <c r="D637" t="inlineStr"/>
      <c r="E637" t="inlineStr"/>
      <c r="F637" t="inlineStr">
        <is>
          <t>General</t>
        </is>
      </c>
      <c r="G637" s="9" t="inlineStr">
        <is>
          <t>Desirable</t>
        </is>
      </c>
      <c r="H637" s="6" t="inlineStr">
        <is>
          <t>Medium</t>
        </is>
      </c>
      <c r="I637" t="inlineStr"/>
      <c r="J637" t="inlineStr">
        <is>
          <t>Not Started</t>
        </is>
      </c>
      <c r="K637" t="inlineStr"/>
      <c r="L637" t="inlineStr"/>
      <c r="M637" t="inlineStr"/>
      <c r="N637" t="inlineStr"/>
      <c r="O637" t="inlineStr"/>
      <c r="P637" t="inlineStr"/>
      <c r="Q637" t="inlineStr"/>
      <c r="R637" t="inlineStr"/>
      <c r="S637" t="inlineStr"/>
    </row>
    <row r="638">
      <c r="A638" t="inlineStr">
        <is>
          <t>REQ-00685</t>
        </is>
      </c>
      <c r="B638" s="13" t="inlineStr">
        <is>
          <t>52.232-29, Terms for Financing of Purchases of Commercial Products and Commercial Services (57) 
 (41 U.S.C. 4505, 10 U.S.C. 3805).(NOV 2021)
DRAFT</t>
        </is>
      </c>
      <c r="C638" t="inlineStr">
        <is>
          <t>UNASSIGNED</t>
        </is>
      </c>
      <c r="D638" t="inlineStr"/>
      <c r="E638" t="inlineStr"/>
      <c r="F638" t="inlineStr">
        <is>
          <t>General</t>
        </is>
      </c>
      <c r="G638" s="9" t="inlineStr">
        <is>
          <t>Desirable</t>
        </is>
      </c>
      <c r="H638" s="6" t="inlineStr">
        <is>
          <t>Medium</t>
        </is>
      </c>
      <c r="I638" t="inlineStr"/>
      <c r="J638" t="inlineStr">
        <is>
          <t>Not Started</t>
        </is>
      </c>
      <c r="K638" t="inlineStr"/>
      <c r="L638" t="inlineStr"/>
      <c r="M638" t="inlineStr"/>
      <c r="N638" t="inlineStr"/>
      <c r="O638" t="inlineStr"/>
      <c r="P638" t="inlineStr"/>
      <c r="Q638" t="inlineStr"/>
      <c r="R638" t="inlineStr"/>
      <c r="S638" t="inlineStr"/>
    </row>
    <row r="639">
      <c r="A639" t="inlineStr">
        <is>
          <t>REQ-00686</t>
        </is>
      </c>
      <c r="B639" s="13" t="inlineStr">
        <is>
          <t>52.232-30, Installment Payments for Commercial Products and Commercial Services  (58) (NOV 2021)
(41 U.S.C. 4505, 10 U.S.C. 3805).</t>
        </is>
      </c>
      <c r="C639" t="inlineStr">
        <is>
          <t>UNASSIGNED</t>
        </is>
      </c>
      <c r="D639" t="inlineStr"/>
      <c r="E639" t="inlineStr"/>
      <c r="F639" t="inlineStr">
        <is>
          <t>General</t>
        </is>
      </c>
      <c r="G639" s="9" t="inlineStr">
        <is>
          <t>Desirable</t>
        </is>
      </c>
      <c r="H639" s="6" t="inlineStr">
        <is>
          <t>Medium</t>
        </is>
      </c>
      <c r="I639" t="inlineStr"/>
      <c r="J639" t="inlineStr">
        <is>
          <t>Not Started</t>
        </is>
      </c>
      <c r="K639" t="inlineStr"/>
      <c r="L639" t="inlineStr"/>
      <c r="M639" t="inlineStr"/>
      <c r="N639" t="inlineStr"/>
      <c r="O639" t="inlineStr"/>
      <c r="P639" t="inlineStr"/>
      <c r="Q639" t="inlineStr"/>
      <c r="R639" t="inlineStr"/>
      <c r="S639" t="inlineStr"/>
    </row>
    <row r="640">
      <c r="A640" t="inlineStr">
        <is>
          <t>REQ-00687</t>
        </is>
      </c>
      <c r="B640" s="13" t="inlineStr">
        <is>
          <t>52.232-33, Payment by Electronic Funds Transfer-System for Award Management  (59) (OCT2018)
(31 U.S.C. 3332).</t>
        </is>
      </c>
      <c r="C640" t="inlineStr">
        <is>
          <t>UNASSIGNED</t>
        </is>
      </c>
      <c r="D640" t="inlineStr"/>
      <c r="E640" t="inlineStr"/>
      <c r="F640" t="inlineStr">
        <is>
          <t>General</t>
        </is>
      </c>
      <c r="G640" s="9" t="inlineStr">
        <is>
          <t>Desirable</t>
        </is>
      </c>
      <c r="H640" s="6" t="inlineStr">
        <is>
          <t>Medium</t>
        </is>
      </c>
      <c r="I640" t="inlineStr"/>
      <c r="J640" t="inlineStr">
        <is>
          <t>Not Started</t>
        </is>
      </c>
      <c r="K640" t="inlineStr"/>
      <c r="L640" t="inlineStr"/>
      <c r="M640" t="inlineStr"/>
      <c r="N640" t="inlineStr"/>
      <c r="O640" t="inlineStr"/>
      <c r="P640" t="inlineStr"/>
      <c r="Q640" t="inlineStr"/>
      <c r="R640" t="inlineStr"/>
      <c r="S640" t="inlineStr"/>
    </row>
    <row r="641">
      <c r="A641" t="inlineStr">
        <is>
          <t>REQ-00688</t>
        </is>
      </c>
      <c r="B641" s="13" t="inlineStr">
        <is>
          <t>52.232-34, Payment by Electronic Funds Transfer-Other than System for Award Management (Jul (60) 
2013) (31 U.S.C. 3332).</t>
        </is>
      </c>
      <c r="C641" t="inlineStr">
        <is>
          <t>UNASSIGNED</t>
        </is>
      </c>
      <c r="D641" t="inlineStr"/>
      <c r="E641" t="inlineStr"/>
      <c r="F641" t="inlineStr">
        <is>
          <t>General</t>
        </is>
      </c>
      <c r="G641" s="9" t="inlineStr">
        <is>
          <t>Desirable</t>
        </is>
      </c>
      <c r="H641" s="6" t="inlineStr">
        <is>
          <t>Medium</t>
        </is>
      </c>
      <c r="I641" t="inlineStr"/>
      <c r="J641" t="inlineStr">
        <is>
          <t>Not Started</t>
        </is>
      </c>
      <c r="K641" t="inlineStr"/>
      <c r="L641" t="inlineStr"/>
      <c r="M641" t="inlineStr"/>
      <c r="N641" t="inlineStr"/>
      <c r="O641" t="inlineStr"/>
      <c r="P641" t="inlineStr"/>
      <c r="Q641" t="inlineStr"/>
      <c r="R641" t="inlineStr"/>
      <c r="S641" t="inlineStr"/>
    </row>
    <row r="642">
      <c r="A642" t="inlineStr">
        <is>
          <t>REQ-00690</t>
        </is>
      </c>
      <c r="B642" s="13" t="inlineStr">
        <is>
          <t>52.239-1, Privacy or Security Safeguards  (5 U.S.C. 552a).(62) (AUG 1996)</t>
        </is>
      </c>
      <c r="C642" t="inlineStr">
        <is>
          <t>UNASSIGNED</t>
        </is>
      </c>
      <c r="D642" t="inlineStr"/>
      <c r="E642" t="inlineStr"/>
      <c r="F642" t="inlineStr">
        <is>
          <t>General</t>
        </is>
      </c>
      <c r="G642" s="9" t="inlineStr">
        <is>
          <t>Desirable</t>
        </is>
      </c>
      <c r="H642" s="6" t="inlineStr">
        <is>
          <t>Medium</t>
        </is>
      </c>
      <c r="I642" t="inlineStr"/>
      <c r="J642" t="inlineStr">
        <is>
          <t>Not Started</t>
        </is>
      </c>
      <c r="K642" t="inlineStr"/>
      <c r="L642" t="inlineStr"/>
      <c r="M642" t="inlineStr"/>
      <c r="N642" t="inlineStr"/>
      <c r="O642" t="inlineStr"/>
      <c r="P642" t="inlineStr"/>
      <c r="Q642" t="inlineStr"/>
      <c r="R642" t="inlineStr"/>
      <c r="S642" t="inlineStr"/>
    </row>
    <row r="643">
      <c r="A643" t="inlineStr">
        <is>
          <t>REQ-00691</t>
        </is>
      </c>
      <c r="B643" s="13" t="inlineStr">
        <is>
          <t>52.242-5, Payments to Small Business Subcontractors  (15 U.S.C. 637(d)(13)).(63) (JAN 2017)</t>
        </is>
      </c>
      <c r="C643" t="inlineStr">
        <is>
          <t>K</t>
        </is>
      </c>
      <c r="D643" t="inlineStr"/>
      <c r="E643" t="inlineStr"/>
      <c r="F643" t="inlineStr">
        <is>
          <t>Representation</t>
        </is>
      </c>
      <c r="G643" s="9" t="inlineStr">
        <is>
          <t>Desirable</t>
        </is>
      </c>
      <c r="H643" s="6" t="inlineStr">
        <is>
          <t>Medium</t>
        </is>
      </c>
      <c r="I643" t="inlineStr"/>
      <c r="J643" t="inlineStr">
        <is>
          <t>Not Started</t>
        </is>
      </c>
      <c r="K643" t="inlineStr"/>
      <c r="L643" t="inlineStr"/>
      <c r="M643" t="inlineStr"/>
      <c r="N643" t="inlineStr"/>
      <c r="O643" t="inlineStr"/>
      <c r="P643" t="inlineStr"/>
      <c r="Q643" t="inlineStr"/>
      <c r="R643" t="inlineStr"/>
      <c r="S643" t="inlineStr"/>
    </row>
    <row r="644">
      <c r="A644" t="inlineStr">
        <is>
          <t>REQ-00692</t>
        </is>
      </c>
      <c r="B644" s="13" t="inlineStr">
        <is>
          <t>(i)  52.247-64, Preference for Privately Owned U.S.-Flag Commercial Vessels  (46 U.S.(NOV 2021)</t>
        </is>
      </c>
      <c r="C644" t="inlineStr">
        <is>
          <t>I</t>
        </is>
      </c>
      <c r="D644" t="inlineStr"/>
      <c r="E644" t="inlineStr"/>
      <c r="F644" t="inlineStr">
        <is>
          <t>Clause</t>
        </is>
      </c>
      <c r="G644" s="9" t="inlineStr">
        <is>
          <t>Desirable</t>
        </is>
      </c>
      <c r="H644" s="6" t="inlineStr">
        <is>
          <t>Medium</t>
        </is>
      </c>
      <c r="I644" t="inlineStr"/>
      <c r="J644" t="inlineStr">
        <is>
          <t>Not Started</t>
        </is>
      </c>
      <c r="K644" t="inlineStr"/>
      <c r="L644" t="inlineStr"/>
      <c r="M644" t="inlineStr"/>
      <c r="N644" t="inlineStr"/>
      <c r="O644" t="inlineStr"/>
      <c r="P644" t="inlineStr"/>
      <c r="Q644" t="inlineStr"/>
      <c r="R644" t="inlineStr"/>
      <c r="S644" t="inlineStr"/>
    </row>
    <row r="645">
      <c r="A645" t="inlineStr">
        <is>
          <t>REQ-00694</t>
        </is>
      </c>
      <c r="B645" s="13" t="inlineStr">
        <is>
          <t>(c)  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 ]Contracting Officer check as appropriate.</t>
        </is>
      </c>
      <c r="C645" t="inlineStr">
        <is>
          <t>C</t>
        </is>
      </c>
      <c r="D645" t="inlineStr"/>
      <c r="E645" t="inlineStr"/>
      <c r="F645" t="inlineStr">
        <is>
          <t>Technical Requirement</t>
        </is>
      </c>
      <c r="G645" s="8" t="inlineStr">
        <is>
          <t>Mandatory</t>
        </is>
      </c>
      <c r="H645" s="5" t="inlineStr">
        <is>
          <t>High</t>
        </is>
      </c>
      <c r="I645" t="inlineStr"/>
      <c r="J645" t="inlineStr">
        <is>
          <t>Not Started</t>
        </is>
      </c>
      <c r="K645" t="inlineStr"/>
      <c r="L645" t="inlineStr"/>
      <c r="M645" t="inlineStr"/>
      <c r="N645" t="inlineStr"/>
      <c r="O645" t="inlineStr"/>
      <c r="P645" t="inlineStr"/>
      <c r="Q645" t="inlineStr"/>
      <c r="R645" t="inlineStr"/>
      <c r="S645" t="inlineStr"/>
    </row>
    <row r="646">
      <c r="A646" t="inlineStr">
        <is>
          <t>REQ-00695</t>
        </is>
      </c>
      <c r="B646" s="13" t="inlineStr">
        <is>
          <t>52.222-41, Service Contract Labor Standards  (41 U.S.C. chapter67).(1) (AUG 2018)</t>
        </is>
      </c>
      <c r="C646" t="inlineStr">
        <is>
          <t>UNASSIGNED</t>
        </is>
      </c>
      <c r="D646" t="inlineStr"/>
      <c r="E646" t="inlineStr"/>
      <c r="F646" t="inlineStr">
        <is>
          <t>General</t>
        </is>
      </c>
      <c r="G646" s="9" t="inlineStr">
        <is>
          <t>Desirable</t>
        </is>
      </c>
      <c r="H646" s="6" t="inlineStr">
        <is>
          <t>Medium</t>
        </is>
      </c>
      <c r="I646" t="inlineStr"/>
      <c r="J646" t="inlineStr">
        <is>
          <t>Not Started</t>
        </is>
      </c>
      <c r="K646" t="inlineStr"/>
      <c r="L646" t="inlineStr"/>
      <c r="M646" t="inlineStr"/>
      <c r="N646" t="inlineStr"/>
      <c r="O646" t="inlineStr"/>
      <c r="P646" t="inlineStr"/>
      <c r="Q646" t="inlineStr"/>
      <c r="R646" t="inlineStr"/>
      <c r="S646" t="inlineStr"/>
    </row>
    <row r="647">
      <c r="A647" t="inlineStr">
        <is>
          <t>REQ-00696</t>
        </is>
      </c>
      <c r="B647" s="13" t="inlineStr">
        <is>
          <t>52.222-42, Statement of Equivalent Rates for Federal Hires  (29 U.S.C. 206 and 41 U.S.(2) (MAY 2014)</t>
        </is>
      </c>
      <c r="C647" t="inlineStr">
        <is>
          <t>UNASSIGNED</t>
        </is>
      </c>
      <c r="D647" t="inlineStr"/>
      <c r="E647" t="inlineStr"/>
      <c r="F647" t="inlineStr">
        <is>
          <t>General</t>
        </is>
      </c>
      <c r="G647" s="9" t="inlineStr">
        <is>
          <t>Desirable</t>
        </is>
      </c>
      <c r="H647" s="7" t="inlineStr">
        <is>
          <t>Low</t>
        </is>
      </c>
      <c r="I647" t="inlineStr"/>
      <c r="J647" t="inlineStr">
        <is>
          <t>Not Started</t>
        </is>
      </c>
      <c r="K647" t="inlineStr"/>
      <c r="L647" t="inlineStr"/>
      <c r="M647" t="inlineStr"/>
      <c r="N647" t="inlineStr"/>
      <c r="O647" t="inlineStr"/>
      <c r="P647" t="inlineStr"/>
      <c r="Q647" t="inlineStr"/>
      <c r="R647" t="inlineStr"/>
      <c r="S647" t="inlineStr"/>
    </row>
    <row r="648">
      <c r="A648" t="inlineStr">
        <is>
          <t>REQ-00697</t>
        </is>
      </c>
      <c r="B648" s="13" t="inlineStr">
        <is>
          <t>52.222-43, Fair Labor Standards Act and Service Contract Labor Standards-Price Adjustment (3) 
(Multiple Year and Option Contracts)  (29 U.S.C. 206 and 41 U.S.C. chapter 67).(AUG 2018)</t>
        </is>
      </c>
      <c r="C648" t="inlineStr">
        <is>
          <t>UNASSIGNED</t>
        </is>
      </c>
      <c r="D648" t="inlineStr"/>
      <c r="E648" t="inlineStr"/>
      <c r="F648" t="inlineStr">
        <is>
          <t>General</t>
        </is>
      </c>
      <c r="G648" s="9" t="inlineStr">
        <is>
          <t>Desirable</t>
        </is>
      </c>
      <c r="H648" s="6" t="inlineStr">
        <is>
          <t>Medium</t>
        </is>
      </c>
      <c r="I648" t="inlineStr"/>
      <c r="J648" t="inlineStr">
        <is>
          <t>Not Started</t>
        </is>
      </c>
      <c r="K648" t="inlineStr"/>
      <c r="L648" t="inlineStr"/>
      <c r="M648" t="inlineStr"/>
      <c r="N648" t="inlineStr"/>
      <c r="O648" t="inlineStr"/>
      <c r="P648" t="inlineStr"/>
      <c r="Q648" t="inlineStr"/>
      <c r="R648" t="inlineStr"/>
      <c r="S648" t="inlineStr"/>
    </row>
    <row r="649">
      <c r="A649" t="inlineStr">
        <is>
          <t>REQ-00698</t>
        </is>
      </c>
      <c r="B649" s="13" t="inlineStr">
        <is>
          <t>52.222-44, Fair Labor Standards Act and Service Contract Labor Standards-Price Adjustment (May (4) 
2014) ( 29U.S.C.206 and 41 U.S.C. chapter 67).
DRAFT</t>
        </is>
      </c>
      <c r="C649" t="inlineStr">
        <is>
          <t>UNASSIGNED</t>
        </is>
      </c>
      <c r="D649" t="inlineStr"/>
      <c r="E649" t="inlineStr"/>
      <c r="F649" t="inlineStr">
        <is>
          <t>General</t>
        </is>
      </c>
      <c r="G649" s="9" t="inlineStr">
        <is>
          <t>Desirable</t>
        </is>
      </c>
      <c r="H649" s="7" t="inlineStr">
        <is>
          <t>Low</t>
        </is>
      </c>
      <c r="I649" t="inlineStr"/>
      <c r="J649" t="inlineStr">
        <is>
          <t>Not Started</t>
        </is>
      </c>
      <c r="K649" t="inlineStr"/>
      <c r="L649" t="inlineStr"/>
      <c r="M649" t="inlineStr"/>
      <c r="N649" t="inlineStr"/>
      <c r="O649" t="inlineStr"/>
      <c r="P649" t="inlineStr"/>
      <c r="Q649" t="inlineStr"/>
      <c r="R649" t="inlineStr"/>
      <c r="S649" t="inlineStr"/>
    </row>
    <row r="650">
      <c r="A650" t="inlineStr">
        <is>
          <t>REQ-00699</t>
        </is>
      </c>
      <c r="B650" s="13" t="inlineStr">
        <is>
          <t>52.222-51, Exemption from Application of the Service Contract Labor Standards to Contracts for (5) 
Maintenance, Calibration, or Repair of Certain Equipment-Requirements (May 2014) (41 U.S.</t>
        </is>
      </c>
      <c r="C650" t="inlineStr">
        <is>
          <t>UNASSIGNED</t>
        </is>
      </c>
      <c r="D650" t="inlineStr"/>
      <c r="E650" t="inlineStr"/>
      <c r="F650" t="inlineStr">
        <is>
          <t>General</t>
        </is>
      </c>
      <c r="G650" s="9" t="inlineStr">
        <is>
          <t>Desirable</t>
        </is>
      </c>
      <c r="H650" s="7" t="inlineStr">
        <is>
          <t>Low</t>
        </is>
      </c>
      <c r="I650" t="inlineStr"/>
      <c r="J650" t="inlineStr">
        <is>
          <t>Not Started</t>
        </is>
      </c>
      <c r="K650" t="inlineStr"/>
      <c r="L650" t="inlineStr"/>
      <c r="M650" t="inlineStr"/>
      <c r="N650" t="inlineStr"/>
      <c r="O650" t="inlineStr"/>
      <c r="P650" t="inlineStr"/>
      <c r="Q650" t="inlineStr"/>
      <c r="R650" t="inlineStr"/>
      <c r="S650" t="inlineStr"/>
    </row>
    <row r="651">
      <c r="A651" t="inlineStr">
        <is>
          <t>REQ-00700</t>
        </is>
      </c>
      <c r="B651" s="13" t="inlineStr">
        <is>
          <t>52.222-53, Exemption from Application of the Service Contract Labor Standards to Contracts for (6) 
Certain Services-Requirements  (41 U.S.C. chapter 67).(MAY 2014)</t>
        </is>
      </c>
      <c r="C651" t="inlineStr">
        <is>
          <t>UNASSIGNED</t>
        </is>
      </c>
      <c r="D651" t="inlineStr"/>
      <c r="E651" t="inlineStr"/>
      <c r="F651" t="inlineStr">
        <is>
          <t>General</t>
        </is>
      </c>
      <c r="G651" s="9" t="inlineStr">
        <is>
          <t>Desirable</t>
        </is>
      </c>
      <c r="H651" s="7" t="inlineStr">
        <is>
          <t>Low</t>
        </is>
      </c>
      <c r="I651" t="inlineStr"/>
      <c r="J651" t="inlineStr">
        <is>
          <t>Not Started</t>
        </is>
      </c>
      <c r="K651" t="inlineStr"/>
      <c r="L651" t="inlineStr"/>
      <c r="M651" t="inlineStr"/>
      <c r="N651" t="inlineStr"/>
      <c r="O651" t="inlineStr"/>
      <c r="P651" t="inlineStr"/>
      <c r="Q651" t="inlineStr"/>
      <c r="R651" t="inlineStr"/>
      <c r="S651" t="inlineStr"/>
    </row>
    <row r="652">
      <c r="A652" t="inlineStr">
        <is>
          <t>REQ-00701</t>
        </is>
      </c>
      <c r="B652" s="13" t="inlineStr">
        <is>
          <t>52.222-55, Minimum Wages for Contractor Workers Under Executive Order 14026 .(7) (JAN 2022)</t>
        </is>
      </c>
      <c r="C652" t="inlineStr">
        <is>
          <t>UNASSIGNED</t>
        </is>
      </c>
      <c r="D652" t="inlineStr"/>
      <c r="E652" t="inlineStr"/>
      <c r="F652" t="inlineStr">
        <is>
          <t>General</t>
        </is>
      </c>
      <c r="G652" s="9" t="inlineStr">
        <is>
          <t>Desirable</t>
        </is>
      </c>
      <c r="H652" s="6" t="inlineStr">
        <is>
          <t>Medium</t>
        </is>
      </c>
      <c r="I652" t="inlineStr"/>
      <c r="J652" t="inlineStr">
        <is>
          <t>Not Started</t>
        </is>
      </c>
      <c r="K652" t="inlineStr"/>
      <c r="L652" t="inlineStr"/>
      <c r="M652" t="inlineStr"/>
      <c r="N652" t="inlineStr"/>
      <c r="O652" t="inlineStr"/>
      <c r="P652" t="inlineStr"/>
      <c r="Q652" t="inlineStr"/>
      <c r="R652" t="inlineStr"/>
      <c r="S652" t="inlineStr"/>
    </row>
    <row r="653">
      <c r="A653" t="inlineStr">
        <is>
          <t>REQ-00702</t>
        </is>
      </c>
      <c r="B653" s="13" t="inlineStr">
        <is>
          <t>52.222-62, Paid Sick Leave Under Executive Order 13706  (E.O. 13706).(8) (JAN 2022)</t>
        </is>
      </c>
      <c r="C653" t="inlineStr">
        <is>
          <t>UNASSIGNED</t>
        </is>
      </c>
      <c r="D653" t="inlineStr"/>
      <c r="E653" t="inlineStr"/>
      <c r="F653" t="inlineStr">
        <is>
          <t>General</t>
        </is>
      </c>
      <c r="G653" s="9" t="inlineStr">
        <is>
          <t>Desirable</t>
        </is>
      </c>
      <c r="H653" s="6" t="inlineStr">
        <is>
          <t>Medium</t>
        </is>
      </c>
      <c r="I653" t="inlineStr"/>
      <c r="J653" t="inlineStr">
        <is>
          <t>Not Started</t>
        </is>
      </c>
      <c r="K653" t="inlineStr"/>
      <c r="L653" t="inlineStr"/>
      <c r="M653" t="inlineStr"/>
      <c r="N653" t="inlineStr"/>
      <c r="O653" t="inlineStr"/>
      <c r="P653" t="inlineStr"/>
      <c r="Q653" t="inlineStr"/>
      <c r="R653" t="inlineStr"/>
      <c r="S653" t="inlineStr"/>
    </row>
    <row r="654">
      <c r="A654" t="inlineStr">
        <is>
          <t>REQ-00703</t>
        </is>
      </c>
      <c r="B654" s="13" t="inlineStr">
        <is>
          <t>52.226-6, Promoting Excess Food Donation to Nonprofit Organizations (Jun 2020) (42 U.S.C. 1792).(9)</t>
        </is>
      </c>
      <c r="C654" t="inlineStr">
        <is>
          <t>UNASSIGNED</t>
        </is>
      </c>
      <c r="D654" t="inlineStr"/>
      <c r="E654" t="inlineStr"/>
      <c r="F654" t="inlineStr">
        <is>
          <t>General</t>
        </is>
      </c>
      <c r="G654" s="9" t="inlineStr">
        <is>
          <t>Desirable</t>
        </is>
      </c>
      <c r="H654" s="6" t="inlineStr">
        <is>
          <t>Medium</t>
        </is>
      </c>
      <c r="I654" t="inlineStr"/>
      <c r="J654" t="inlineStr">
        <is>
          <t>Not Started</t>
        </is>
      </c>
      <c r="K654" t="inlineStr"/>
      <c r="L654" t="inlineStr"/>
      <c r="M654" t="inlineStr"/>
      <c r="N654" t="inlineStr"/>
      <c r="O654" t="inlineStr"/>
      <c r="P654" t="inlineStr"/>
      <c r="Q654" t="inlineStr"/>
      <c r="R654" t="inlineStr"/>
      <c r="S654" t="inlineStr"/>
    </row>
    <row r="655">
      <c r="A655" t="inlineStr">
        <is>
          <t>REQ-00704</t>
        </is>
      </c>
      <c r="B655" s="13" t="inlineStr">
        <is>
          <t>(d) 
 . The Contractor shall comply with the provisions of Comptroller General Examination of Record
this paragraph (d) if this contract was awarded using other than sealed bid, is in excess of the simplified 
acquisition threshold, as defined in FAR 2.101, on the date of award of this contract, and does not 
contain the clause at 52.215-2, Audit and Records-Negotiation.</t>
        </is>
      </c>
      <c r="C655" t="inlineStr">
        <is>
          <t>D</t>
        </is>
      </c>
      <c r="D655" t="inlineStr"/>
      <c r="E655" t="inlineStr"/>
      <c r="F655" t="inlineStr">
        <is>
          <t>Packaging</t>
        </is>
      </c>
      <c r="G655" s="8" t="inlineStr">
        <is>
          <t>Mandatory</t>
        </is>
      </c>
      <c r="H655" s="5" t="inlineStr">
        <is>
          <t>High</t>
        </is>
      </c>
      <c r="I655" t="inlineStr"/>
      <c r="J655" t="inlineStr">
        <is>
          <t>Not Started</t>
        </is>
      </c>
      <c r="K655" t="inlineStr"/>
      <c r="L655" t="inlineStr"/>
      <c r="M655" t="inlineStr"/>
      <c r="N655" t="inlineStr"/>
      <c r="O655" t="inlineStr"/>
      <c r="P655" t="inlineStr"/>
      <c r="Q655" t="inlineStr"/>
      <c r="R655" t="inlineStr"/>
      <c r="S655" t="inlineStr"/>
    </row>
    <row r="656">
      <c r="A656" t="inlineStr">
        <is>
          <t>REQ-00705</t>
        </is>
      </c>
      <c r="B656" s="13" t="inlineStr">
        <is>
          <t>(1) 
 The Comptroller General of the United States, or an authorized representative of the Comptroller 
General, shall have access to and right to examine any of the Contractor's directly pertinent records 
involving transactions related to this contract.</t>
        </is>
      </c>
      <c r="C656" t="inlineStr">
        <is>
          <t>C</t>
        </is>
      </c>
      <c r="D656" t="inlineStr"/>
      <c r="E656" t="inlineStr"/>
      <c r="F656" t="inlineStr">
        <is>
          <t>Technical Requirement</t>
        </is>
      </c>
      <c r="G656" s="8" t="inlineStr">
        <is>
          <t>Mandatory</t>
        </is>
      </c>
      <c r="H656" s="5" t="inlineStr">
        <is>
          <t>High</t>
        </is>
      </c>
      <c r="I656" t="inlineStr"/>
      <c r="J656" t="inlineStr">
        <is>
          <t>Not Started</t>
        </is>
      </c>
      <c r="K656" t="inlineStr"/>
      <c r="L656" t="inlineStr"/>
      <c r="M656" t="inlineStr"/>
      <c r="N656" t="inlineStr"/>
      <c r="O656" t="inlineStr"/>
      <c r="P656" t="inlineStr"/>
      <c r="Q656" t="inlineStr"/>
      <c r="R656" t="inlineStr"/>
      <c r="S656" t="inlineStr"/>
    </row>
    <row r="657">
      <c r="A657" t="inlineStr">
        <is>
          <t>REQ-00706</t>
        </is>
      </c>
      <c r="B657" s="13" t="inlineStr">
        <is>
          <t>(2)  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Retention, of the 
other clauses of this contract. If this contract is completely or partially termina...</t>
        </is>
      </c>
      <c r="C657" t="inlineStr">
        <is>
          <t>C</t>
        </is>
      </c>
      <c r="D657" t="inlineStr"/>
      <c r="E657" t="inlineStr"/>
      <c r="F657" t="inlineStr">
        <is>
          <t>Technical Requirement</t>
        </is>
      </c>
      <c r="G657" s="8" t="inlineStr">
        <is>
          <t>Mandatory</t>
        </is>
      </c>
      <c r="H657" s="5" t="inlineStr">
        <is>
          <t>High</t>
        </is>
      </c>
      <c r="I657" t="inlineStr"/>
      <c r="J657" t="inlineStr">
        <is>
          <t>Not Started</t>
        </is>
      </c>
      <c r="K657" t="inlineStr"/>
      <c r="L657" t="inlineStr"/>
      <c r="M657" t="inlineStr"/>
      <c r="N657" t="inlineStr"/>
      <c r="O657" t="inlineStr"/>
      <c r="P657" t="inlineStr"/>
      <c r="Q657" t="inlineStr"/>
      <c r="R657" t="inlineStr"/>
      <c r="S657" t="inlineStr"/>
    </row>
    <row r="658">
      <c r="A658" t="inlineStr">
        <is>
          <t>REQ-00707</t>
        </is>
      </c>
      <c r="B658" s="13" t="inlineStr">
        <is>
          <t>(3) 
 As used in this clause, records include books, documents, accounting procedures and practices, 
and other data, regardless of type and regardless of form. This does not require the Contractor to create 
or maintain any record that the Contractor does not maintain in the ordinary course of business or 
pursuant to a provision of law.</t>
        </is>
      </c>
      <c r="C658" t="inlineStr">
        <is>
          <t>UNASSIGNED</t>
        </is>
      </c>
      <c r="D658" t="inlineStr"/>
      <c r="E658" t="inlineStr"/>
      <c r="F658" t="inlineStr">
        <is>
          <t>General</t>
        </is>
      </c>
      <c r="G658" s="9" t="inlineStr">
        <is>
          <t>Desirable</t>
        </is>
      </c>
      <c r="H658" s="6" t="inlineStr">
        <is>
          <t>Medium</t>
        </is>
      </c>
      <c r="I658" t="inlineStr"/>
      <c r="J658" t="inlineStr">
        <is>
          <t>Not Started</t>
        </is>
      </c>
      <c r="K658" t="inlineStr"/>
      <c r="L658" t="inlineStr"/>
      <c r="M658" t="inlineStr"/>
      <c r="N658" t="inlineStr"/>
      <c r="O658" t="inlineStr"/>
      <c r="P658" t="inlineStr"/>
      <c r="Q658" t="inlineStr"/>
      <c r="R658" t="inlineStr"/>
      <c r="S658" t="inlineStr"/>
    </row>
    <row r="659">
      <c r="A659" t="inlineStr">
        <is>
          <t>REQ-00708</t>
        </is>
      </c>
      <c r="B659" s="13" t="inlineStr">
        <is>
          <t>(1)  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t>
        </is>
      </c>
      <c r="C659" t="inlineStr">
        <is>
          <t>C</t>
        </is>
      </c>
      <c r="D659" t="inlineStr"/>
      <c r="E659" t="inlineStr"/>
      <c r="F659" t="inlineStr">
        <is>
          <t>Technical Requirement</t>
        </is>
      </c>
      <c r="G659" s="8" t="inlineStr">
        <is>
          <t>Mandatory</t>
        </is>
      </c>
      <c r="H659" s="5" t="inlineStr">
        <is>
          <t>High</t>
        </is>
      </c>
      <c r="I659" t="inlineStr"/>
      <c r="J659" t="inlineStr">
        <is>
          <t>Not Started</t>
        </is>
      </c>
      <c r="K659" t="inlineStr"/>
      <c r="L659" t="inlineStr"/>
      <c r="M659" t="inlineStr"/>
      <c r="N659" t="inlineStr"/>
      <c r="O659" t="inlineStr"/>
      <c r="P659" t="inlineStr"/>
      <c r="Q659" t="inlineStr"/>
      <c r="R659" t="inlineStr"/>
      <c r="S659" t="inlineStr"/>
    </row>
    <row r="660">
      <c r="A660" t="inlineStr">
        <is>
          <t>REQ-00709</t>
        </is>
      </c>
      <c r="B660" s="13" t="inlineStr">
        <is>
          <t>52.203-13, Contractor Code of Business Ethics and Conduct  (41 U.S.C. 3509).(NOV 2021)
(ii)  52.203-17, Contractor Employee Whistleblower Rights  (41 U.S.C. 4712).(NOV 2023)
(iii)  52.203-19, Prohibition on Requiring Certain Internal Confidentiality Agreements or Statements 
(Jan 2017) (section 743 of Division E, Title VII, of the Consolidated and Further Continuing 
Appropriations Act, 2015 (P...</t>
        </is>
      </c>
      <c r="C660" t="inlineStr">
        <is>
          <t>UNASSIGNED</t>
        </is>
      </c>
      <c r="D660" t="inlineStr"/>
      <c r="E660" t="inlineStr"/>
      <c r="F660" t="inlineStr">
        <is>
          <t>General</t>
        </is>
      </c>
      <c r="G660" s="9" t="inlineStr">
        <is>
          <t>Desirable</t>
        </is>
      </c>
      <c r="H660" s="6" t="inlineStr">
        <is>
          <t>Medium</t>
        </is>
      </c>
      <c r="I660" t="inlineStr"/>
      <c r="J660" t="inlineStr">
        <is>
          <t>Not Started</t>
        </is>
      </c>
      <c r="K660" t="inlineStr"/>
      <c r="L660" t="inlineStr"/>
      <c r="M660" t="inlineStr"/>
      <c r="N660" t="inlineStr"/>
      <c r="O660" t="inlineStr"/>
      <c r="P660" t="inlineStr"/>
      <c r="Q660" t="inlineStr"/>
      <c r="R660" t="inlineStr"/>
      <c r="S660" t="inlineStr"/>
    </row>
    <row r="661">
      <c r="A661" t="inlineStr">
        <is>
          <t>REQ-00711</t>
        </is>
      </c>
      <c r="B661" s="13" t="inlineStr">
        <is>
          <t>(v)  52.204-25, Prohibition on Contracting for Certain Telecommunications and Video Surveillance 
Services or Equipment.  (Section 889(a)(1)(A) of Pub. L. 115-232).(NOV 2021)
(vi)  52.204-27, Prohibition on a ByteDance Covered Application  (Section 102 of (JUN 2023)
Division R of Pub. L. 117-328).
(vii) 
(A)  52.204-30, Federal Acquisition Supply Chain Security Act Orders-Prohibition.  (Pub. (D...</t>
        </is>
      </c>
      <c r="C661" t="inlineStr">
        <is>
          <t>UNASSIGNED</t>
        </is>
      </c>
      <c r="D661" t="inlineStr"/>
      <c r="E661" t="inlineStr"/>
      <c r="F661" t="inlineStr">
        <is>
          <t>General</t>
        </is>
      </c>
      <c r="G661" s="9" t="inlineStr">
        <is>
          <t>Desirable</t>
        </is>
      </c>
      <c r="H661" s="6" t="inlineStr">
        <is>
          <t>Medium</t>
        </is>
      </c>
      <c r="I661" t="inlineStr"/>
      <c r="J661" t="inlineStr">
        <is>
          <t>Not Started</t>
        </is>
      </c>
      <c r="K661" t="inlineStr"/>
      <c r="L661" t="inlineStr"/>
      <c r="M661" t="inlineStr"/>
      <c r="N661" t="inlineStr"/>
      <c r="O661" t="inlineStr"/>
      <c r="P661" t="inlineStr"/>
      <c r="Q661" t="inlineStr"/>
      <c r="R661" t="inlineStr"/>
      <c r="S661" t="inlineStr"/>
    </row>
    <row r="662">
      <c r="A662" t="inlineStr">
        <is>
          <t>REQ-00712</t>
        </is>
      </c>
      <c r="B662" s="13" t="inlineStr">
        <is>
          <t>L. 115-390, title II).
(B)  Alternate I  of 52.204-30.(DEC 2023)
(viii)  52.219-8, Utilization of Small Business Concerns ( ) (15 U.S.C. 637(d)(2) and (3)), in FEB 2024
all subcontracts that offer further subcontracting opportunities. If the subcontract (except subcontracts to 
small business concerns) exceeds the applicable threshold specified in FAR 19.702(a) on the date of 
subcontract award...</t>
        </is>
      </c>
      <c r="C662" t="inlineStr">
        <is>
          <t>K</t>
        </is>
      </c>
      <c r="D662" t="inlineStr"/>
      <c r="E662" t="inlineStr"/>
      <c r="F662" t="inlineStr">
        <is>
          <t>Representation</t>
        </is>
      </c>
      <c r="G662" s="8" t="inlineStr">
        <is>
          <t>Mandatory</t>
        </is>
      </c>
      <c r="H662" s="5" t="inlineStr">
        <is>
          <t>High</t>
        </is>
      </c>
      <c r="I662" t="inlineStr"/>
      <c r="J662" t="inlineStr">
        <is>
          <t>Not Started</t>
        </is>
      </c>
      <c r="K662" t="inlineStr"/>
      <c r="L662" t="inlineStr"/>
      <c r="M662" t="inlineStr"/>
      <c r="N662" t="inlineStr"/>
      <c r="O662" t="inlineStr"/>
      <c r="P662" t="inlineStr"/>
      <c r="Q662" t="inlineStr"/>
      <c r="R662" t="inlineStr"/>
      <c r="S662" t="inlineStr"/>
    </row>
    <row r="663">
      <c r="A663" t="inlineStr">
        <is>
          <t>REQ-00713</t>
        </is>
      </c>
      <c r="B663" s="13" t="inlineStr">
        <is>
          <t>(x)  52.222-26, Equal Opportunity  (E.O.11246).(SEP 2015)
(xi)  52.222-35, Equal Opportunity for Veterans  (38 U.S.C. 4212).(JUN 2020)
(xii)  52.222-36, Equal Opportunity for Workers with Disabilities  (29 U.S.C. 793).(JUN 2020)
(xiii)  52.222-37, Employment Reports on Veterans  (38 U.S.C. 4212).(JUN 2020)
(xiv)  52.222-40, Notification of Employee Rights Under the National Labor Relations Act ...</t>
        </is>
      </c>
      <c r="C663" t="inlineStr">
        <is>
          <t>UNASSIGNED</t>
        </is>
      </c>
      <c r="D663" t="inlineStr"/>
      <c r="E663" t="inlineStr"/>
      <c r="F663" t="inlineStr">
        <is>
          <t>General</t>
        </is>
      </c>
      <c r="G663" s="8" t="inlineStr">
        <is>
          <t>Mandatory</t>
        </is>
      </c>
      <c r="H663" s="7" t="inlineStr">
        <is>
          <t>Low</t>
        </is>
      </c>
      <c r="I663" t="inlineStr"/>
      <c r="J663" t="inlineStr">
        <is>
          <t>Not Started</t>
        </is>
      </c>
      <c r="K663" t="inlineStr"/>
      <c r="L663" t="inlineStr"/>
      <c r="M663" t="inlineStr"/>
      <c r="N663" t="inlineStr"/>
      <c r="O663" t="inlineStr"/>
      <c r="P663" t="inlineStr"/>
      <c r="Q663" t="inlineStr"/>
      <c r="R663" t="inlineStr"/>
      <c r="S663" t="inlineStr"/>
    </row>
    <row r="664">
      <c r="A664" t="inlineStr">
        <is>
          <t>REQ-00714</t>
        </is>
      </c>
      <c r="B664" s="13" t="inlineStr">
        <is>
          <t>52.222-53, Exemption from Application of the Service Contract Labor Standards to Contracts 
for Certain Services-Requirements  (41 U.S.C. chapter 67).(MAY 2014)
(xix)  52.222-54, Employment Eligibility Verification  (E.O. 12989).(MAY 2022)
(xx)  52.222-55, Minimum Wages for Contractor Workers Under Executive Order 14026 .(JAN 2022)
(xxi)  52.222-62, Paid Sick Leave Under Executive Order 13706  ...</t>
        </is>
      </c>
      <c r="C664" t="inlineStr">
        <is>
          <t>UNASSIGNED</t>
        </is>
      </c>
      <c r="D664" t="inlineStr"/>
      <c r="E664" t="inlineStr"/>
      <c r="F664" t="inlineStr">
        <is>
          <t>General</t>
        </is>
      </c>
      <c r="G664" s="9" t="inlineStr">
        <is>
          <t>Desirable</t>
        </is>
      </c>
      <c r="H664" s="7" t="inlineStr">
        <is>
          <t>Low</t>
        </is>
      </c>
      <c r="I664" t="inlineStr"/>
      <c r="J664" t="inlineStr">
        <is>
          <t>Not Started</t>
        </is>
      </c>
      <c r="K664" t="inlineStr"/>
      <c r="L664" t="inlineStr"/>
      <c r="M664" t="inlineStr"/>
      <c r="N664" t="inlineStr"/>
      <c r="O664" t="inlineStr"/>
      <c r="P664" t="inlineStr"/>
      <c r="Q664" t="inlineStr"/>
      <c r="R664" t="inlineStr"/>
      <c r="S664" t="inlineStr"/>
    </row>
    <row r="665">
      <c r="A665" t="inlineStr">
        <is>
          <t>REQ-00716</t>
        </is>
      </c>
      <c r="B665" s="13" t="inlineStr">
        <is>
          <t>C. Subtitle A, Part V, Subpart G Note).
(xxiv)  52.226-6, Promoting Excess Food Donation to Nonprofit Organizations  (42 U.S.(JUN 2020)</t>
        </is>
      </c>
      <c r="C665" t="inlineStr">
        <is>
          <t>UNASSIGNED</t>
        </is>
      </c>
      <c r="D665" t="inlineStr"/>
      <c r="E665" t="inlineStr"/>
      <c r="F665" t="inlineStr">
        <is>
          <t>General</t>
        </is>
      </c>
      <c r="G665" s="9" t="inlineStr">
        <is>
          <t>Desirable</t>
        </is>
      </c>
      <c r="H665" s="6" t="inlineStr">
        <is>
          <t>Medium</t>
        </is>
      </c>
      <c r="I665" t="inlineStr"/>
      <c r="J665" t="inlineStr">
        <is>
          <t>Not Started</t>
        </is>
      </c>
      <c r="K665" t="inlineStr"/>
      <c r="L665" t="inlineStr"/>
      <c r="M665" t="inlineStr"/>
      <c r="N665" t="inlineStr"/>
      <c r="O665" t="inlineStr"/>
      <c r="P665" t="inlineStr"/>
      <c r="Q665" t="inlineStr"/>
      <c r="R665" t="inlineStr"/>
      <c r="S665" t="inlineStr"/>
    </row>
    <row r="666">
      <c r="A666" t="inlineStr">
        <is>
          <t>REQ-00717</t>
        </is>
      </c>
      <c r="B666" s="13" t="inlineStr">
        <is>
          <t>C. 1792). Flow down required in accordance with paragraph (e) of FAR clause 52.226-6.
(xxv)  52.232-40, Providing Accelerated Payments to Small Business Subcontractors (Mar 2023) (31</t>
        </is>
      </c>
      <c r="C666" t="inlineStr">
        <is>
          <t>K</t>
        </is>
      </c>
      <c r="D666" t="inlineStr"/>
      <c r="E666" t="inlineStr"/>
      <c r="F666" t="inlineStr">
        <is>
          <t>Representation</t>
        </is>
      </c>
      <c r="G666" s="8" t="inlineStr">
        <is>
          <t>Mandatory</t>
        </is>
      </c>
      <c r="H666" s="6" t="inlineStr">
        <is>
          <t>Medium</t>
        </is>
      </c>
      <c r="I666" t="inlineStr"/>
      <c r="J666" t="inlineStr">
        <is>
          <t>Not Started</t>
        </is>
      </c>
      <c r="K666" t="inlineStr"/>
      <c r="L666" t="inlineStr"/>
      <c r="M666" t="inlineStr"/>
      <c r="N666" t="inlineStr"/>
      <c r="O666" t="inlineStr"/>
      <c r="P666" t="inlineStr"/>
      <c r="Q666" t="inlineStr"/>
      <c r="R666" t="inlineStr"/>
      <c r="S666" t="inlineStr"/>
    </row>
    <row r="667">
      <c r="A667" t="inlineStr">
        <is>
          <t>REQ-00718</t>
        </is>
      </c>
      <c r="B667" s="13" t="inlineStr">
        <is>
          <t>U.S.C. 3903 and 10 U.S.C. 3801). Flow down required in accordance with paragraph (c) of 52.232-40.
(xxvi)    52.247-64, Preference for Privately Owned U.S.-Flag Commercial Vessels  (46 (NOV 2021)</t>
        </is>
      </c>
      <c r="C667" t="inlineStr">
        <is>
          <t>UNASSIGNED</t>
        </is>
      </c>
      <c r="D667" t="inlineStr"/>
      <c r="E667" t="inlineStr"/>
      <c r="F667" t="inlineStr">
        <is>
          <t>General</t>
        </is>
      </c>
      <c r="G667" s="8" t="inlineStr">
        <is>
          <t>Mandatory</t>
        </is>
      </c>
      <c r="H667" s="6" t="inlineStr">
        <is>
          <t>Medium</t>
        </is>
      </c>
      <c r="I667" t="inlineStr"/>
      <c r="J667" t="inlineStr">
        <is>
          <t>Not Started</t>
        </is>
      </c>
      <c r="K667" t="inlineStr"/>
      <c r="L667" t="inlineStr"/>
      <c r="M667" t="inlineStr"/>
      <c r="N667" t="inlineStr"/>
      <c r="O667" t="inlineStr"/>
      <c r="P667" t="inlineStr"/>
      <c r="Q667" t="inlineStr"/>
      <c r="R667" t="inlineStr"/>
      <c r="S667" t="inlineStr"/>
    </row>
    <row r="668">
      <c r="A668" t="inlineStr">
        <is>
          <t>REQ-00719</t>
        </is>
      </c>
      <c r="B668" s="13" t="inlineStr">
        <is>
          <t>U.S.C. 55305 and 10 U.S.C. 2631). Flow down required in accordance with paragraph (d) of FAR clause</t>
        </is>
      </c>
      <c r="C668" t="inlineStr">
        <is>
          <t>UNASSIGNED</t>
        </is>
      </c>
      <c r="D668" t="inlineStr"/>
      <c r="E668" t="inlineStr"/>
      <c r="F668" t="inlineStr">
        <is>
          <t>General</t>
        </is>
      </c>
      <c r="G668" s="8" t="inlineStr">
        <is>
          <t>Mandatory</t>
        </is>
      </c>
      <c r="H668" s="6" t="inlineStr">
        <is>
          <t>Medium</t>
        </is>
      </c>
      <c r="I668" t="inlineStr"/>
      <c r="J668" t="inlineStr">
        <is>
          <t>Not Started</t>
        </is>
      </c>
      <c r="K668" t="inlineStr"/>
      <c r="L668" t="inlineStr"/>
      <c r="M668" t="inlineStr"/>
      <c r="N668" t="inlineStr"/>
      <c r="O668" t="inlineStr"/>
      <c r="P668" t="inlineStr"/>
      <c r="Q668" t="inlineStr"/>
      <c r="R668" t="inlineStr"/>
      <c r="S668" t="inlineStr"/>
    </row>
    <row r="669">
      <c r="A669" t="inlineStr">
        <is>
          <t>REQ-00720</t>
        </is>
      </c>
      <c r="B669" s="13" t="inlineStr">
        <is>
          <t>(2) 
 While not required, the Contractor may include in its subcontracts for commercial products and 
commercial services a minimal number of additional clauses necessary to satisfy its contractual 
obligations.
(End of clause)</t>
        </is>
      </c>
      <c r="C669" t="inlineStr">
        <is>
          <t>UNASSIGNED</t>
        </is>
      </c>
      <c r="D669" t="inlineStr"/>
      <c r="E669" t="inlineStr"/>
      <c r="F669" t="inlineStr">
        <is>
          <t>General</t>
        </is>
      </c>
      <c r="G669" s="8" t="inlineStr">
        <is>
          <t>Mandatory</t>
        </is>
      </c>
      <c r="H669" s="7" t="inlineStr">
        <is>
          <t>Low</t>
        </is>
      </c>
      <c r="I669" t="inlineStr"/>
      <c r="J669" t="inlineStr">
        <is>
          <t>Not Started</t>
        </is>
      </c>
      <c r="K669" t="inlineStr"/>
      <c r="L669" t="inlineStr"/>
      <c r="M669" t="inlineStr"/>
      <c r="N669" t="inlineStr"/>
      <c r="O669" t="inlineStr"/>
      <c r="P669" t="inlineStr"/>
      <c r="Q669" t="inlineStr"/>
      <c r="R669" t="inlineStr"/>
      <c r="S669" t="inlineStr"/>
    </row>
    <row r="670">
      <c r="A670" t="inlineStr">
        <is>
          <t>REQ-00721</t>
        </is>
      </c>
      <c r="B670" s="13" t="inlineStr">
        <is>
          <t>52.217-6 Option for Increased Quantity. 1989-03
As prescribed in , insert a clause substantially the same as the following:17.208(d)
Option for Increased Quantity (MAR 1989)
The Government may increase the quantity of supplies called for in the Schedule at the unit price 
specified. The Contracting Officer may exercise the option by written notice to the Contractor within 
[insert in the clause...</t>
        </is>
      </c>
      <c r="C670" t="inlineStr">
        <is>
          <t>C</t>
        </is>
      </c>
      <c r="D670" t="inlineStr"/>
      <c r="E670" t="inlineStr"/>
      <c r="F670" t="inlineStr">
        <is>
          <t>Technical Requirement</t>
        </is>
      </c>
      <c r="G670" s="8" t="inlineStr">
        <is>
          <t>Mandatory</t>
        </is>
      </c>
      <c r="H670" s="5" t="inlineStr">
        <is>
          <t>High</t>
        </is>
      </c>
      <c r="I670" t="inlineStr"/>
      <c r="J670" t="inlineStr">
        <is>
          <t>Not Started</t>
        </is>
      </c>
      <c r="K670" t="inlineStr"/>
      <c r="L670" t="inlineStr"/>
      <c r="M670" t="inlineStr"/>
      <c r="N670" t="inlineStr"/>
      <c r="O670" t="inlineStr"/>
      <c r="P670" t="inlineStr"/>
      <c r="Q670" t="inlineStr"/>
      <c r="R670" t="inlineStr"/>
      <c r="S670" t="inlineStr"/>
    </row>
    <row r="671">
      <c r="A671" t="inlineStr">
        <is>
          <t>REQ-00722</t>
        </is>
      </c>
      <c r="B671" s="13" t="inlineStr">
        <is>
          <t>52.217-7 Option for Increased Quantity-Separately Priced Line Item. 1989-03
As prescribed in , insert a clause substantially the same as the following:17.208(e)
Option for Increased Quantity-Separately Priced Line Item (MAR 1989)
The Government may require the delivery of the numbered line item, identified in the Schedule as an 
option item, in the quantity and at the price stated in the Schedu...</t>
        </is>
      </c>
      <c r="C671" t="inlineStr">
        <is>
          <t>C</t>
        </is>
      </c>
      <c r="D671" t="inlineStr"/>
      <c r="E671" t="inlineStr"/>
      <c r="F671" t="inlineStr">
        <is>
          <t>Technical Requirement</t>
        </is>
      </c>
      <c r="G671" s="8" t="inlineStr">
        <is>
          <t>Mandatory</t>
        </is>
      </c>
      <c r="H671" s="5" t="inlineStr">
        <is>
          <t>High</t>
        </is>
      </c>
      <c r="I671" t="inlineStr"/>
      <c r="J671" t="inlineStr">
        <is>
          <t>Not Started</t>
        </is>
      </c>
      <c r="K671" t="inlineStr"/>
      <c r="L671" t="inlineStr"/>
      <c r="M671" t="inlineStr"/>
      <c r="N671" t="inlineStr"/>
      <c r="O671" t="inlineStr"/>
      <c r="P671" t="inlineStr"/>
      <c r="Q671" t="inlineStr"/>
      <c r="R671" t="inlineStr"/>
      <c r="S671" t="inlineStr"/>
    </row>
    <row r="672">
      <c r="A672" t="inlineStr">
        <is>
          <t>REQ-00723</t>
        </is>
      </c>
      <c r="B672" s="13" t="inlineStr">
        <is>
          <t>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 
[insert the period of time within which the Contracting Officer may exercise the option]; provided...</t>
        </is>
      </c>
      <c r="C672" t="inlineStr">
        <is>
          <t>C</t>
        </is>
      </c>
      <c r="D672" t="inlineStr"/>
      <c r="E672" t="inlineStr"/>
      <c r="F672" t="inlineStr">
        <is>
          <t>Technical Requirement</t>
        </is>
      </c>
      <c r="G672" s="8" t="inlineStr">
        <is>
          <t>Mandatory</t>
        </is>
      </c>
      <c r="H672" s="5" t="inlineStr">
        <is>
          <t>High</t>
        </is>
      </c>
      <c r="I672" t="inlineStr"/>
      <c r="J672" t="inlineStr">
        <is>
          <t>Not Started</t>
        </is>
      </c>
      <c r="K672" t="inlineStr"/>
      <c r="L672" t="inlineStr"/>
      <c r="M672" t="inlineStr"/>
      <c r="N672" t="inlineStr"/>
      <c r="O672" t="inlineStr"/>
      <c r="P672" t="inlineStr"/>
      <c r="Q672" t="inlineStr"/>
      <c r="R672" t="inlineStr"/>
      <c r="S672" t="inlineStr"/>
    </row>
    <row r="673">
      <c r="A673" t="inlineStr">
        <is>
          <t>REQ-00724</t>
        </is>
      </c>
      <c r="B673" s="13" t="inlineStr">
        <is>
          <t>252.227-7009 Reporting and Payment of Royalties. 2019-09
As prescribed at 227.7009-4(d), insert the following clause in patent releases, license agreements, and 
assignments:
REPORTING AND PAYMENT OF ROYALTIES (SEP 2019)</t>
        </is>
      </c>
      <c r="C673" t="inlineStr">
        <is>
          <t>UNASSIGNED</t>
        </is>
      </c>
      <c r="D673" t="inlineStr"/>
      <c r="E673" t="inlineStr"/>
      <c r="F673" t="inlineStr">
        <is>
          <t>General</t>
        </is>
      </c>
      <c r="G673" s="9" t="inlineStr">
        <is>
          <t>Desirable</t>
        </is>
      </c>
      <c r="H673" s="6" t="inlineStr">
        <is>
          <t>Medium</t>
        </is>
      </c>
      <c r="I673" t="inlineStr"/>
      <c r="J673" t="inlineStr">
        <is>
          <t>Not Started</t>
        </is>
      </c>
      <c r="K673" t="inlineStr"/>
      <c r="L673" t="inlineStr"/>
      <c r="M673" t="inlineStr"/>
      <c r="N673" t="inlineStr"/>
      <c r="O673" t="inlineStr"/>
      <c r="P673" t="inlineStr"/>
      <c r="Q673" t="inlineStr"/>
      <c r="R673" t="inlineStr"/>
      <c r="S673" t="inlineStr"/>
    </row>
    <row r="674">
      <c r="A674" t="inlineStr">
        <is>
          <t>REQ-00725</t>
        </is>
      </c>
      <c r="B674" s="13" t="inlineStr">
        <is>
          <t>(a) The         [insert the Contracting Officer or the name of the designated office, in accordance with 
 shall, on or before the sixtieth (60th) day next following the end of each yearly* agency procedures]
period ending  during which royalties have accrued under this license, deliver to the Contractor, ____
subject to military security regulations, a report in writing furnishing necessary in...</t>
        </is>
      </c>
      <c r="C674" t="inlineStr">
        <is>
          <t>A</t>
        </is>
      </c>
      <c r="D674" t="inlineStr"/>
      <c r="E674" t="inlineStr"/>
      <c r="F674" t="inlineStr">
        <is>
          <t>Contract Form</t>
        </is>
      </c>
      <c r="G674" s="8" t="inlineStr">
        <is>
          <t>Mandatory</t>
        </is>
      </c>
      <c r="H674" s="5" t="inlineStr">
        <is>
          <t>High</t>
        </is>
      </c>
      <c r="I674" t="inlineStr"/>
      <c r="J674" t="inlineStr">
        <is>
          <t>Not Started</t>
        </is>
      </c>
      <c r="K674" t="inlineStr"/>
      <c r="L674" t="inlineStr"/>
      <c r="M674" t="inlineStr"/>
      <c r="N674" t="inlineStr"/>
      <c r="O674" t="inlineStr"/>
      <c r="P674" t="inlineStr"/>
      <c r="Q674" t="inlineStr"/>
      <c r="R674" t="inlineStr"/>
      <c r="S674" t="inlineStr"/>
    </row>
    <row r="675">
      <c r="A675" t="inlineStr">
        <is>
          <t>REQ-00726</t>
        </is>
      </c>
      <c r="B675" s="13" t="inlineStr">
        <is>
          <t>(b) Royalties which have accrued under this contract during the yearly* period ending  shall         ____
be paid to the Contractor (if appropriations therefor are available or become available) within sixty (60) 
days next following the receipt of a voucher from the Contractor submitted in accordance with the report 
referred to in (a) of this clause; , that the Government shall not be obligat...</t>
        </is>
      </c>
      <c r="C675" t="inlineStr">
        <is>
          <t>B</t>
        </is>
      </c>
      <c r="D675" t="inlineStr"/>
      <c r="E675" t="inlineStr"/>
      <c r="F675" t="inlineStr">
        <is>
          <t>Pricing</t>
        </is>
      </c>
      <c r="G675" s="8" t="inlineStr">
        <is>
          <t>Mandatory</t>
        </is>
      </c>
      <c r="H675" s="5" t="inlineStr">
        <is>
          <t>High</t>
        </is>
      </c>
      <c r="I675" t="inlineStr"/>
      <c r="J675" t="inlineStr">
        <is>
          <t>Not Started</t>
        </is>
      </c>
      <c r="K675" t="inlineStr"/>
      <c r="L675" t="inlineStr"/>
      <c r="M675" t="inlineStr"/>
      <c r="N675" t="inlineStr"/>
      <c r="O675" t="inlineStr"/>
      <c r="P675" t="inlineStr"/>
      <c r="Q675" t="inlineStr"/>
      <c r="R675" t="inlineStr"/>
      <c r="S675" t="inlineStr"/>
    </row>
    <row r="676">
      <c r="A676" t="inlineStr">
        <is>
          <t>REQ-00727</t>
        </is>
      </c>
      <c r="B676" s="13" t="inlineStr">
        <is>
          <t>CRITICAL -- Critical comments are major deficiencies that will result in a non-concur.  Detailed rationale must be provided. Comment must be resolved before final approval.</t>
        </is>
      </c>
      <c r="C676" t="inlineStr">
        <is>
          <t>C</t>
        </is>
      </c>
      <c r="D676" t="inlineStr"/>
      <c r="E676" t="inlineStr"/>
      <c r="F676" t="inlineStr">
        <is>
          <t>Technical Requirement</t>
        </is>
      </c>
      <c r="G676" s="8" t="inlineStr">
        <is>
          <t>Mandatory</t>
        </is>
      </c>
      <c r="H676" s="5" t="inlineStr">
        <is>
          <t>High</t>
        </is>
      </c>
      <c r="I676" t="inlineStr"/>
      <c r="J676" t="inlineStr">
        <is>
          <t>Not Started</t>
        </is>
      </c>
      <c r="K676" t="inlineStr"/>
      <c r="L676" t="inlineStr"/>
      <c r="M676" t="inlineStr"/>
      <c r="N676" t="inlineStr"/>
      <c r="O676" t="inlineStr"/>
      <c r="P676" t="inlineStr"/>
      <c r="Q676" t="inlineStr"/>
      <c r="R676" t="inlineStr"/>
      <c r="S676" t="inlineStr"/>
    </row>
    <row r="677">
      <c r="A677" t="inlineStr">
        <is>
          <t>REQ-00728</t>
        </is>
      </c>
      <c r="B677" s="13" t="inlineStr">
        <is>
          <t>SUBSTANTIVE -- Substantive comments are provided because sections in the document appear to be or are potentially unnecessary, incorrect, incomplete, misleading, confusing, or inconsistent with other sections.</t>
        </is>
      </c>
      <c r="C677" t="inlineStr">
        <is>
          <t>UNASSIGNED</t>
        </is>
      </c>
      <c r="D677" t="inlineStr"/>
      <c r="E677" t="inlineStr"/>
      <c r="F677" t="inlineStr">
        <is>
          <t>General</t>
        </is>
      </c>
      <c r="G677" s="9" t="inlineStr">
        <is>
          <t>Desirable</t>
        </is>
      </c>
      <c r="H677" s="6" t="inlineStr">
        <is>
          <t>Medium</t>
        </is>
      </c>
      <c r="I677" t="inlineStr"/>
      <c r="J677" t="inlineStr">
        <is>
          <t>Not Started</t>
        </is>
      </c>
      <c r="K677" t="inlineStr"/>
      <c r="L677" t="inlineStr"/>
      <c r="M677" t="inlineStr"/>
      <c r="N677" t="inlineStr"/>
      <c r="O677" t="inlineStr"/>
      <c r="P677" t="inlineStr"/>
      <c r="Q677" t="inlineStr"/>
      <c r="R677" t="inlineStr"/>
      <c r="S677" t="inlineStr"/>
    </row>
    <row r="678">
      <c r="A678" t="inlineStr">
        <is>
          <t>REQ-00729</t>
        </is>
      </c>
      <c r="B678" s="13" t="inlineStr">
        <is>
          <t>ADMINISTRATIVE -- Administrative comments correct what appear to be typographical, grammatical, or formatting errors.</t>
        </is>
      </c>
      <c r="C678" t="inlineStr">
        <is>
          <t>UNASSIGNED</t>
        </is>
      </c>
      <c r="D678" t="inlineStr"/>
      <c r="E678" t="inlineStr"/>
      <c r="F678" t="inlineStr">
        <is>
          <t>General</t>
        </is>
      </c>
      <c r="G678" s="9" t="inlineStr">
        <is>
          <t>Desirable</t>
        </is>
      </c>
      <c r="H678" s="6" t="inlineStr">
        <is>
          <t>Medium</t>
        </is>
      </c>
      <c r="I678" t="inlineStr"/>
      <c r="J678" t="inlineStr">
        <is>
          <t>Not Started</t>
        </is>
      </c>
      <c r="K678" t="inlineStr"/>
      <c r="L678" t="inlineStr"/>
      <c r="M678" t="inlineStr"/>
      <c r="N678" t="inlineStr"/>
      <c r="O678" t="inlineStr"/>
      <c r="P678" t="inlineStr"/>
      <c r="Q678" t="inlineStr"/>
      <c r="R678" t="inlineStr"/>
      <c r="S678" t="inlineStr"/>
    </row>
    <row r="679">
      <c r="A679" t="inlineStr">
        <is>
          <t>REQ-00730</t>
        </is>
      </c>
      <c r="B679" s="13" t="inlineStr">
        <is>
          <t>Accept/Reject/Partial (A/R/P) are to be used by the document sponsor for comment resolution/adjudication. This format will allow the document sponsor to accept, reject, or partially accept/reject or modify each comment.</t>
        </is>
      </c>
      <c r="C679" t="inlineStr">
        <is>
          <t>UNASSIGNED</t>
        </is>
      </c>
      <c r="D679" t="inlineStr"/>
      <c r="E679" t="inlineStr"/>
      <c r="F679" t="inlineStr">
        <is>
          <t>General</t>
        </is>
      </c>
      <c r="G679" s="9" t="inlineStr">
        <is>
          <t>Desirable</t>
        </is>
      </c>
      <c r="H679" s="6" t="inlineStr">
        <is>
          <t>Medium</t>
        </is>
      </c>
      <c r="I679" t="inlineStr"/>
      <c r="J679" t="inlineStr">
        <is>
          <t>Not Started</t>
        </is>
      </c>
      <c r="K679" t="inlineStr"/>
      <c r="L679" t="inlineStr"/>
      <c r="M679" t="inlineStr"/>
      <c r="N679" t="inlineStr"/>
      <c r="O679" t="inlineStr"/>
      <c r="P679" t="inlineStr"/>
      <c r="Q679" t="inlineStr"/>
      <c r="R679" t="inlineStr"/>
      <c r="S679" t="inlineStr"/>
    </row>
    <row r="680">
      <c r="A680" t="inlineStr">
        <is>
          <t>REQ-00731</t>
        </is>
      </c>
      <c r="B680" s="13" t="inlineStr">
        <is>
          <t>WOMEN-OWNED SMALL 
BUSINESS (WOSB)
SOLICITATION/CONTRACT/ORDER FOR COMMERCIAL PRODUCTS AND COMMERCIAL SERVICES</t>
        </is>
      </c>
      <c r="C680" t="inlineStr">
        <is>
          <t>C</t>
        </is>
      </c>
      <c r="D680" t="inlineStr"/>
      <c r="E680" t="inlineStr"/>
      <c r="F680" t="inlineStr">
        <is>
          <t>Technical Requirement</t>
        </is>
      </c>
      <c r="G680" s="9" t="inlineStr">
        <is>
          <t>Desirable</t>
        </is>
      </c>
      <c r="H680" s="6" t="inlineStr">
        <is>
          <t>Medium</t>
        </is>
      </c>
      <c r="I680" t="inlineStr"/>
      <c r="J680" t="inlineStr">
        <is>
          <t>Not Started</t>
        </is>
      </c>
      <c r="K680" t="inlineStr"/>
      <c r="L680" t="inlineStr"/>
      <c r="M680" t="inlineStr"/>
      <c r="N680" t="inlineStr"/>
      <c r="O680" t="inlineStr"/>
      <c r="P680" t="inlineStr"/>
      <c r="Q680" t="inlineStr"/>
      <c r="R680" t="inlineStr"/>
      <c r="S680" t="inlineStr"/>
    </row>
    <row r="681">
      <c r="A681" t="inlineStr">
        <is>
          <t>REQ-00732</t>
        </is>
      </c>
      <c r="B681" s="13" t="inlineStr">
        <is>
          <t>4. ORDER NUMBER 5. SOLICITATION NUMBER 6. SOLICITATION ISSUE 
DATE</t>
        </is>
      </c>
      <c r="C681" t="inlineStr">
        <is>
          <t>C</t>
        </is>
      </c>
      <c r="D681" t="inlineStr"/>
      <c r="E681" t="inlineStr"/>
      <c r="F681" t="inlineStr">
        <is>
          <t>Technical Requirement</t>
        </is>
      </c>
      <c r="G681" s="9" t="inlineStr">
        <is>
          <t>Desirable</t>
        </is>
      </c>
      <c r="H681" s="6" t="inlineStr">
        <is>
          <t>Medium</t>
        </is>
      </c>
      <c r="I681" t="inlineStr"/>
      <c r="J681" t="inlineStr">
        <is>
          <t>Not Started</t>
        </is>
      </c>
      <c r="K681" t="inlineStr"/>
      <c r="L681" t="inlineStr"/>
      <c r="M681" t="inlineStr"/>
      <c r="N681" t="inlineStr"/>
      <c r="O681" t="inlineStr"/>
      <c r="P681" t="inlineStr"/>
      <c r="Q681" t="inlineStr"/>
      <c r="R681" t="inlineStr"/>
      <c r="S681" t="inlineStr"/>
    </row>
    <row r="682">
      <c r="A682" t="inlineStr">
        <is>
          <t>REQ-00733</t>
        </is>
      </c>
      <c r="B682" s="13" t="inlineStr">
        <is>
          <t>7. FOR SOLICITATION
INFORMATION CALL:
a. NAME b. TELEPHONE NUMBER (No collect
calls)</t>
        </is>
      </c>
      <c r="C682" t="inlineStr">
        <is>
          <t>C</t>
        </is>
      </c>
      <c r="D682" t="inlineStr"/>
      <c r="E682" t="inlineStr"/>
      <c r="F682" t="inlineStr">
        <is>
          <t>Technical Requirement</t>
        </is>
      </c>
      <c r="G682" s="9" t="inlineStr">
        <is>
          <t>Desirable</t>
        </is>
      </c>
      <c r="H682" s="6" t="inlineStr">
        <is>
          <t>Medium</t>
        </is>
      </c>
      <c r="I682" t="inlineStr"/>
      <c r="J682" t="inlineStr">
        <is>
          <t>Not Started</t>
        </is>
      </c>
      <c r="K682" t="inlineStr"/>
      <c r="L682" t="inlineStr"/>
      <c r="M682" t="inlineStr"/>
      <c r="N682" t="inlineStr"/>
      <c r="O682" t="inlineStr"/>
      <c r="P682" t="inlineStr"/>
      <c r="Q682" t="inlineStr"/>
      <c r="R682" t="inlineStr"/>
      <c r="S682" t="inlineStr"/>
    </row>
    <row r="683">
      <c r="A683" t="inlineStr">
        <is>
          <t>REQ-00734</t>
        </is>
      </c>
      <c r="B683" s="13" t="inlineStr">
        <is>
          <t>15. DELIVER TO 16. ADMINISTERED BY CODE
18a. PAYMENT WILL BE MADE BY CODE17a. CONTRACTOR/ 
        OFFEROR
CODEFACILITY 
CODE
CODE
TELEPHONE NUMBER
17b. CHECK IF REMITTANCE IS DIFFERENT AND PUT SUCH ADDRESS IN 
        OFFER 
18b. SUBMIT INVOICES TO ADDRESS SHOWN IN BLOCK 18a UNLESS BLOCK 
        BELOW IS CHECKED
REQUEST 
FOR QUOTE 
(RFQ)
INVITATION 
FOR BID 
(IFB)
REQUEST 
FOR 
PROPOSAL 
 (RF...</t>
        </is>
      </c>
      <c r="C683" t="inlineStr">
        <is>
          <t>C</t>
        </is>
      </c>
      <c r="D683" t="inlineStr"/>
      <c r="E683" t="inlineStr"/>
      <c r="F683" t="inlineStr">
        <is>
          <t>Technical Requirement</t>
        </is>
      </c>
      <c r="G683" s="9" t="inlineStr">
        <is>
          <t>Desirable</t>
        </is>
      </c>
      <c r="H683" s="6" t="inlineStr">
        <is>
          <t>Medium</t>
        </is>
      </c>
      <c r="I683" t="inlineStr"/>
      <c r="J683" t="inlineStr">
        <is>
          <t>Not Started</t>
        </is>
      </c>
      <c r="K683" t="inlineStr"/>
      <c r="L683" t="inlineStr"/>
      <c r="M683" t="inlineStr"/>
      <c r="N683" t="inlineStr"/>
      <c r="O683" t="inlineStr"/>
      <c r="P683" t="inlineStr"/>
      <c r="Q683" t="inlineStr"/>
      <c r="R683" t="inlineStr"/>
      <c r="S683" t="inlineStr"/>
    </row>
    <row r="684">
      <c r="A684" t="inlineStr">
        <is>
          <t>REQ-00735</t>
        </is>
      </c>
      <c r="B684" s="13" t="inlineStr">
        <is>
          <t>24. 
AMOUNT
(Use Reverse and/or Attach Additional Sheets as Necessary)</t>
        </is>
      </c>
      <c r="C684" t="inlineStr">
        <is>
          <t>C</t>
        </is>
      </c>
      <c r="D684" t="inlineStr"/>
      <c r="E684" t="inlineStr"/>
      <c r="F684" t="inlineStr">
        <is>
          <t>Technical Requirement</t>
        </is>
      </c>
      <c r="G684" s="9" t="inlineStr">
        <is>
          <t>Desirable</t>
        </is>
      </c>
      <c r="H684" s="6" t="inlineStr">
        <is>
          <t>Medium</t>
        </is>
      </c>
      <c r="I684" t="inlineStr"/>
      <c r="J684" t="inlineStr">
        <is>
          <t>Not Started</t>
        </is>
      </c>
      <c r="K684" t="inlineStr"/>
      <c r="L684" t="inlineStr"/>
      <c r="M684" t="inlineStr"/>
      <c r="N684" t="inlineStr"/>
      <c r="O684" t="inlineStr"/>
      <c r="P684" t="inlineStr"/>
      <c r="Q684" t="inlineStr"/>
      <c r="R684" t="inlineStr"/>
      <c r="S684" t="inlineStr"/>
    </row>
    <row r="685">
      <c r="A685" t="inlineStr">
        <is>
          <t>REQ-00736</t>
        </is>
      </c>
      <c r="B685" s="13" t="inlineStr">
        <is>
          <t>25. ACCOUNTING AND APPROPRIATION DATA 26. TOTAL AWARD AMOUNT (For Government Use Only)</t>
        </is>
      </c>
      <c r="C685" t="inlineStr">
        <is>
          <t>C</t>
        </is>
      </c>
      <c r="D685" t="inlineStr"/>
      <c r="E685" t="inlineStr"/>
      <c r="F685" t="inlineStr">
        <is>
          <t>Technical Requirement</t>
        </is>
      </c>
      <c r="G685" s="9" t="inlineStr">
        <is>
          <t>Desirable</t>
        </is>
      </c>
      <c r="H685" s="6" t="inlineStr">
        <is>
          <t>Medium</t>
        </is>
      </c>
      <c r="I685" t="inlineStr"/>
      <c r="J685" t="inlineStr">
        <is>
          <t>Not Started</t>
        </is>
      </c>
      <c r="K685" t="inlineStr"/>
      <c r="L685" t="inlineStr"/>
      <c r="M685" t="inlineStr"/>
      <c r="N685" t="inlineStr"/>
      <c r="O685" t="inlineStr"/>
      <c r="P685" t="inlineStr"/>
      <c r="Q685" t="inlineStr"/>
      <c r="R685" t="inlineStr"/>
      <c r="S685" t="inlineStr"/>
    </row>
    <row r="686">
      <c r="A686" t="inlineStr">
        <is>
          <t>REQ-00737</t>
        </is>
      </c>
      <c r="B686" s="13" t="inlineStr">
        <is>
          <t>28. CONTRACTOR IS REQUIRED TO SIGN THIS DOCUMENT AND RETURN 
COPIES TO ISSUING OFFICE.  CONTRACTOR AGREES TO FURNISH
AND DELIVER ALL ITEMS SET FORTH OR OTHERWISE IDENTIFIED ABOVE AND 
ON ANY ADDITIONAL SHEETS SUBJECT TO THE TERMS AND CONDITIONS 
SPECIFIED</t>
        </is>
      </c>
      <c r="C686" t="inlineStr">
        <is>
          <t>C</t>
        </is>
      </c>
      <c r="D686" t="inlineStr"/>
      <c r="E686" t="inlineStr"/>
      <c r="F686" t="inlineStr">
        <is>
          <t>Technical Requirement</t>
        </is>
      </c>
      <c r="G686" s="8" t="inlineStr">
        <is>
          <t>Mandatory</t>
        </is>
      </c>
      <c r="H686" s="5" t="inlineStr">
        <is>
          <t>High</t>
        </is>
      </c>
      <c r="I686" t="inlineStr"/>
      <c r="J686" t="inlineStr">
        <is>
          <t>Not Started</t>
        </is>
      </c>
      <c r="K686" t="inlineStr"/>
      <c r="L686" t="inlineStr"/>
      <c r="M686" t="inlineStr"/>
      <c r="N686" t="inlineStr"/>
      <c r="O686" t="inlineStr"/>
      <c r="P686" t="inlineStr"/>
      <c r="Q686" t="inlineStr"/>
      <c r="R686" t="inlineStr"/>
      <c r="S686" t="inlineStr"/>
    </row>
    <row r="687">
      <c r="A687" t="inlineStr">
        <is>
          <t>REQ-00738</t>
        </is>
      </c>
      <c r="B687" s="13" t="inlineStr">
        <is>
          <t>10. THIS ACQUISITION IS UNRESTRICTED OR
NORTH AMERICAN 
INDUSTRY CLASSIFICATION 
STANDARD (NAICS):
SIZE STANDARD:
13a. THIS CONTRACT IS A 
        RATED ORDER UNDER 
        THE DEFENSE PRIORITIES 
        AND ALLOCATIONS  
        SYSTEM - DPAS (15 CFR 700)
SET ASIDE: % FOR:</t>
        </is>
      </c>
      <c r="C687" t="inlineStr">
        <is>
          <t>C</t>
        </is>
      </c>
      <c r="D687" t="inlineStr"/>
      <c r="E687" t="inlineStr"/>
      <c r="F687" t="inlineStr">
        <is>
          <t>Technical Requirement</t>
        </is>
      </c>
      <c r="G687" s="9" t="inlineStr">
        <is>
          <t>Desirable</t>
        </is>
      </c>
      <c r="H687" s="6" t="inlineStr">
        <is>
          <t>Medium</t>
        </is>
      </c>
      <c r="I687" t="inlineStr"/>
      <c r="J687" t="inlineStr">
        <is>
          <t>Not Started</t>
        </is>
      </c>
      <c r="K687" t="inlineStr"/>
      <c r="L687" t="inlineStr"/>
      <c r="M687" t="inlineStr"/>
      <c r="N687" t="inlineStr"/>
      <c r="O687" t="inlineStr"/>
      <c r="P687" t="inlineStr"/>
      <c r="Q687" t="inlineStr"/>
      <c r="R687" t="inlineStr"/>
      <c r="S687" t="inlineStr"/>
    </row>
    <row r="688">
      <c r="A688" t="inlineStr">
        <is>
          <t>REQ-00739</t>
        </is>
      </c>
      <c r="B688" s="13" t="inlineStr">
        <is>
          <t>11. DELIVERY FOR FREE ON 
BOARD (FOB) DESTINATION
UNLESS BLOCK IS MARKED 
SEE  SCHEDULE</t>
        </is>
      </c>
      <c r="C688" t="inlineStr">
        <is>
          <t>C</t>
        </is>
      </c>
      <c r="D688" t="inlineStr"/>
      <c r="E688" t="inlineStr"/>
      <c r="F688" t="inlineStr">
        <is>
          <t>Technical Requirement</t>
        </is>
      </c>
      <c r="G688" s="9" t="inlineStr">
        <is>
          <t>Desirable</t>
        </is>
      </c>
      <c r="H688" s="6" t="inlineStr">
        <is>
          <t>Medium</t>
        </is>
      </c>
      <c r="I688" t="inlineStr"/>
      <c r="J688" t="inlineStr">
        <is>
          <t>Not Started</t>
        </is>
      </c>
      <c r="K688" t="inlineStr"/>
      <c r="L688" t="inlineStr"/>
      <c r="M688" t="inlineStr"/>
      <c r="N688" t="inlineStr"/>
      <c r="O688" t="inlineStr"/>
      <c r="P688" t="inlineStr"/>
      <c r="Q688" t="inlineStr"/>
      <c r="R688" t="inlineStr"/>
      <c r="S688" t="inlineStr"/>
    </row>
    <row r="689">
      <c r="A689" t="inlineStr">
        <is>
          <t>REQ-00740</t>
        </is>
      </c>
      <c r="B689" s="13" t="inlineStr">
        <is>
          <t>12. DISCOUNT TERMS
ARE ARE NOT ATTACHED
ARE ARE NOT ATTACHED
27a. SOLICITATION INCORPORATES BY REFERENCE (FEDERAL ACQUISITION REGULATION) FAR 52.212-1, 52.212-4.  FAR 52.212-3 
        AND 52.212-5 ARE ATTACHED.  ADDENDA 
27b. CONTRACT/PURCHASE ORDER INCORPORATES BY REFERENCE FAR 52.212-4.  FAR 52.212-5 IS ATTACHED.  ADDENDA
8(A)
ECONOMICALLY  
DISADVANTAGED 
WOMEN-OWNED SMALL 
BUSINESS (EDWOSB...</t>
        </is>
      </c>
      <c r="C689" t="inlineStr">
        <is>
          <t>C</t>
        </is>
      </c>
      <c r="D689" t="inlineStr"/>
      <c r="E689" t="inlineStr"/>
      <c r="F689" t="inlineStr">
        <is>
          <t>Technical Requirement</t>
        </is>
      </c>
      <c r="G689" s="9" t="inlineStr">
        <is>
          <t>Desirable</t>
        </is>
      </c>
      <c r="H689" s="6" t="inlineStr">
        <is>
          <t>Medium</t>
        </is>
      </c>
      <c r="I689" t="inlineStr"/>
      <c r="J689" t="inlineStr">
        <is>
          <t>Not Started</t>
        </is>
      </c>
      <c r="K689" t="inlineStr"/>
      <c r="L689" t="inlineStr"/>
      <c r="M689" t="inlineStr"/>
      <c r="N689" t="inlineStr"/>
      <c r="O689" t="inlineStr"/>
      <c r="P689" t="inlineStr"/>
      <c r="Q689" t="inlineStr"/>
      <c r="R689" t="inlineStr"/>
      <c r="S689" t="inlineStr"/>
    </row>
    <row r="690">
      <c r="A690" t="inlineStr">
        <is>
          <t>REQ-00741</t>
        </is>
      </c>
      <c r="B690" s="13" t="inlineStr">
        <is>
          <t>Solicitation/Contract Form
24/7 Network Operations Center 
Product Service Code: 7H20 
Date: 07 Oct 2024 
FA880625RB003
Page 2 of 15
DRAFT</t>
        </is>
      </c>
      <c r="C690" t="inlineStr">
        <is>
          <t>C</t>
        </is>
      </c>
      <c r="D690" t="inlineStr"/>
      <c r="E690" t="inlineStr"/>
      <c r="F690" t="inlineStr">
        <is>
          <t>Technical Requirement</t>
        </is>
      </c>
      <c r="G690" s="9" t="inlineStr">
        <is>
          <t>Desirable</t>
        </is>
      </c>
      <c r="H690" s="6" t="inlineStr">
        <is>
          <t>Medium</t>
        </is>
      </c>
      <c r="I690" t="inlineStr"/>
      <c r="J690" t="inlineStr">
        <is>
          <t>Not Started</t>
        </is>
      </c>
      <c r="K690" t="inlineStr"/>
      <c r="L690" t="inlineStr"/>
      <c r="M690" t="inlineStr"/>
      <c r="N690" t="inlineStr"/>
      <c r="O690" t="inlineStr"/>
      <c r="P690" t="inlineStr"/>
      <c r="Q690" t="inlineStr"/>
      <c r="R690" t="inlineStr"/>
      <c r="S690" t="inlineStr"/>
    </row>
    <row r="691">
      <c r="A691" t="inlineStr">
        <is>
          <t>REQ-00742</t>
        </is>
      </c>
      <c r="B691" s="13" t="inlineStr">
        <is>
          <t>Supplies or Services &amp; Prices or Costs
 Additional Information/Notes
Item Supplies / Services Quantity Unit Unit Price Amount
0001
Delivery of 24/7 NOC support
Commercial and Government Entity (CAGE) Code: As applicable.
Product Service Code: 7H20
Claimant Program Code: A2
Pricing Arrangement: Cost Plus Fixed Fee
60 Months
0002
ODC/Travel
Commercial and Government Entity (CAGE) Code: As applica...</t>
        </is>
      </c>
      <c r="C691" t="inlineStr">
        <is>
          <t>C</t>
        </is>
      </c>
      <c r="D691" t="inlineStr"/>
      <c r="E691" t="inlineStr"/>
      <c r="F691" t="inlineStr">
        <is>
          <t>Technical Requirement</t>
        </is>
      </c>
      <c r="G691" s="8" t="inlineStr">
        <is>
          <t>Mandatory</t>
        </is>
      </c>
      <c r="H691" s="5" t="inlineStr">
        <is>
          <t>High</t>
        </is>
      </c>
      <c r="I691" t="inlineStr"/>
      <c r="J691" t="inlineStr">
        <is>
          <t>Not Started</t>
        </is>
      </c>
      <c r="K691" t="inlineStr"/>
      <c r="L691" t="inlineStr"/>
      <c r="M691" t="inlineStr"/>
      <c r="N691" t="inlineStr"/>
      <c r="O691" t="inlineStr"/>
      <c r="P691" t="inlineStr"/>
      <c r="Q691" t="inlineStr"/>
      <c r="R691" t="inlineStr"/>
      <c r="S691" t="inlineStr"/>
    </row>
    <row r="692">
      <c r="A692" t="inlineStr">
        <is>
          <t>REQ-00743</t>
        </is>
      </c>
      <c r="B692" s="13" t="inlineStr">
        <is>
          <t>0.1% in response to all task order
solicitations as indicated by OASIS
Ordering Guide for the U.S. Air
Force. Contractors shall bill for
CAF on every invoice as a separate
Commercial and Government Entity (CAGE) Code: As applicable.
Product Service Code: 7H20
Claimant Program Code: A2
Pricing Arrangement: Cost No Fee
60 Months
FA880625RB003
Page 3 of 15
DRAFT</t>
        </is>
      </c>
      <c r="C692" t="inlineStr">
        <is>
          <t>C</t>
        </is>
      </c>
      <c r="D692" t="inlineStr"/>
      <c r="E692" t="inlineStr"/>
      <c r="F692" t="inlineStr">
        <is>
          <t>Technical Requirement</t>
        </is>
      </c>
      <c r="G692" s="8" t="inlineStr">
        <is>
          <t>Mandatory</t>
        </is>
      </c>
      <c r="H692" s="5" t="inlineStr">
        <is>
          <t>High</t>
        </is>
      </c>
      <c r="I692" t="inlineStr"/>
      <c r="J692" t="inlineStr">
        <is>
          <t>Not Started</t>
        </is>
      </c>
      <c r="K692" t="inlineStr"/>
      <c r="L692" t="inlineStr"/>
      <c r="M692" t="inlineStr"/>
      <c r="N692" t="inlineStr"/>
      <c r="O692" t="inlineStr"/>
      <c r="P692" t="inlineStr"/>
      <c r="Q692" t="inlineStr"/>
      <c r="R692" t="inlineStr"/>
      <c r="S692" t="inlineStr"/>
    </row>
    <row r="693">
      <c r="A693" t="inlineStr">
        <is>
          <t>REQ-00744</t>
        </is>
      </c>
      <c r="B693" s="13"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C693" t="inlineStr">
        <is>
          <t>C</t>
        </is>
      </c>
      <c r="D693" t="inlineStr"/>
      <c r="E693" t="inlineStr"/>
      <c r="F693" t="inlineStr">
        <is>
          <t>Technical Requirement</t>
        </is>
      </c>
      <c r="G693" s="9" t="inlineStr">
        <is>
          <t>Desirable</t>
        </is>
      </c>
      <c r="H693" s="6" t="inlineStr">
        <is>
          <t>Medium</t>
        </is>
      </c>
      <c r="I693" t="inlineStr"/>
      <c r="J693" t="inlineStr">
        <is>
          <t>Not Started</t>
        </is>
      </c>
      <c r="K693" t="inlineStr"/>
      <c r="L693" t="inlineStr"/>
      <c r="M693" t="inlineStr"/>
      <c r="N693" t="inlineStr"/>
      <c r="O693" t="inlineStr"/>
      <c r="P693" t="inlineStr"/>
      <c r="Q693" t="inlineStr"/>
      <c r="R693" t="inlineStr"/>
      <c r="S693" t="inlineStr"/>
    </row>
    <row r="694">
      <c r="A694" t="inlineStr">
        <is>
          <t>REQ-00745</t>
        </is>
      </c>
      <c r="B694" s="13" t="inlineStr">
        <is>
          <t>Packaging and Marking
Inspection and Acceptance
Overall Contract Inspection/Acceptance Locations 
0001
Inspection and Acceptance Location
Both
Destination
Instructions: Please include the PCO in any communication with the COR due to military's unexpected change of stations.
DoDAAC: FA8806
CountryCode: USA
FA8806 BATTLE MNGMNT C3 SSC/BCK
CP 310 653 1748, 483 N AVIATION BLVD
EL SEGUNDO, CA 90245-...</t>
        </is>
      </c>
      <c r="C694" t="inlineStr">
        <is>
          <t>C</t>
        </is>
      </c>
      <c r="D694" t="inlineStr"/>
      <c r="E694" t="inlineStr"/>
      <c r="F694" t="inlineStr">
        <is>
          <t>Technical Requirement</t>
        </is>
      </c>
      <c r="G694" s="9" t="inlineStr">
        <is>
          <t>Desirable</t>
        </is>
      </c>
      <c r="H694" s="6" t="inlineStr">
        <is>
          <t>Medium</t>
        </is>
      </c>
      <c r="I694" t="inlineStr"/>
      <c r="J694" t="inlineStr">
        <is>
          <t>Not Started</t>
        </is>
      </c>
      <c r="K694" t="inlineStr"/>
      <c r="L694" t="inlineStr"/>
      <c r="M694" t="inlineStr"/>
      <c r="N694" t="inlineStr"/>
      <c r="O694" t="inlineStr"/>
      <c r="P694" t="inlineStr"/>
      <c r="Q694" t="inlineStr"/>
      <c r="R694" t="inlineStr"/>
      <c r="S694" t="inlineStr"/>
    </row>
    <row r="695">
      <c r="A695" t="inlineStr">
        <is>
          <t>REQ-00746</t>
        </is>
      </c>
      <c r="B695" s="13" t="inlineStr">
        <is>
          <t>Deliveries or Performance
Delivery On Or Before 
Contractor 
Destination 
Line Item Delivery Schedule Quantity Address and POC Special Handling/Notes
0001
Delivery On Or Before
Delivery Date 08 May 2030
60 Months Ship To
DoDAAC: FA8806
CountryCode: USA
FA8806 BATTLE MNGMNT C3 SSC/BCK
CP 310 653 1748, 483 N AVIATION BLVD
EL SEGUNDO, CA 90245-2808
UNITED STATES
Contracting Officer Representative
...</t>
        </is>
      </c>
      <c r="C695" t="inlineStr">
        <is>
          <t>C</t>
        </is>
      </c>
      <c r="D695" t="inlineStr"/>
      <c r="E695" t="inlineStr"/>
      <c r="F695" t="inlineStr">
        <is>
          <t>Technical Requirement</t>
        </is>
      </c>
      <c r="G695" s="9" t="inlineStr">
        <is>
          <t>Desirable</t>
        </is>
      </c>
      <c r="H695" s="7" t="inlineStr">
        <is>
          <t>Low</t>
        </is>
      </c>
      <c r="I695" t="inlineStr"/>
      <c r="J695" t="inlineStr">
        <is>
          <t>Not Started</t>
        </is>
      </c>
      <c r="K695" t="inlineStr"/>
      <c r="L695" t="inlineStr"/>
      <c r="M695" t="inlineStr"/>
      <c r="N695" t="inlineStr"/>
      <c r="O695" t="inlineStr"/>
      <c r="P695" t="inlineStr"/>
      <c r="Q695" t="inlineStr"/>
      <c r="R695" t="inlineStr"/>
      <c r="S695" t="inlineStr"/>
    </row>
    <row r="696">
      <c r="A696" t="inlineStr">
        <is>
          <t>REQ-00747</t>
        </is>
      </c>
      <c r="B696" s="13" t="inlineStr">
        <is>
          <t>Contract Administration Data
Special Contract Requirements
Contract Clauses
Supplemental Clauses Incorporated by Reference
Number Title Effective 
Date
Alternate/
Deviation
Variation
Effective
Date</t>
        </is>
      </c>
      <c r="C696" t="inlineStr">
        <is>
          <t>C</t>
        </is>
      </c>
      <c r="D696" t="inlineStr"/>
      <c r="E696" t="inlineStr"/>
      <c r="F696" t="inlineStr">
        <is>
          <t>Technical Requirement</t>
        </is>
      </c>
      <c r="G696" s="9" t="inlineStr">
        <is>
          <t>Desirable</t>
        </is>
      </c>
      <c r="H696" s="6" t="inlineStr">
        <is>
          <t>Medium</t>
        </is>
      </c>
      <c r="I696" t="inlineStr"/>
      <c r="J696" t="inlineStr">
        <is>
          <t>Not Started</t>
        </is>
      </c>
      <c r="K696" t="inlineStr"/>
      <c r="L696" t="inlineStr"/>
      <c r="M696" t="inlineStr"/>
      <c r="N696" t="inlineStr"/>
      <c r="O696" t="inlineStr"/>
      <c r="P696" t="inlineStr"/>
      <c r="Q696" t="inlineStr"/>
      <c r="R696" t="inlineStr"/>
      <c r="S696" t="inlineStr"/>
    </row>
    <row r="697">
      <c r="A697" t="inlineStr">
        <is>
          <t>REQ-00748</t>
        </is>
      </c>
      <c r="B697" s="13" t="inlineStr">
        <is>
          <t>5352.204-9002 Security Incident Reporting and Procedures Jun 2024
Supplemental Clauses Incorporated by Full Text</t>
        </is>
      </c>
      <c r="C697" t="inlineStr">
        <is>
          <t>C</t>
        </is>
      </c>
      <c r="D697" t="inlineStr"/>
      <c r="E697" t="inlineStr"/>
      <c r="F697" t="inlineStr">
        <is>
          <t>Technical Requirement</t>
        </is>
      </c>
      <c r="G697" s="9" t="inlineStr">
        <is>
          <t>Desirable</t>
        </is>
      </c>
      <c r="H697" s="6" t="inlineStr">
        <is>
          <t>Medium</t>
        </is>
      </c>
      <c r="I697" t="inlineStr"/>
      <c r="J697" t="inlineStr">
        <is>
          <t>Not Started</t>
        </is>
      </c>
      <c r="K697" t="inlineStr"/>
      <c r="L697" t="inlineStr"/>
      <c r="M697" t="inlineStr"/>
      <c r="N697" t="inlineStr"/>
      <c r="O697" t="inlineStr"/>
      <c r="P697" t="inlineStr"/>
      <c r="Q697" t="inlineStr"/>
      <c r="R697" t="inlineStr"/>
      <c r="S697" t="inlineStr"/>
    </row>
    <row r="698">
      <c r="A698" t="inlineStr">
        <is>
          <t>REQ-00749</t>
        </is>
      </c>
      <c r="B698" s="13" t="inlineStr">
        <is>
          <t>(a) An ombudsman has been appointed to hear and facilitate the resolution of concerns from offerors, potential offerors, and others for this 
acquisition. When requested, the ombudsman will maintain strict confidentiality as to the source of the concern. The existence of the ombudsman 
does not affect the authority of the program manager, contracting officer, or source selection official. Furth...</t>
        </is>
      </c>
      <c r="C698" t="inlineStr">
        <is>
          <t>C</t>
        </is>
      </c>
      <c r="D698" t="inlineStr"/>
      <c r="E698" t="inlineStr"/>
      <c r="F698" t="inlineStr">
        <is>
          <t>Technical Requirement</t>
        </is>
      </c>
      <c r="G698" s="9" t="inlineStr">
        <is>
          <t>Desirable</t>
        </is>
      </c>
      <c r="H698" s="7" t="inlineStr">
        <is>
          <t>Low</t>
        </is>
      </c>
      <c r="I698" t="inlineStr"/>
      <c r="J698" t="inlineStr">
        <is>
          <t>Not Started</t>
        </is>
      </c>
      <c r="K698" t="inlineStr"/>
      <c r="L698" t="inlineStr"/>
      <c r="M698" t="inlineStr"/>
      <c r="N698" t="inlineStr"/>
      <c r="O698" t="inlineStr"/>
      <c r="P698" t="inlineStr"/>
      <c r="Q698" t="inlineStr"/>
      <c r="R698" t="inlineStr"/>
      <c r="S698" t="inlineStr"/>
    </row>
    <row r="699">
      <c r="A699" t="inlineStr">
        <is>
          <t>REQ-00750</t>
        </is>
      </c>
      <c r="B699" s="13" t="inlineStr">
        <is>
          <t>(b) 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t>
        </is>
      </c>
      <c r="C699" t="inlineStr">
        <is>
          <t>C</t>
        </is>
      </c>
      <c r="D699" t="inlineStr"/>
      <c r="E699" t="inlineStr"/>
      <c r="F699" t="inlineStr">
        <is>
          <t>Technical Requirement</t>
        </is>
      </c>
      <c r="G699" s="8" t="inlineStr">
        <is>
          <t>Mandatory</t>
        </is>
      </c>
      <c r="H699" s="5" t="inlineStr">
        <is>
          <t>High</t>
        </is>
      </c>
      <c r="I699" t="inlineStr"/>
      <c r="J699" t="inlineStr">
        <is>
          <t>Not Started</t>
        </is>
      </c>
      <c r="K699" t="inlineStr"/>
      <c r="L699" t="inlineStr"/>
      <c r="M699" t="inlineStr"/>
      <c r="N699" t="inlineStr"/>
      <c r="O699" t="inlineStr"/>
      <c r="P699" t="inlineStr"/>
      <c r="Q699" t="inlineStr"/>
      <c r="R699" t="inlineStr"/>
      <c r="S699" t="inlineStr"/>
    </row>
    <row r="700">
      <c r="A700" t="inlineStr">
        <is>
          <t>REQ-00751</t>
        </is>
      </c>
      <c r="B700" s="13" t="inlineStr">
        <is>
          <t>(c) 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t>
        </is>
      </c>
      <c r="C700" t="inlineStr">
        <is>
          <t>C</t>
        </is>
      </c>
      <c r="D700" t="inlineStr"/>
      <c r="E700" t="inlineStr"/>
      <c r="F700" t="inlineStr">
        <is>
          <t>Technical Requirement</t>
        </is>
      </c>
      <c r="G700" s="9" t="inlineStr">
        <is>
          <t>Desirable</t>
        </is>
      </c>
      <c r="H700" s="7" t="inlineStr">
        <is>
          <t>Low</t>
        </is>
      </c>
      <c r="I700" t="inlineStr"/>
      <c r="J700" t="inlineStr">
        <is>
          <t>Not Started</t>
        </is>
      </c>
      <c r="K700" t="inlineStr"/>
      <c r="L700" t="inlineStr"/>
      <c r="M700" t="inlineStr"/>
      <c r="N700" t="inlineStr"/>
      <c r="O700" t="inlineStr"/>
      <c r="P700" t="inlineStr"/>
      <c r="Q700" t="inlineStr"/>
      <c r="R700" t="inlineStr"/>
      <c r="S700" t="inlineStr"/>
    </row>
    <row r="701">
      <c r="A701" t="inlineStr">
        <is>
          <t>REQ-00752</t>
        </is>
      </c>
      <c r="B701" s="13" t="inlineStr">
        <is>
          <t>(d) The ombudsman has no authority to render a decision that binds the agency.</t>
        </is>
      </c>
      <c r="C701" t="inlineStr">
        <is>
          <t>C</t>
        </is>
      </c>
      <c r="D701" t="inlineStr"/>
      <c r="E701" t="inlineStr"/>
      <c r="F701" t="inlineStr">
        <is>
          <t>Technical Requirement</t>
        </is>
      </c>
      <c r="G701" s="9" t="inlineStr">
        <is>
          <t>Desirable</t>
        </is>
      </c>
      <c r="H701" s="6" t="inlineStr">
        <is>
          <t>Medium</t>
        </is>
      </c>
      <c r="I701" t="inlineStr"/>
      <c r="J701" t="inlineStr">
        <is>
          <t>Not Started</t>
        </is>
      </c>
      <c r="K701" t="inlineStr"/>
      <c r="L701" t="inlineStr"/>
      <c r="M701" t="inlineStr"/>
      <c r="N701" t="inlineStr"/>
      <c r="O701" t="inlineStr"/>
      <c r="P701" t="inlineStr"/>
      <c r="Q701" t="inlineStr"/>
      <c r="R701" t="inlineStr"/>
      <c r="S701" t="inlineStr"/>
    </row>
    <row r="702">
      <c r="A702" t="inlineStr">
        <is>
          <t>REQ-00753</t>
        </is>
      </c>
      <c r="B702" s="13" t="inlineStr">
        <is>
          <t>(e) Do not contact the ombudsman to request copies of the solicitation, verify offer due date, or clarify technical requirements. Such inquiries shall be 
directed to the contracting officer.
(End of clause)</t>
        </is>
      </c>
      <c r="C702" t="inlineStr">
        <is>
          <t>C</t>
        </is>
      </c>
      <c r="D702" t="inlineStr"/>
      <c r="E702" t="inlineStr"/>
      <c r="F702" t="inlineStr">
        <is>
          <t>Technical Requirement</t>
        </is>
      </c>
      <c r="G702" s="8" t="inlineStr">
        <is>
          <t>Mandatory</t>
        </is>
      </c>
      <c r="H702" s="5" t="inlineStr">
        <is>
          <t>High</t>
        </is>
      </c>
      <c r="I702" t="inlineStr"/>
      <c r="J702" t="inlineStr">
        <is>
          <t>Not Started</t>
        </is>
      </c>
      <c r="K702" t="inlineStr"/>
      <c r="L702" t="inlineStr"/>
      <c r="M702" t="inlineStr"/>
      <c r="N702" t="inlineStr"/>
      <c r="O702" t="inlineStr"/>
      <c r="P702" t="inlineStr"/>
      <c r="Q702" t="inlineStr"/>
      <c r="R702" t="inlineStr"/>
      <c r="S702" t="inlineStr"/>
    </row>
    <row r="703">
      <c r="A703" t="inlineStr">
        <is>
          <t>REQ-00754</t>
        </is>
      </c>
      <c r="B703" s="13" t="inlineStr">
        <is>
          <t>5352.204-9000 Notification of Government Security Activity and Visitor Group Security Agreements (Jul 2023)
This contract contains a DD Form 254, DOD Contract Security Classification Specification, and requires performance at a government location in the</t>
        </is>
      </c>
      <c r="C703" t="inlineStr">
        <is>
          <t>C</t>
        </is>
      </c>
      <c r="D703" t="inlineStr"/>
      <c r="E703" t="inlineStr"/>
      <c r="F703" t="inlineStr">
        <is>
          <t>Technical Requirement</t>
        </is>
      </c>
      <c r="G703" s="9" t="inlineStr">
        <is>
          <t>Desirable</t>
        </is>
      </c>
      <c r="H703" s="6" t="inlineStr">
        <is>
          <t>Medium</t>
        </is>
      </c>
      <c r="I703" t="inlineStr"/>
      <c r="J703" t="inlineStr">
        <is>
          <t>Not Started</t>
        </is>
      </c>
      <c r="K703" t="inlineStr"/>
      <c r="L703" t="inlineStr"/>
      <c r="M703" t="inlineStr"/>
      <c r="N703" t="inlineStr"/>
      <c r="O703" t="inlineStr"/>
      <c r="P703" t="inlineStr"/>
      <c r="Q703" t="inlineStr"/>
      <c r="R703" t="inlineStr"/>
      <c r="S703" t="inlineStr"/>
    </row>
    <row r="704">
      <c r="A704" t="inlineStr">
        <is>
          <t>REQ-00755</t>
        </is>
      </c>
      <c r="B704" s="13" t="inlineStr">
        <is>
          <t>U.S. or overseas. Prior to beginning operations involving classified information on an installation identified on the DD Form 254, the contractor shall 
take the following actions:</t>
        </is>
      </c>
      <c r="C704" t="inlineStr">
        <is>
          <t>C</t>
        </is>
      </c>
      <c r="D704" t="inlineStr"/>
      <c r="E704" t="inlineStr"/>
      <c r="F704" t="inlineStr">
        <is>
          <t>Technical Requirement</t>
        </is>
      </c>
      <c r="G704" s="8" t="inlineStr">
        <is>
          <t>Mandatory</t>
        </is>
      </c>
      <c r="H704" s="5" t="inlineStr">
        <is>
          <t>High</t>
        </is>
      </c>
      <c r="I704" t="inlineStr"/>
      <c r="J704" t="inlineStr">
        <is>
          <t>Not Started</t>
        </is>
      </c>
      <c r="K704" t="inlineStr"/>
      <c r="L704" t="inlineStr"/>
      <c r="M704" t="inlineStr"/>
      <c r="N704" t="inlineStr"/>
      <c r="O704" t="inlineStr"/>
      <c r="P704" t="inlineStr"/>
      <c r="Q704" t="inlineStr"/>
      <c r="R704" t="inlineStr"/>
      <c r="S704" t="inlineStr"/>
    </row>
    <row r="705">
      <c r="A705" t="inlineStr">
        <is>
          <t>REQ-00756</t>
        </is>
      </c>
      <c r="B705" s="13" t="inlineStr">
        <is>
          <t>(a) At least thirty days prior to beginning operations, notify the Information Protection Office shown in the distribution block of the DD Form 254 as 
to:</t>
        </is>
      </c>
      <c r="C705" t="inlineStr">
        <is>
          <t>C</t>
        </is>
      </c>
      <c r="D705" t="inlineStr"/>
      <c r="E705" t="inlineStr"/>
      <c r="F705" t="inlineStr">
        <is>
          <t>Technical Requirement</t>
        </is>
      </c>
      <c r="G705" s="9" t="inlineStr">
        <is>
          <t>Desirable</t>
        </is>
      </c>
      <c r="H705" s="6" t="inlineStr">
        <is>
          <t>Medium</t>
        </is>
      </c>
      <c r="I705" t="inlineStr"/>
      <c r="J705" t="inlineStr">
        <is>
          <t>Not Started</t>
        </is>
      </c>
      <c r="K705" t="inlineStr"/>
      <c r="L705" t="inlineStr"/>
      <c r="M705" t="inlineStr"/>
      <c r="N705" t="inlineStr"/>
      <c r="O705" t="inlineStr"/>
      <c r="P705" t="inlineStr"/>
      <c r="Q705" t="inlineStr"/>
      <c r="R705" t="inlineStr"/>
      <c r="S705" t="inlineStr"/>
    </row>
    <row r="706">
      <c r="A706" t="inlineStr">
        <is>
          <t>REQ-00757</t>
        </is>
      </c>
      <c r="B706" s="13" t="inlineStr">
        <is>
          <t>(1) The name, address, and telephone number of this contract company's representative and designated alternate in the U.S. or overseas area, as 
appropriate;</t>
        </is>
      </c>
      <c r="C706" t="inlineStr">
        <is>
          <t>C</t>
        </is>
      </c>
      <c r="D706" t="inlineStr"/>
      <c r="E706" t="inlineStr"/>
      <c r="F706" t="inlineStr">
        <is>
          <t>Technical Requirement</t>
        </is>
      </c>
      <c r="G706" s="9" t="inlineStr">
        <is>
          <t>Desirable</t>
        </is>
      </c>
      <c r="H706" s="6" t="inlineStr">
        <is>
          <t>Medium</t>
        </is>
      </c>
      <c r="I706" t="inlineStr"/>
      <c r="J706" t="inlineStr">
        <is>
          <t>Not Started</t>
        </is>
      </c>
      <c r="K706" t="inlineStr"/>
      <c r="L706" t="inlineStr"/>
      <c r="M706" t="inlineStr"/>
      <c r="N706" t="inlineStr"/>
      <c r="O706" t="inlineStr"/>
      <c r="P706" t="inlineStr"/>
      <c r="Q706" t="inlineStr"/>
      <c r="R706" t="inlineStr"/>
      <c r="S706" t="inlineStr"/>
    </row>
    <row r="707">
      <c r="A707" t="inlineStr">
        <is>
          <t>REQ-00758</t>
        </is>
      </c>
      <c r="B707" s="13" t="inlineStr">
        <is>
          <t>(2) The contract number and military contracting command;</t>
        </is>
      </c>
      <c r="C707" t="inlineStr">
        <is>
          <t>C</t>
        </is>
      </c>
      <c r="D707" t="inlineStr"/>
      <c r="E707" t="inlineStr"/>
      <c r="F707" t="inlineStr">
        <is>
          <t>Technical Requirement</t>
        </is>
      </c>
      <c r="G707" s="9" t="inlineStr">
        <is>
          <t>Desirable</t>
        </is>
      </c>
      <c r="H707" s="6" t="inlineStr">
        <is>
          <t>Medium</t>
        </is>
      </c>
      <c r="I707" t="inlineStr"/>
      <c r="J707" t="inlineStr">
        <is>
          <t>Not Started</t>
        </is>
      </c>
      <c r="K707" t="inlineStr"/>
      <c r="L707" t="inlineStr"/>
      <c r="M707" t="inlineStr"/>
      <c r="N707" t="inlineStr"/>
      <c r="O707" t="inlineStr"/>
      <c r="P707" t="inlineStr"/>
      <c r="Q707" t="inlineStr"/>
      <c r="R707" t="inlineStr"/>
      <c r="S707" t="inlineStr"/>
    </row>
    <row r="708">
      <c r="A708" t="inlineStr">
        <is>
          <t>REQ-00759</t>
        </is>
      </c>
      <c r="B708" s="13" t="inlineStr">
        <is>
          <t>(3) The highest classification category of defense information to which contractor employees will have access;</t>
        </is>
      </c>
      <c r="C708" t="inlineStr">
        <is>
          <t>C</t>
        </is>
      </c>
      <c r="D708" t="inlineStr"/>
      <c r="E708" t="inlineStr"/>
      <c r="F708" t="inlineStr">
        <is>
          <t>Technical Requirement</t>
        </is>
      </c>
      <c r="G708" s="9" t="inlineStr">
        <is>
          <t>Desirable</t>
        </is>
      </c>
      <c r="H708" s="6" t="inlineStr">
        <is>
          <t>Medium</t>
        </is>
      </c>
      <c r="I708" t="inlineStr"/>
      <c r="J708" t="inlineStr">
        <is>
          <t>Not Started</t>
        </is>
      </c>
      <c r="K708" t="inlineStr"/>
      <c r="L708" t="inlineStr"/>
      <c r="M708" t="inlineStr"/>
      <c r="N708" t="inlineStr"/>
      <c r="O708" t="inlineStr"/>
      <c r="P708" t="inlineStr"/>
      <c r="Q708" t="inlineStr"/>
      <c r="R708" t="inlineStr"/>
      <c r="S708" t="inlineStr"/>
    </row>
    <row r="709">
      <c r="A709" t="inlineStr">
        <is>
          <t>REQ-00760</t>
        </is>
      </c>
      <c r="B709" s="13" t="inlineStr">
        <is>
          <t>(4) The Air Force installations in the U.S. (in overseas areas, identify only the APO number(s)) where the contract work will be performed;</t>
        </is>
      </c>
      <c r="C709" t="inlineStr">
        <is>
          <t>C</t>
        </is>
      </c>
      <c r="D709" t="inlineStr"/>
      <c r="E709" t="inlineStr"/>
      <c r="F709" t="inlineStr">
        <is>
          <t>Technical Requirement</t>
        </is>
      </c>
      <c r="G709" s="9" t="inlineStr">
        <is>
          <t>Desirable</t>
        </is>
      </c>
      <c r="H709" s="6" t="inlineStr">
        <is>
          <t>Medium</t>
        </is>
      </c>
      <c r="I709" t="inlineStr"/>
      <c r="J709" t="inlineStr">
        <is>
          <t>Not Started</t>
        </is>
      </c>
      <c r="K709" t="inlineStr"/>
      <c r="L709" t="inlineStr"/>
      <c r="M709" t="inlineStr"/>
      <c r="N709" t="inlineStr"/>
      <c r="O709" t="inlineStr"/>
      <c r="P709" t="inlineStr"/>
      <c r="Q709" t="inlineStr"/>
      <c r="R709" t="inlineStr"/>
      <c r="S709" t="inlineStr"/>
    </row>
    <row r="710">
      <c r="A710" t="inlineStr">
        <is>
          <t>REQ-00761</t>
        </is>
      </c>
      <c r="B710" s="13" t="inlineStr">
        <is>
          <t>(5) The date contractor operations will begin on base in the U.S. or in the overseas area;</t>
        </is>
      </c>
      <c r="C710" t="inlineStr">
        <is>
          <t>C</t>
        </is>
      </c>
      <c r="D710" t="inlineStr"/>
      <c r="E710" t="inlineStr"/>
      <c r="F710" t="inlineStr">
        <is>
          <t>Technical Requirement</t>
        </is>
      </c>
      <c r="G710" s="9" t="inlineStr">
        <is>
          <t>Desirable</t>
        </is>
      </c>
      <c r="H710" s="6" t="inlineStr">
        <is>
          <t>Medium</t>
        </is>
      </c>
      <c r="I710" t="inlineStr"/>
      <c r="J710" t="inlineStr">
        <is>
          <t>Not Started</t>
        </is>
      </c>
      <c r="K710" t="inlineStr"/>
      <c r="L710" t="inlineStr"/>
      <c r="M710" t="inlineStr"/>
      <c r="N710" t="inlineStr"/>
      <c r="O710" t="inlineStr"/>
      <c r="P710" t="inlineStr"/>
      <c r="Q710" t="inlineStr"/>
      <c r="R710" t="inlineStr"/>
      <c r="S710" t="inlineStr"/>
    </row>
    <row r="711">
      <c r="A711" t="inlineStr">
        <is>
          <t>REQ-00762</t>
        </is>
      </c>
      <c r="B711" s="13" t="inlineStr">
        <is>
          <t>(6) The estimated completion date of operations on base in the U.S. or in the overseas area; and,</t>
        </is>
      </c>
      <c r="C711" t="inlineStr">
        <is>
          <t>C</t>
        </is>
      </c>
      <c r="D711" t="inlineStr"/>
      <c r="E711" t="inlineStr"/>
      <c r="F711" t="inlineStr">
        <is>
          <t>Technical Requirement</t>
        </is>
      </c>
      <c r="G711" s="9" t="inlineStr">
        <is>
          <t>Desirable</t>
        </is>
      </c>
      <c r="H711" s="6" t="inlineStr">
        <is>
          <t>Medium</t>
        </is>
      </c>
      <c r="I711" t="inlineStr"/>
      <c r="J711" t="inlineStr">
        <is>
          <t>Not Started</t>
        </is>
      </c>
      <c r="K711" t="inlineStr"/>
      <c r="L711" t="inlineStr"/>
      <c r="M711" t="inlineStr"/>
      <c r="N711" t="inlineStr"/>
      <c r="O711" t="inlineStr"/>
      <c r="P711" t="inlineStr"/>
      <c r="Q711" t="inlineStr"/>
      <c r="R711" t="inlineStr"/>
      <c r="S711" t="inlineStr"/>
    </row>
    <row r="712">
      <c r="A712" t="inlineStr">
        <is>
          <t>REQ-00763</t>
        </is>
      </c>
      <c r="B712" s="13" t="inlineStr">
        <is>
          <t>(7) Any changes to information previously provided under this clause.
(End of clause)
FA880625RB003
Page 7 of 15
DRAFT</t>
        </is>
      </c>
      <c r="C712" t="inlineStr">
        <is>
          <t>C</t>
        </is>
      </c>
      <c r="D712" t="inlineStr"/>
      <c r="E712" t="inlineStr"/>
      <c r="F712" t="inlineStr">
        <is>
          <t>Technical Requirement</t>
        </is>
      </c>
      <c r="G712" s="9" t="inlineStr">
        <is>
          <t>Desirable</t>
        </is>
      </c>
      <c r="H712" s="6" t="inlineStr">
        <is>
          <t>Medium</t>
        </is>
      </c>
      <c r="I712" t="inlineStr"/>
      <c r="J712" t="inlineStr">
        <is>
          <t>Not Started</t>
        </is>
      </c>
      <c r="K712" t="inlineStr"/>
      <c r="L712" t="inlineStr"/>
      <c r="M712" t="inlineStr"/>
      <c r="N712" t="inlineStr"/>
      <c r="O712" t="inlineStr"/>
      <c r="P712" t="inlineStr"/>
      <c r="Q712" t="inlineStr"/>
      <c r="R712" t="inlineStr"/>
      <c r="S712" t="inlineStr"/>
    </row>
    <row r="713">
      <c r="A713" t="inlineStr">
        <is>
          <t>REQ-00764</t>
        </is>
      </c>
      <c r="B713" s="13" t="inlineStr">
        <is>
          <t>5352.209-9000 Organizational Conflict of Interest (Alternate III) (Jul 2023) Alternate III (Jul 2023)</t>
        </is>
      </c>
      <c r="C713" t="inlineStr">
        <is>
          <t>C</t>
        </is>
      </c>
      <c r="D713" t="inlineStr"/>
      <c r="E713" t="inlineStr"/>
      <c r="F713" t="inlineStr">
        <is>
          <t>Technical Requirement</t>
        </is>
      </c>
      <c r="G713" s="9" t="inlineStr">
        <is>
          <t>Desirable</t>
        </is>
      </c>
      <c r="H713" s="6" t="inlineStr">
        <is>
          <t>Medium</t>
        </is>
      </c>
      <c r="I713" t="inlineStr"/>
      <c r="J713" t="inlineStr">
        <is>
          <t>Not Started</t>
        </is>
      </c>
      <c r="K713" t="inlineStr"/>
      <c r="L713" t="inlineStr"/>
      <c r="M713" t="inlineStr"/>
      <c r="N713" t="inlineStr"/>
      <c r="O713" t="inlineStr"/>
      <c r="P713" t="inlineStr"/>
      <c r="Q713" t="inlineStr"/>
      <c r="R713" t="inlineStr"/>
      <c r="S713" t="inlineStr"/>
    </row>
    <row r="714">
      <c r="A714" t="inlineStr">
        <is>
          <t>REQ-00765</t>
        </is>
      </c>
      <c r="B714" s="13" t="inlineStr">
        <is>
          <t>(a) The following restrictions and definitions apply to prevent conflicting roles which may bias the Contractor's judgment or objectivity, or to 
preclude the Contractor from obtaining an unfair competitive advantage in concurrent or future acquisitions.</t>
        </is>
      </c>
      <c r="C714" t="inlineStr">
        <is>
          <t>C</t>
        </is>
      </c>
      <c r="D714" t="inlineStr"/>
      <c r="E714" t="inlineStr"/>
      <c r="F714" t="inlineStr">
        <is>
          <t>Technical Requirement</t>
        </is>
      </c>
      <c r="G714" s="9" t="inlineStr">
        <is>
          <t>Desirable</t>
        </is>
      </c>
      <c r="H714" s="7" t="inlineStr">
        <is>
          <t>Low</t>
        </is>
      </c>
      <c r="I714" t="inlineStr"/>
      <c r="J714" t="inlineStr">
        <is>
          <t>Not Started</t>
        </is>
      </c>
      <c r="K714" t="inlineStr"/>
      <c r="L714" t="inlineStr"/>
      <c r="M714" t="inlineStr"/>
      <c r="N714" t="inlineStr"/>
      <c r="O714" t="inlineStr"/>
      <c r="P714" t="inlineStr"/>
      <c r="Q714" t="inlineStr"/>
      <c r="R714" t="inlineStr"/>
      <c r="S714" t="inlineStr"/>
    </row>
    <row r="715">
      <c r="A715" t="inlineStr">
        <is>
          <t>REQ-00766</t>
        </is>
      </c>
      <c r="B715" s="13" t="inlineStr">
        <is>
          <t>(1) Descriptions or definitions:
""Contractor"" means the business entity receiving the award of this contract, its parents, affiliates, divisions and subsidiaries.
""Development"" means all efforts towards solution of broadly-defined problems. This may encompass research, evaluating technical feasibility, 
proof of design and test, or engineering of programs not yet approved for acquisition or...</t>
        </is>
      </c>
      <c r="C715" t="inlineStr">
        <is>
          <t>C</t>
        </is>
      </c>
      <c r="D715" t="inlineStr"/>
      <c r="E715" t="inlineStr"/>
      <c r="F715" t="inlineStr">
        <is>
          <t>Technical Requirement</t>
        </is>
      </c>
      <c r="G715" s="9" t="inlineStr">
        <is>
          <t>Desirable</t>
        </is>
      </c>
      <c r="H715" s="7" t="inlineStr">
        <is>
          <t>Low</t>
        </is>
      </c>
      <c r="I715" t="inlineStr"/>
      <c r="J715" t="inlineStr">
        <is>
          <t>Not Started</t>
        </is>
      </c>
      <c r="K715" t="inlineStr"/>
      <c r="L715" t="inlineStr"/>
      <c r="M715" t="inlineStr"/>
      <c r="N715" t="inlineStr"/>
      <c r="O715" t="inlineStr"/>
      <c r="P715" t="inlineStr"/>
      <c r="Q715" t="inlineStr"/>
      <c r="R715" t="inlineStr"/>
      <c r="S715" t="inlineStr"/>
    </row>
    <row r="716">
      <c r="A716" t="inlineStr">
        <is>
          <t>REQ-00767</t>
        </is>
      </c>
      <c r="B716" s="13" t="inlineStr">
        <is>
          <t>(2)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t>
        </is>
      </c>
      <c r="C716" t="inlineStr">
        <is>
          <t>C</t>
        </is>
      </c>
      <c r="D716" t="inlineStr"/>
      <c r="E716" t="inlineStr"/>
      <c r="F716" t="inlineStr">
        <is>
          <t>Technical Requirement</t>
        </is>
      </c>
      <c r="G716" s="8" t="inlineStr">
        <is>
          <t>Mandatory</t>
        </is>
      </c>
      <c r="H716" s="5" t="inlineStr">
        <is>
          <t>High</t>
        </is>
      </c>
      <c r="I716" t="inlineStr"/>
      <c r="J716" t="inlineStr">
        <is>
          <t>Not Started</t>
        </is>
      </c>
      <c r="K716" t="inlineStr"/>
      <c r="L716" t="inlineStr"/>
      <c r="M716" t="inlineStr"/>
      <c r="N716" t="inlineStr"/>
      <c r="O716" t="inlineStr"/>
      <c r="P716" t="inlineStr"/>
      <c r="Q716" t="inlineStr"/>
      <c r="R716" t="inlineStr"/>
      <c r="S716" t="inlineStr"/>
    </row>
    <row r="717">
      <c r="A717" t="inlineStr">
        <is>
          <t>REQ-00768</t>
        </is>
      </c>
      <c r="B717" s="13" t="inlineStr">
        <is>
          <t>(b) The Contractor may gain access to proprietary information of other companies during contract performance. The Contractor agrees to enter into 
company-to-company agreements to: (1) protect another company's information from unauthorized use or disclosure for as long as it is considered 
proprietary by the other company; and, (2) to refrain from using the information for any purpose other th...</t>
        </is>
      </c>
      <c r="C717" t="inlineStr">
        <is>
          <t>C</t>
        </is>
      </c>
      <c r="D717" t="inlineStr"/>
      <c r="E717" t="inlineStr"/>
      <c r="F717" t="inlineStr">
        <is>
          <t>Technical Requirement</t>
        </is>
      </c>
      <c r="G717" s="8" t="inlineStr">
        <is>
          <t>Mandatory</t>
        </is>
      </c>
      <c r="H717" s="5" t="inlineStr">
        <is>
          <t>High</t>
        </is>
      </c>
      <c r="I717" t="inlineStr"/>
      <c r="J717" t="inlineStr">
        <is>
          <t>Not Started</t>
        </is>
      </c>
      <c r="K717" t="inlineStr"/>
      <c r="L717" t="inlineStr"/>
      <c r="M717" t="inlineStr"/>
      <c r="N717" t="inlineStr"/>
      <c r="O717" t="inlineStr"/>
      <c r="P717" t="inlineStr"/>
      <c r="Q717" t="inlineStr"/>
      <c r="R717" t="inlineStr"/>
      <c r="S717" t="inlineStr"/>
    </row>
    <row r="718">
      <c r="A718" t="inlineStr">
        <is>
          <t>REQ-00769</t>
        </is>
      </c>
      <c r="B718" s="13" t="inlineStr">
        <is>
          <t>5352.209-9000 Organizational Conflict of Interest (Alternate IV) (Jul 2023) Alternate IV (Jul 2023)</t>
        </is>
      </c>
      <c r="C718" t="inlineStr">
        <is>
          <t>C</t>
        </is>
      </c>
      <c r="D718" t="inlineStr"/>
      <c r="E718" t="inlineStr"/>
      <c r="F718" t="inlineStr">
        <is>
          <t>Technical Requirement</t>
        </is>
      </c>
      <c r="G718" s="9" t="inlineStr">
        <is>
          <t>Desirable</t>
        </is>
      </c>
      <c r="H718" s="6" t="inlineStr">
        <is>
          <t>Medium</t>
        </is>
      </c>
      <c r="I718" t="inlineStr"/>
      <c r="J718" t="inlineStr">
        <is>
          <t>Not Started</t>
        </is>
      </c>
      <c r="K718" t="inlineStr"/>
      <c r="L718" t="inlineStr"/>
      <c r="M718" t="inlineStr"/>
      <c r="N718" t="inlineStr"/>
      <c r="O718" t="inlineStr"/>
      <c r="P718" t="inlineStr"/>
      <c r="Q718" t="inlineStr"/>
      <c r="R718" t="inlineStr"/>
      <c r="S718" t="inlineStr"/>
    </row>
    <row r="719">
      <c r="A719" t="inlineStr">
        <is>
          <t>REQ-00770</t>
        </is>
      </c>
      <c r="B719" s="13" t="inlineStr">
        <is>
          <t>(2)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t>
        </is>
      </c>
      <c r="C719" t="inlineStr">
        <is>
          <t>C</t>
        </is>
      </c>
      <c r="D719" t="inlineStr"/>
      <c r="E719" t="inlineStr"/>
      <c r="F719" t="inlineStr">
        <is>
          <t>Technical Requirement</t>
        </is>
      </c>
      <c r="G719" s="8" t="inlineStr">
        <is>
          <t>Mandatory</t>
        </is>
      </c>
      <c r="H719" s="5" t="inlineStr">
        <is>
          <t>High</t>
        </is>
      </c>
      <c r="I719" t="inlineStr"/>
      <c r="J719" t="inlineStr">
        <is>
          <t>Not Started</t>
        </is>
      </c>
      <c r="K719" t="inlineStr"/>
      <c r="L719" t="inlineStr"/>
      <c r="M719" t="inlineStr"/>
      <c r="N719" t="inlineStr"/>
      <c r="O719" t="inlineStr"/>
      <c r="P719" t="inlineStr"/>
      <c r="Q719" t="inlineStr"/>
      <c r="R719" t="inlineStr"/>
      <c r="S719" t="inlineStr"/>
    </row>
    <row r="720">
      <c r="A720" t="inlineStr">
        <is>
          <t>REQ-00771</t>
        </is>
      </c>
      <c r="B720" s="13"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t>
        </is>
      </c>
      <c r="C720" t="inlineStr">
        <is>
          <t>C</t>
        </is>
      </c>
      <c r="D720" t="inlineStr"/>
      <c r="E720" t="inlineStr"/>
      <c r="F720" t="inlineStr">
        <is>
          <t>Technical Requirement</t>
        </is>
      </c>
      <c r="G720" s="8" t="inlineStr">
        <is>
          <t>Mandatory</t>
        </is>
      </c>
      <c r="H720" s="5" t="inlineStr">
        <is>
          <t>High</t>
        </is>
      </c>
      <c r="I720" t="inlineStr"/>
      <c r="J720" t="inlineStr">
        <is>
          <t>Not Started</t>
        </is>
      </c>
      <c r="K720" t="inlineStr"/>
      <c r="L720" t="inlineStr"/>
      <c r="M720" t="inlineStr"/>
      <c r="N720" t="inlineStr"/>
      <c r="O720" t="inlineStr"/>
      <c r="P720" t="inlineStr"/>
      <c r="Q720" t="inlineStr"/>
      <c r="R720" t="inlineStr"/>
      <c r="S720" t="inlineStr"/>
    </row>
    <row r="721">
      <c r="A721" t="inlineStr">
        <is>
          <t>REQ-00772</t>
        </is>
      </c>
      <c r="B721" s="13" t="inlineStr">
        <is>
          <t>(b) The Contractor agrees to accept and to complete all issued task orders, and not to contract with Government prime Contractors or first-tier 
subcontractors in such a way as to create an organizational conflict of interest.
(End of clause)</t>
        </is>
      </c>
      <c r="C721" t="inlineStr">
        <is>
          <t>C</t>
        </is>
      </c>
      <c r="D721" t="inlineStr"/>
      <c r="E721" t="inlineStr"/>
      <c r="F721" t="inlineStr">
        <is>
          <t>Technical Requirement</t>
        </is>
      </c>
      <c r="G721" s="9" t="inlineStr">
        <is>
          <t>Desirable</t>
        </is>
      </c>
      <c r="H721" s="6" t="inlineStr">
        <is>
          <t>Medium</t>
        </is>
      </c>
      <c r="I721" t="inlineStr"/>
      <c r="J721" t="inlineStr">
        <is>
          <t>Not Started</t>
        </is>
      </c>
      <c r="K721" t="inlineStr"/>
      <c r="L721" t="inlineStr"/>
      <c r="M721" t="inlineStr"/>
      <c r="N721" t="inlineStr"/>
      <c r="O721" t="inlineStr"/>
      <c r="P721" t="inlineStr"/>
      <c r="Q721" t="inlineStr"/>
      <c r="R721" t="inlineStr"/>
      <c r="S721" t="inlineStr"/>
    </row>
    <row r="722">
      <c r="A722" t="inlineStr">
        <is>
          <t>REQ-00773</t>
        </is>
      </c>
      <c r="B722" s="13" t="inlineStr">
        <is>
          <t>5352.209-9000 Organizational Conflict of Interest (Alternate II) (Jul 2023) Alternate II (Jul 2023)</t>
        </is>
      </c>
      <c r="C722" t="inlineStr">
        <is>
          <t>C</t>
        </is>
      </c>
      <c r="D722" t="inlineStr"/>
      <c r="E722" t="inlineStr"/>
      <c r="F722" t="inlineStr">
        <is>
          <t>Technical Requirement</t>
        </is>
      </c>
      <c r="G722" s="9" t="inlineStr">
        <is>
          <t>Desirable</t>
        </is>
      </c>
      <c r="H722" s="6" t="inlineStr">
        <is>
          <t>Medium</t>
        </is>
      </c>
      <c r="I722" t="inlineStr"/>
      <c r="J722" t="inlineStr">
        <is>
          <t>Not Started</t>
        </is>
      </c>
      <c r="K722" t="inlineStr"/>
      <c r="L722" t="inlineStr"/>
      <c r="M722" t="inlineStr"/>
      <c r="N722" t="inlineStr"/>
      <c r="O722" t="inlineStr"/>
      <c r="P722" t="inlineStr"/>
      <c r="Q722" t="inlineStr"/>
      <c r="R722" t="inlineStr"/>
      <c r="S722" t="inlineStr"/>
    </row>
    <row r="723">
      <c r="A723" t="inlineStr">
        <is>
          <t>REQ-00774</t>
        </is>
      </c>
      <c r="B723" s="13" t="inlineStr">
        <is>
          <t>(2) 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&lt;&gt;. This does not apply to other technical evaluations concerning the system.
(End of clause)</t>
        </is>
      </c>
      <c r="C723" t="inlineStr">
        <is>
          <t>C</t>
        </is>
      </c>
      <c r="D723" t="inlineStr"/>
      <c r="E723" t="inlineStr"/>
      <c r="F723" t="inlineStr">
        <is>
          <t>Technical Requirement</t>
        </is>
      </c>
      <c r="G723" s="8" t="inlineStr">
        <is>
          <t>Mandatory</t>
        </is>
      </c>
      <c r="H723" s="5" t="inlineStr">
        <is>
          <t>High</t>
        </is>
      </c>
      <c r="I723" t="inlineStr"/>
      <c r="J723" t="inlineStr">
        <is>
          <t>Not Started</t>
        </is>
      </c>
      <c r="K723" t="inlineStr"/>
      <c r="L723" t="inlineStr"/>
      <c r="M723" t="inlineStr"/>
      <c r="N723" t="inlineStr"/>
      <c r="O723" t="inlineStr"/>
      <c r="P723" t="inlineStr"/>
      <c r="Q723" t="inlineStr"/>
      <c r="R723" t="inlineStr"/>
      <c r="S723" t="inlineStr"/>
    </row>
    <row r="724">
      <c r="A724" t="inlineStr">
        <is>
          <t>REQ-00775</t>
        </is>
      </c>
      <c r="B724" s="13" t="inlineStr">
        <is>
          <t>5352.209-9000 Organizational Conflict of Interest (Jul 2023)</t>
        </is>
      </c>
      <c r="C724" t="inlineStr">
        <is>
          <t>C</t>
        </is>
      </c>
      <c r="D724" t="inlineStr"/>
      <c r="E724" t="inlineStr"/>
      <c r="F724" t="inlineStr">
        <is>
          <t>Technical Requirement</t>
        </is>
      </c>
      <c r="G724" s="9" t="inlineStr">
        <is>
          <t>Desirable</t>
        </is>
      </c>
      <c r="H724" s="6" t="inlineStr">
        <is>
          <t>Medium</t>
        </is>
      </c>
      <c r="I724" t="inlineStr"/>
      <c r="J724" t="inlineStr">
        <is>
          <t>Not Started</t>
        </is>
      </c>
      <c r="K724" t="inlineStr"/>
      <c r="L724" t="inlineStr"/>
      <c r="M724" t="inlineStr"/>
      <c r="N724" t="inlineStr"/>
      <c r="O724" t="inlineStr"/>
      <c r="P724" t="inlineStr"/>
      <c r="Q724" t="inlineStr"/>
      <c r="R724" t="inlineStr"/>
      <c r="S724" t="inlineStr"/>
    </row>
    <row r="725">
      <c r="A725" t="inlineStr">
        <is>
          <t>REQ-00776</t>
        </is>
      </c>
      <c r="B725" s="13" t="inlineStr">
        <is>
          <t>(2)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t>
        </is>
      </c>
      <c r="C725" t="inlineStr">
        <is>
          <t>C</t>
        </is>
      </c>
      <c r="D725" t="inlineStr"/>
      <c r="E725" t="inlineStr"/>
      <c r="F725" t="inlineStr">
        <is>
          <t>Technical Requirement</t>
        </is>
      </c>
      <c r="G725" s="8" t="inlineStr">
        <is>
          <t>Mandatory</t>
        </is>
      </c>
      <c r="H725" s="5" t="inlineStr">
        <is>
          <t>High</t>
        </is>
      </c>
      <c r="I725" t="inlineStr"/>
      <c r="J725" t="inlineStr">
        <is>
          <t>Not Started</t>
        </is>
      </c>
      <c r="K725" t="inlineStr"/>
      <c r="L725" t="inlineStr"/>
      <c r="M725" t="inlineStr"/>
      <c r="N725" t="inlineStr"/>
      <c r="O725" t="inlineStr"/>
      <c r="P725" t="inlineStr"/>
      <c r="Q725" t="inlineStr"/>
      <c r="R725" t="inlineStr"/>
      <c r="S725" t="inlineStr"/>
    </row>
    <row r="726">
      <c r="A726" t="inlineStr">
        <is>
          <t>REQ-00777</t>
        </is>
      </c>
      <c r="B726" s="13"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t>
        </is>
      </c>
      <c r="C726" t="inlineStr">
        <is>
          <t>C</t>
        </is>
      </c>
      <c r="D726" t="inlineStr"/>
      <c r="E726" t="inlineStr"/>
      <c r="F726" t="inlineStr">
        <is>
          <t>Technical Requirement</t>
        </is>
      </c>
      <c r="G726" s="8" t="inlineStr">
        <is>
          <t>Mandatory</t>
        </is>
      </c>
      <c r="H726" s="5" t="inlineStr">
        <is>
          <t>High</t>
        </is>
      </c>
      <c r="I726" t="inlineStr"/>
      <c r="J726" t="inlineStr">
        <is>
          <t>Not Started</t>
        </is>
      </c>
      <c r="K726" t="inlineStr"/>
      <c r="L726" t="inlineStr"/>
      <c r="M726" t="inlineStr"/>
      <c r="N726" t="inlineStr"/>
      <c r="O726" t="inlineStr"/>
      <c r="P726" t="inlineStr"/>
      <c r="Q726" t="inlineStr"/>
      <c r="R726" t="inlineStr"/>
      <c r="S726" t="inlineStr"/>
    </row>
    <row r="727">
      <c r="A727" t="inlineStr">
        <is>
          <t>REQ-00778</t>
        </is>
      </c>
      <c r="B727" s="13" t="inlineStr">
        <is>
          <t>5352.209-9000 Organizational Conflict of Interest (Alternate V) (Jul 2023) Alternate V (Jul 2023)</t>
        </is>
      </c>
      <c r="C727" t="inlineStr">
        <is>
          <t>C</t>
        </is>
      </c>
      <c r="D727" t="inlineStr"/>
      <c r="E727" t="inlineStr"/>
      <c r="F727" t="inlineStr">
        <is>
          <t>Technical Requirement</t>
        </is>
      </c>
      <c r="G727" s="9" t="inlineStr">
        <is>
          <t>Desirable</t>
        </is>
      </c>
      <c r="H727" s="6" t="inlineStr">
        <is>
          <t>Medium</t>
        </is>
      </c>
      <c r="I727" t="inlineStr"/>
      <c r="J727" t="inlineStr">
        <is>
          <t>Not Started</t>
        </is>
      </c>
      <c r="K727" t="inlineStr"/>
      <c r="L727" t="inlineStr"/>
      <c r="M727" t="inlineStr"/>
      <c r="N727" t="inlineStr"/>
      <c r="O727" t="inlineStr"/>
      <c r="P727" t="inlineStr"/>
      <c r="Q727" t="inlineStr"/>
      <c r="R727" t="inlineStr"/>
      <c r="S727" t="inlineStr"/>
    </row>
    <row r="728">
      <c r="A728" t="inlineStr">
        <is>
          <t>REQ-00779</t>
        </is>
      </c>
      <c r="B728" s="13" t="inlineStr">
        <is>
          <t>(b) 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
        </is>
      </c>
      <c r="C728" t="inlineStr">
        <is>
          <t>C</t>
        </is>
      </c>
      <c r="D728" t="inlineStr"/>
      <c r="E728" t="inlineStr"/>
      <c r="F728" t="inlineStr">
        <is>
          <t>Technical Requirement</t>
        </is>
      </c>
      <c r="G728" s="8" t="inlineStr">
        <is>
          <t>Mandatory</t>
        </is>
      </c>
      <c r="H728" s="5" t="inlineStr">
        <is>
          <t>High</t>
        </is>
      </c>
      <c r="I728" t="inlineStr"/>
      <c r="J728" t="inlineStr">
        <is>
          <t>Not Started</t>
        </is>
      </c>
      <c r="K728" t="inlineStr"/>
      <c r="L728" t="inlineStr"/>
      <c r="M728" t="inlineStr"/>
      <c r="N728" t="inlineStr"/>
      <c r="O728" t="inlineStr"/>
      <c r="P728" t="inlineStr"/>
      <c r="Q728" t="inlineStr"/>
      <c r="R728" t="inlineStr"/>
      <c r="S728" t="inlineStr"/>
    </row>
    <row r="729">
      <c r="A729" t="inlineStr">
        <is>
          <t>REQ-00780</t>
        </is>
      </c>
      <c r="B729" s="13" t="inlineStr">
        <is>
          <t>5352.223-9000 Elimination of Use of Class I Ozone Depleting Substances (ODS) (Jun 2024)
FA880625RB003
Page 10 of 15
DRAFT</t>
        </is>
      </c>
      <c r="C729" t="inlineStr">
        <is>
          <t>C</t>
        </is>
      </c>
      <c r="D729" t="inlineStr"/>
      <c r="E729" t="inlineStr"/>
      <c r="F729" t="inlineStr">
        <is>
          <t>Technical Requirement</t>
        </is>
      </c>
      <c r="G729" s="9" t="inlineStr">
        <is>
          <t>Desirable</t>
        </is>
      </c>
      <c r="H729" s="6" t="inlineStr">
        <is>
          <t>Medium</t>
        </is>
      </c>
      <c r="I729" t="inlineStr"/>
      <c r="J729" t="inlineStr">
        <is>
          <t>Not Started</t>
        </is>
      </c>
      <c r="K729" t="inlineStr"/>
      <c r="L729" t="inlineStr"/>
      <c r="M729" t="inlineStr"/>
      <c r="N729" t="inlineStr"/>
      <c r="O729" t="inlineStr"/>
      <c r="P729" t="inlineStr"/>
      <c r="Q729" t="inlineStr"/>
      <c r="R729" t="inlineStr"/>
      <c r="S729" t="inlineStr"/>
    </row>
    <row r="730">
      <c r="A730" t="inlineStr">
        <is>
          <t>REQ-00781</t>
        </is>
      </c>
      <c r="B730" s="13" t="inlineStr">
        <is>
          <t>(1) Provide any service or product with any specification, standard, drawing, or other document that requires the use of a Class I ODS in the test, 
operation, or maintenance of any system, subsystem, item, component, or process; or</t>
        </is>
      </c>
      <c r="C730" t="inlineStr">
        <is>
          <t>C</t>
        </is>
      </c>
      <c r="D730" t="inlineStr"/>
      <c r="E730" t="inlineStr"/>
      <c r="F730" t="inlineStr">
        <is>
          <t>Technical Requirement</t>
        </is>
      </c>
      <c r="G730" s="9" t="inlineStr">
        <is>
          <t>Desirable</t>
        </is>
      </c>
      <c r="H730" s="6" t="inlineStr">
        <is>
          <t>Medium</t>
        </is>
      </c>
      <c r="I730" t="inlineStr"/>
      <c r="J730" t="inlineStr">
        <is>
          <t>Not Started</t>
        </is>
      </c>
      <c r="K730" t="inlineStr"/>
      <c r="L730" t="inlineStr"/>
      <c r="M730" t="inlineStr"/>
      <c r="N730" t="inlineStr"/>
      <c r="O730" t="inlineStr"/>
      <c r="P730" t="inlineStr"/>
      <c r="Q730" t="inlineStr"/>
      <c r="R730" t="inlineStr"/>
      <c r="S730" t="inlineStr"/>
    </row>
    <row r="731">
      <c r="A731" t="inlineStr">
        <is>
          <t>REQ-00782</t>
        </is>
      </c>
      <c r="B731" s="13" t="inlineStr">
        <is>
          <t>(2) Provide any specification, standard, drawing, or other document that establishes a test, operation, or maintenance requirement that can only be met 
by use of a Class I ODS as part of this contract/order.</t>
        </is>
      </c>
      <c r="C731" t="inlineStr">
        <is>
          <t>C</t>
        </is>
      </c>
      <c r="D731" t="inlineStr"/>
      <c r="E731" t="inlineStr"/>
      <c r="F731" t="inlineStr">
        <is>
          <t>Technical Requirement</t>
        </is>
      </c>
      <c r="G731" s="9" t="inlineStr">
        <is>
          <t>Desirable</t>
        </is>
      </c>
      <c r="H731" s="7" t="inlineStr">
        <is>
          <t>Low</t>
        </is>
      </c>
      <c r="I731" t="inlineStr"/>
      <c r="J731" t="inlineStr">
        <is>
          <t>Not Started</t>
        </is>
      </c>
      <c r="K731" t="inlineStr"/>
      <c r="L731" t="inlineStr"/>
      <c r="M731" t="inlineStr"/>
      <c r="N731" t="inlineStr"/>
      <c r="O731" t="inlineStr"/>
      <c r="P731" t="inlineStr"/>
      <c r="Q731" t="inlineStr"/>
      <c r="R731" t="inlineStr"/>
      <c r="S731" t="inlineStr"/>
    </row>
    <row r="732">
      <c r="A732" t="inlineStr">
        <is>
          <t>REQ-00783</t>
        </is>
      </c>
      <c r="B732" s="13" t="inlineStr">
        <is>
          <t>(b) For the purposes of Department of the Air Force policy, the following products that are pure (i.e., they meet the relevant product specification 
identified in AFI 32-7086) are Class I ODSs:</t>
        </is>
      </c>
      <c r="C732" t="inlineStr">
        <is>
          <t>C</t>
        </is>
      </c>
      <c r="D732" t="inlineStr"/>
      <c r="E732" t="inlineStr"/>
      <c r="F732" t="inlineStr">
        <is>
          <t>Technical Requirement</t>
        </is>
      </c>
      <c r="G732" s="9" t="inlineStr">
        <is>
          <t>Desirable</t>
        </is>
      </c>
      <c r="H732" s="6" t="inlineStr">
        <is>
          <t>Medium</t>
        </is>
      </c>
      <c r="I732" t="inlineStr"/>
      <c r="J732" t="inlineStr">
        <is>
          <t>Not Started</t>
        </is>
      </c>
      <c r="K732" t="inlineStr"/>
      <c r="L732" t="inlineStr"/>
      <c r="M732" t="inlineStr"/>
      <c r="N732" t="inlineStr"/>
      <c r="O732" t="inlineStr"/>
      <c r="P732" t="inlineStr"/>
      <c r="Q732" t="inlineStr"/>
      <c r="R732" t="inlineStr"/>
      <c r="S732" t="inlineStr"/>
    </row>
    <row r="733">
      <c r="A733" t="inlineStr">
        <is>
          <t>REQ-00785</t>
        </is>
      </c>
      <c r="B733" s="13" t="inlineStr">
        <is>
          <t>(2) Chlorofluorocarbons (CFCs): CFC-11, CFC-12, CFC-13, CFC-111, CFC-112, CFC-113, CFC-114, CFC-115, CFC-211, CFC-212, CFC-213, 
CFC-214, CFC-215, CFC-216, and CFC-217, and the blends R-500, R-501, R-502, and R-503; and</t>
        </is>
      </c>
      <c r="C733" t="inlineStr">
        <is>
          <t>C</t>
        </is>
      </c>
      <c r="D733" t="inlineStr"/>
      <c r="E733" t="inlineStr"/>
      <c r="F733" t="inlineStr">
        <is>
          <t>Technical Requirement</t>
        </is>
      </c>
      <c r="G733" s="9" t="inlineStr">
        <is>
          <t>Desirable</t>
        </is>
      </c>
      <c r="H733" s="6" t="inlineStr">
        <is>
          <t>Medium</t>
        </is>
      </c>
      <c r="I733" t="inlineStr"/>
      <c r="J733" t="inlineStr">
        <is>
          <t>Not Started</t>
        </is>
      </c>
      <c r="K733" t="inlineStr"/>
      <c r="L733" t="inlineStr"/>
      <c r="M733" t="inlineStr"/>
      <c r="N733" t="inlineStr"/>
      <c r="O733" t="inlineStr"/>
      <c r="P733" t="inlineStr"/>
      <c r="Q733" t="inlineStr"/>
      <c r="R733" t="inlineStr"/>
      <c r="S733" t="inlineStr"/>
    </row>
    <row r="734">
      <c r="A734" t="inlineStr">
        <is>
          <t>REQ-00786</t>
        </is>
      </c>
      <c r="B734" s="13" t="inlineStr">
        <is>
          <t>(3) Carbon Tetrachloride, Methyl Chloroform, and Methyl Bromide.
[NOTE: Material that uses one or more of these Class I ODSs as minor constituents do not meet the Department of the Air Force definition of a Class 
I ODS.]
(End of clause)</t>
        </is>
      </c>
      <c r="C734" t="inlineStr">
        <is>
          <t>C</t>
        </is>
      </c>
      <c r="D734" t="inlineStr"/>
      <c r="E734" t="inlineStr"/>
      <c r="F734" t="inlineStr">
        <is>
          <t>Technical Requirement</t>
        </is>
      </c>
      <c r="G734" s="9" t="inlineStr">
        <is>
          <t>Desirable</t>
        </is>
      </c>
      <c r="H734" s="6" t="inlineStr">
        <is>
          <t>Medium</t>
        </is>
      </c>
      <c r="I734" t="inlineStr"/>
      <c r="J734" t="inlineStr">
        <is>
          <t>Not Started</t>
        </is>
      </c>
      <c r="K734" t="inlineStr"/>
      <c r="L734" t="inlineStr"/>
      <c r="M734" t="inlineStr"/>
      <c r="N734" t="inlineStr"/>
      <c r="O734" t="inlineStr"/>
      <c r="P734" t="inlineStr"/>
      <c r="Q734" t="inlineStr"/>
      <c r="R734" t="inlineStr"/>
      <c r="S734" t="inlineStr"/>
    </row>
    <row r="735">
      <c r="A735" t="inlineStr">
        <is>
          <t>REQ-00787</t>
        </is>
      </c>
      <c r="B735" s="13" t="inlineStr">
        <is>
          <t>5352.223-9001 Health and Safety on Government Installations (Jul 2023)</t>
        </is>
      </c>
      <c r="C735" t="inlineStr">
        <is>
          <t>C</t>
        </is>
      </c>
      <c r="D735" t="inlineStr"/>
      <c r="E735" t="inlineStr"/>
      <c r="F735" t="inlineStr">
        <is>
          <t>Technical Requirement</t>
        </is>
      </c>
      <c r="G735" s="9" t="inlineStr">
        <is>
          <t>Desirable</t>
        </is>
      </c>
      <c r="H735" s="6" t="inlineStr">
        <is>
          <t>Medium</t>
        </is>
      </c>
      <c r="I735" t="inlineStr"/>
      <c r="J735" t="inlineStr">
        <is>
          <t>Not Started</t>
        </is>
      </c>
      <c r="K735" t="inlineStr"/>
      <c r="L735" t="inlineStr"/>
      <c r="M735" t="inlineStr"/>
      <c r="N735" t="inlineStr"/>
      <c r="O735" t="inlineStr"/>
      <c r="P735" t="inlineStr"/>
      <c r="Q735" t="inlineStr"/>
      <c r="R735" t="inlineStr"/>
      <c r="S735" t="inlineStr"/>
    </row>
    <row r="736">
      <c r="A736" t="inlineStr">
        <is>
          <t>REQ-00788</t>
        </is>
      </c>
      <c r="B736" s="13" t="inlineStr">
        <is>
          <t>(a) In performing work under this contract on a Government installation, the contractor shall:</t>
        </is>
      </c>
      <c r="C736" t="inlineStr">
        <is>
          <t>C</t>
        </is>
      </c>
      <c r="D736" t="inlineStr"/>
      <c r="E736" t="inlineStr"/>
      <c r="F736" t="inlineStr">
        <is>
          <t>Technical Requirement</t>
        </is>
      </c>
      <c r="G736" s="8" t="inlineStr">
        <is>
          <t>Mandatory</t>
        </is>
      </c>
      <c r="H736" s="5" t="inlineStr">
        <is>
          <t>High</t>
        </is>
      </c>
      <c r="I736" t="inlineStr"/>
      <c r="J736" t="inlineStr">
        <is>
          <t>Not Started</t>
        </is>
      </c>
      <c r="K736" t="inlineStr"/>
      <c r="L736" t="inlineStr"/>
      <c r="M736" t="inlineStr"/>
      <c r="N736" t="inlineStr"/>
      <c r="O736" t="inlineStr"/>
      <c r="P736" t="inlineStr"/>
      <c r="Q736" t="inlineStr"/>
      <c r="R736" t="inlineStr"/>
      <c r="S736" t="inlineStr"/>
    </row>
    <row r="737">
      <c r="A737" t="inlineStr">
        <is>
          <t>REQ-00789</t>
        </is>
      </c>
      <c r="B737" s="13" t="inlineStr">
        <is>
          <t>(1) Take all reasonable steps and precautions to prevent accidents and preserve the health and safety of contractor and Government personnel 
performing or in any way coming in contact with the performance of this contract; and</t>
        </is>
      </c>
      <c r="C737" t="inlineStr">
        <is>
          <t>C</t>
        </is>
      </c>
      <c r="D737" t="inlineStr"/>
      <c r="E737" t="inlineStr"/>
      <c r="F737" t="inlineStr">
        <is>
          <t>Technical Requirement</t>
        </is>
      </c>
      <c r="G737" s="9" t="inlineStr">
        <is>
          <t>Desirable</t>
        </is>
      </c>
      <c r="H737" s="6" t="inlineStr">
        <is>
          <t>Medium</t>
        </is>
      </c>
      <c r="I737" t="inlineStr"/>
      <c r="J737" t="inlineStr">
        <is>
          <t>Not Started</t>
        </is>
      </c>
      <c r="K737" t="inlineStr"/>
      <c r="L737" t="inlineStr"/>
      <c r="M737" t="inlineStr"/>
      <c r="N737" t="inlineStr"/>
      <c r="O737" t="inlineStr"/>
      <c r="P737" t="inlineStr"/>
      <c r="Q737" t="inlineStr"/>
      <c r="R737" t="inlineStr"/>
      <c r="S737" t="inlineStr"/>
    </row>
    <row r="738">
      <c r="A738" t="inlineStr">
        <is>
          <t>REQ-00790</t>
        </is>
      </c>
      <c r="B738" s="13" t="inlineStr">
        <is>
          <t>(2) Take such additional immediate precautions as the contracting officer may reasonably require for health and safety purposes.</t>
        </is>
      </c>
      <c r="C738" t="inlineStr">
        <is>
          <t>C</t>
        </is>
      </c>
      <c r="D738" t="inlineStr"/>
      <c r="E738" t="inlineStr"/>
      <c r="F738" t="inlineStr">
        <is>
          <t>Technical Requirement</t>
        </is>
      </c>
      <c r="G738" s="9" t="inlineStr">
        <is>
          <t>Desirable</t>
        </is>
      </c>
      <c r="H738" s="7" t="inlineStr">
        <is>
          <t>Low</t>
        </is>
      </c>
      <c r="I738" t="inlineStr"/>
      <c r="J738" t="inlineStr">
        <is>
          <t>Not Started</t>
        </is>
      </c>
      <c r="K738" t="inlineStr"/>
      <c r="L738" t="inlineStr"/>
      <c r="M738" t="inlineStr"/>
      <c r="N738" t="inlineStr"/>
      <c r="O738" t="inlineStr"/>
      <c r="P738" t="inlineStr"/>
      <c r="Q738" t="inlineStr"/>
      <c r="R738" t="inlineStr"/>
      <c r="S738" t="inlineStr"/>
    </row>
    <row r="739">
      <c r="A739" t="inlineStr">
        <is>
          <t>REQ-00791</t>
        </is>
      </c>
      <c r="B739" s="13" t="inlineStr">
        <is>
          <t>(b) 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C739" t="inlineStr">
        <is>
          <t>C</t>
        </is>
      </c>
      <c r="D739" t="inlineStr"/>
      <c r="E739" t="inlineStr"/>
      <c r="F739" t="inlineStr">
        <is>
          <t>Technical Requirement</t>
        </is>
      </c>
      <c r="G739" s="8" t="inlineStr">
        <is>
          <t>Mandatory</t>
        </is>
      </c>
      <c r="H739" s="7" t="inlineStr">
        <is>
          <t>Low</t>
        </is>
      </c>
      <c r="I739" t="inlineStr"/>
      <c r="J739" t="inlineStr">
        <is>
          <t>Not Started</t>
        </is>
      </c>
      <c r="K739" t="inlineStr"/>
      <c r="L739" t="inlineStr"/>
      <c r="M739" t="inlineStr"/>
      <c r="N739" t="inlineStr"/>
      <c r="O739" t="inlineStr"/>
      <c r="P739" t="inlineStr"/>
      <c r="Q739" t="inlineStr"/>
      <c r="R739" t="inlineStr"/>
      <c r="S739" t="inlineStr"/>
    </row>
    <row r="740">
      <c r="A740" t="inlineStr">
        <is>
          <t>REQ-00792</t>
        </is>
      </c>
      <c r="B740" s="13" t="inlineStr">
        <is>
          <t>(c) Any violation of these health and safety rules and requirements, unless promptly corrected as directed by the contracting officer, shall be grounds 
for termination of this contract in accordance with the Default clause of this contract.
(End of clause)</t>
        </is>
      </c>
      <c r="C740" t="inlineStr">
        <is>
          <t>C</t>
        </is>
      </c>
      <c r="D740" t="inlineStr"/>
      <c r="E740" t="inlineStr"/>
      <c r="F740" t="inlineStr">
        <is>
          <t>Technical Requirement</t>
        </is>
      </c>
      <c r="G740" s="8" t="inlineStr">
        <is>
          <t>Mandatory</t>
        </is>
      </c>
      <c r="H740" s="5" t="inlineStr">
        <is>
          <t>High</t>
        </is>
      </c>
      <c r="I740" t="inlineStr"/>
      <c r="J740" t="inlineStr">
        <is>
          <t>Not Started</t>
        </is>
      </c>
      <c r="K740" t="inlineStr"/>
      <c r="L740" t="inlineStr"/>
      <c r="M740" t="inlineStr"/>
      <c r="N740" t="inlineStr"/>
      <c r="O740" t="inlineStr"/>
      <c r="P740" t="inlineStr"/>
      <c r="Q740" t="inlineStr"/>
      <c r="R740" t="inlineStr"/>
      <c r="S740" t="inlineStr"/>
    </row>
    <row r="741">
      <c r="A741" t="inlineStr">
        <is>
          <t>REQ-00793</t>
        </is>
      </c>
      <c r="B741" s="13" t="inlineStr">
        <is>
          <t>5352.242-9000 Contractor Access to Air Force Installations (Jun 2024)</t>
        </is>
      </c>
      <c r="C741" t="inlineStr">
        <is>
          <t>C</t>
        </is>
      </c>
      <c r="D741" t="inlineStr"/>
      <c r="E741" t="inlineStr"/>
      <c r="F741" t="inlineStr">
        <is>
          <t>Technical Requirement</t>
        </is>
      </c>
      <c r="G741" s="9" t="inlineStr">
        <is>
          <t>Desirable</t>
        </is>
      </c>
      <c r="H741" s="6" t="inlineStr">
        <is>
          <t>Medium</t>
        </is>
      </c>
      <c r="I741" t="inlineStr"/>
      <c r="J741" t="inlineStr">
        <is>
          <t>Not Started</t>
        </is>
      </c>
      <c r="K741" t="inlineStr"/>
      <c r="L741" t="inlineStr"/>
      <c r="M741" t="inlineStr"/>
      <c r="N741" t="inlineStr"/>
      <c r="O741" t="inlineStr"/>
      <c r="P741" t="inlineStr"/>
      <c r="Q741" t="inlineStr"/>
      <c r="R741" t="inlineStr"/>
      <c r="S741" t="inlineStr"/>
    </row>
    <row r="742">
      <c r="A742" t="inlineStr">
        <is>
          <t>REQ-00794</t>
        </is>
      </c>
      <c r="B742" s="13" t="inlineStr">
        <is>
          <t>(a) 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t>
        </is>
      </c>
      <c r="C742" t="inlineStr">
        <is>
          <t>C</t>
        </is>
      </c>
      <c r="D742" t="inlineStr"/>
      <c r="E742" t="inlineStr"/>
      <c r="F742" t="inlineStr">
        <is>
          <t>Technical Requirement</t>
        </is>
      </c>
      <c r="G742" s="8" t="inlineStr">
        <is>
          <t>Mandatory</t>
        </is>
      </c>
      <c r="H742" s="5" t="inlineStr">
        <is>
          <t>High</t>
        </is>
      </c>
      <c r="I742" t="inlineStr"/>
      <c r="J742" t="inlineStr">
        <is>
          <t>Not Started</t>
        </is>
      </c>
      <c r="K742" t="inlineStr"/>
      <c r="L742" t="inlineStr"/>
      <c r="M742" t="inlineStr"/>
      <c r="N742" t="inlineStr"/>
      <c r="O742" t="inlineStr"/>
      <c r="P742" t="inlineStr"/>
      <c r="Q742" t="inlineStr"/>
      <c r="R742" t="inlineStr"/>
      <c r="S742" t="inlineStr"/>
    </row>
    <row r="743">
      <c r="A743" t="inlineStr">
        <is>
          <t>REQ-00795</t>
        </is>
      </c>
      <c r="B743" s="13" t="inlineStr">
        <is>
          <t>(b) 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t>
        </is>
      </c>
      <c r="C743" t="inlineStr">
        <is>
          <t>C</t>
        </is>
      </c>
      <c r="D743" t="inlineStr"/>
      <c r="E743" t="inlineStr"/>
      <c r="F743" t="inlineStr">
        <is>
          <t>Technical Requirement</t>
        </is>
      </c>
      <c r="G743" s="8" t="inlineStr">
        <is>
          <t>Mandatory</t>
        </is>
      </c>
      <c r="H743" s="5" t="inlineStr">
        <is>
          <t>High</t>
        </is>
      </c>
      <c r="I743" t="inlineStr"/>
      <c r="J743" t="inlineStr">
        <is>
          <t>Not Started</t>
        </is>
      </c>
      <c r="K743" t="inlineStr"/>
      <c r="L743" t="inlineStr"/>
      <c r="M743" t="inlineStr"/>
      <c r="N743" t="inlineStr"/>
      <c r="O743" t="inlineStr"/>
      <c r="P743" t="inlineStr"/>
      <c r="Q743" t="inlineStr"/>
      <c r="R743" t="inlineStr"/>
      <c r="S743" t="inlineStr"/>
    </row>
    <row r="744">
      <c r="A744" t="inlineStr">
        <is>
          <t>REQ-00796</t>
        </is>
      </c>
      <c r="B744" s="13" t="inlineStr">
        <is>
          <t>(c) During performance of the contract, the contractor shall be responsible for obtaining required identification for newly assigned personnel and for 
prompt return of credentials and vehicle passes for any employee who no longer requires access to the work site.</t>
        </is>
      </c>
      <c r="C744" t="inlineStr">
        <is>
          <t>C</t>
        </is>
      </c>
      <c r="D744" t="inlineStr"/>
      <c r="E744" t="inlineStr"/>
      <c r="F744" t="inlineStr">
        <is>
          <t>Technical Requirement</t>
        </is>
      </c>
      <c r="G744" s="8" t="inlineStr">
        <is>
          <t>Mandatory</t>
        </is>
      </c>
      <c r="H744" s="5" t="inlineStr">
        <is>
          <t>High</t>
        </is>
      </c>
      <c r="I744" t="inlineStr"/>
      <c r="J744" t="inlineStr">
        <is>
          <t>Not Started</t>
        </is>
      </c>
      <c r="K744" t="inlineStr"/>
      <c r="L744" t="inlineStr"/>
      <c r="M744" t="inlineStr"/>
      <c r="N744" t="inlineStr"/>
      <c r="O744" t="inlineStr"/>
      <c r="P744" t="inlineStr"/>
      <c r="Q744" t="inlineStr"/>
      <c r="R744" t="inlineStr"/>
      <c r="S744" t="inlineStr"/>
    </row>
    <row r="745">
      <c r="A745" t="inlineStr">
        <is>
          <t>REQ-00797</t>
        </is>
      </c>
      <c r="B745" s="13" t="inlineStr">
        <is>
          <t>(d) When work under this contract requires unescorted entry to controlled or restricted areas, the contractor shall comply with  citing the &lt;&lt;2&gt;&gt; 
appropriate paragraphs as applicable.</t>
        </is>
      </c>
      <c r="C745" t="inlineStr">
        <is>
          <t>C</t>
        </is>
      </c>
      <c r="D745" t="inlineStr"/>
      <c r="E745" t="inlineStr"/>
      <c r="F745" t="inlineStr">
        <is>
          <t>Technical Requirement</t>
        </is>
      </c>
      <c r="G745" s="8" t="inlineStr">
        <is>
          <t>Mandatory</t>
        </is>
      </c>
      <c r="H745" s="5" t="inlineStr">
        <is>
          <t>High</t>
        </is>
      </c>
      <c r="I745" t="inlineStr"/>
      <c r="J745" t="inlineStr">
        <is>
          <t>Not Started</t>
        </is>
      </c>
      <c r="K745" t="inlineStr"/>
      <c r="L745" t="inlineStr"/>
      <c r="M745" t="inlineStr"/>
      <c r="N745" t="inlineStr"/>
      <c r="O745" t="inlineStr"/>
      <c r="P745" t="inlineStr"/>
      <c r="Q745" t="inlineStr"/>
      <c r="R745" t="inlineStr"/>
      <c r="S745" t="inlineStr"/>
    </row>
    <row r="746">
      <c r="A746" t="inlineStr">
        <is>
          <t>REQ-00798</t>
        </is>
      </c>
      <c r="B746" s="13" t="inlineStr">
        <is>
          <t>(e) Upon completion or termination of the contract or expiration of the identification passes, the prime contractor shall ensure that all base 
identification passes issued to employees and subcontractor employees are returned to the issuing office.</t>
        </is>
      </c>
      <c r="C746" t="inlineStr">
        <is>
          <t>C</t>
        </is>
      </c>
      <c r="D746" t="inlineStr"/>
      <c r="E746" t="inlineStr"/>
      <c r="F746" t="inlineStr">
        <is>
          <t>Technical Requirement</t>
        </is>
      </c>
      <c r="G746" s="8" t="inlineStr">
        <is>
          <t>Mandatory</t>
        </is>
      </c>
      <c r="H746" s="5" t="inlineStr">
        <is>
          <t>High</t>
        </is>
      </c>
      <c r="I746" t="inlineStr"/>
      <c r="J746" t="inlineStr">
        <is>
          <t>Not Started</t>
        </is>
      </c>
      <c r="K746" t="inlineStr"/>
      <c r="L746" t="inlineStr"/>
      <c r="M746" t="inlineStr"/>
      <c r="N746" t="inlineStr"/>
      <c r="O746" t="inlineStr"/>
      <c r="P746" t="inlineStr"/>
      <c r="Q746" t="inlineStr"/>
      <c r="R746" t="inlineStr"/>
      <c r="S746" t="inlineStr"/>
    </row>
    <row r="747">
      <c r="A747" t="inlineStr">
        <is>
          <t>REQ-00799</t>
        </is>
      </c>
      <c r="B747" s="13" t="inlineStr">
        <is>
          <t>(f) The contractor shall provide an after-hours contact number or after-hours email in the Emergency Mass Notification System (EMNS) for each of 
their personnel, whose normal place of duty is on a DoD installation or within a DoD facility. The contractor shall comply with any additional 
FA880625RB003
Page 11 of 15
DRAFT</t>
        </is>
      </c>
      <c r="C747" t="inlineStr">
        <is>
          <t>C</t>
        </is>
      </c>
      <c r="D747" t="inlineStr"/>
      <c r="E747" t="inlineStr"/>
      <c r="F747" t="inlineStr">
        <is>
          <t>Technical Requirement</t>
        </is>
      </c>
      <c r="G747" s="8" t="inlineStr">
        <is>
          <t>Mandatory</t>
        </is>
      </c>
      <c r="H747" s="5" t="inlineStr">
        <is>
          <t>High</t>
        </is>
      </c>
      <c r="I747" t="inlineStr"/>
      <c r="J747" t="inlineStr">
        <is>
          <t>Not Started</t>
        </is>
      </c>
      <c r="K747" t="inlineStr"/>
      <c r="L747" t="inlineStr"/>
      <c r="M747" t="inlineStr"/>
      <c r="N747" t="inlineStr"/>
      <c r="O747" t="inlineStr"/>
      <c r="P747" t="inlineStr"/>
      <c r="Q747" t="inlineStr"/>
      <c r="R747" t="inlineStr"/>
      <c r="S747" t="inlineStr"/>
    </row>
    <row r="748">
      <c r="A748" t="inlineStr">
        <is>
          <t>REQ-00800</t>
        </is>
      </c>
      <c r="B748" s="13" t="inlineStr">
        <is>
          <t>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t>
        </is>
      </c>
      <c r="C748" t="inlineStr">
        <is>
          <t>C</t>
        </is>
      </c>
      <c r="D748" t="inlineStr"/>
      <c r="E748" t="inlineStr"/>
      <c r="F748" t="inlineStr">
        <is>
          <t>Technical Requirement</t>
        </is>
      </c>
      <c r="G748" s="9" t="inlineStr">
        <is>
          <t>Desirable</t>
        </is>
      </c>
      <c r="H748" s="7" t="inlineStr">
        <is>
          <t>Low</t>
        </is>
      </c>
      <c r="I748" t="inlineStr"/>
      <c r="J748" t="inlineStr">
        <is>
          <t>Not Started</t>
        </is>
      </c>
      <c r="K748" t="inlineStr"/>
      <c r="L748" t="inlineStr"/>
      <c r="M748" t="inlineStr"/>
      <c r="N748" t="inlineStr"/>
      <c r="O748" t="inlineStr"/>
      <c r="P748" t="inlineStr"/>
      <c r="Q748" t="inlineStr"/>
      <c r="R748" t="inlineStr"/>
      <c r="S748" t="inlineStr"/>
    </row>
    <row r="749">
      <c r="A749" t="inlineStr">
        <is>
          <t>REQ-00801</t>
        </is>
      </c>
      <c r="B749" s="13" t="inlineStr">
        <is>
          <t>5352.242-9001 Common Access Cards (CAC) for Contractor Personnel (Jul 2023)</t>
        </is>
      </c>
      <c r="C749" t="inlineStr">
        <is>
          <t>C</t>
        </is>
      </c>
      <c r="D749" t="inlineStr"/>
      <c r="E749" t="inlineStr"/>
      <c r="F749" t="inlineStr">
        <is>
          <t>Technical Requirement</t>
        </is>
      </c>
      <c r="G749" s="9" t="inlineStr">
        <is>
          <t>Desirable</t>
        </is>
      </c>
      <c r="H749" s="6" t="inlineStr">
        <is>
          <t>Medium</t>
        </is>
      </c>
      <c r="I749" t="inlineStr"/>
      <c r="J749" t="inlineStr">
        <is>
          <t>Not Started</t>
        </is>
      </c>
      <c r="K749" t="inlineStr"/>
      <c r="L749" t="inlineStr"/>
      <c r="M749" t="inlineStr"/>
      <c r="N749" t="inlineStr"/>
      <c r="O749" t="inlineStr"/>
      <c r="P749" t="inlineStr"/>
      <c r="Q749" t="inlineStr"/>
      <c r="R749" t="inlineStr"/>
      <c r="S749" t="inlineStr"/>
    </row>
    <row r="750">
      <c r="A750" t="inlineStr">
        <is>
          <t>REQ-00802</t>
        </is>
      </c>
      <c r="B750" s="13" t="inlineStr">
        <is>
          <t>(a) For installation(s)/location(s) cited in the contract, contractors shall ensure Common Access Cards (CACs) are obtained by all contract or 
subcontract personnel who meet one or both of the following criteria:</t>
        </is>
      </c>
      <c r="C750" t="inlineStr">
        <is>
          <t>C</t>
        </is>
      </c>
      <c r="D750" t="inlineStr"/>
      <c r="E750" t="inlineStr"/>
      <c r="F750" t="inlineStr">
        <is>
          <t>Technical Requirement</t>
        </is>
      </c>
      <c r="G750" s="8" t="inlineStr">
        <is>
          <t>Mandatory</t>
        </is>
      </c>
      <c r="H750" s="5" t="inlineStr">
        <is>
          <t>High</t>
        </is>
      </c>
      <c r="I750" t="inlineStr"/>
      <c r="J750" t="inlineStr">
        <is>
          <t>Not Started</t>
        </is>
      </c>
      <c r="K750" t="inlineStr"/>
      <c r="L750" t="inlineStr"/>
      <c r="M750" t="inlineStr"/>
      <c r="N750" t="inlineStr"/>
      <c r="O750" t="inlineStr"/>
      <c r="P750" t="inlineStr"/>
      <c r="Q750" t="inlineStr"/>
      <c r="R750" t="inlineStr"/>
      <c r="S750" t="inlineStr"/>
    </row>
    <row r="751">
      <c r="A751" t="inlineStr">
        <is>
          <t>REQ-00803</t>
        </is>
      </c>
      <c r="B751" s="13" t="inlineStr">
        <is>
          <t>(1) Require logical access to Department of Defense computer networks and systems in either:</t>
        </is>
      </c>
      <c r="C751" t="inlineStr">
        <is>
          <t>C</t>
        </is>
      </c>
      <c r="D751" t="inlineStr"/>
      <c r="E751" t="inlineStr"/>
      <c r="F751" t="inlineStr">
        <is>
          <t>Technical Requirement</t>
        </is>
      </c>
      <c r="G751" s="9" t="inlineStr">
        <is>
          <t>Desirable</t>
        </is>
      </c>
      <c r="H751" s="6" t="inlineStr">
        <is>
          <t>Medium</t>
        </is>
      </c>
      <c r="I751" t="inlineStr"/>
      <c r="J751" t="inlineStr">
        <is>
          <t>Not Started</t>
        </is>
      </c>
      <c r="K751" t="inlineStr"/>
      <c r="L751" t="inlineStr"/>
      <c r="M751" t="inlineStr"/>
      <c r="N751" t="inlineStr"/>
      <c r="O751" t="inlineStr"/>
      <c r="P751" t="inlineStr"/>
      <c r="Q751" t="inlineStr"/>
      <c r="R751" t="inlineStr"/>
      <c r="S751" t="inlineStr"/>
    </row>
    <row r="752">
      <c r="A752" t="inlineStr">
        <is>
          <t>REQ-00804</t>
        </is>
      </c>
      <c r="B752" s="13" t="inlineStr">
        <is>
          <t>(i) the unclassified environment; or
(ii) the classified environment where authorized by governing security directives.</t>
        </is>
      </c>
      <c r="C752" t="inlineStr">
        <is>
          <t>C</t>
        </is>
      </c>
      <c r="D752" t="inlineStr"/>
      <c r="E752" t="inlineStr"/>
      <c r="F752" t="inlineStr">
        <is>
          <t>Technical Requirement</t>
        </is>
      </c>
      <c r="G752" s="9" t="inlineStr">
        <is>
          <t>Desirable</t>
        </is>
      </c>
      <c r="H752" s="6" t="inlineStr">
        <is>
          <t>Medium</t>
        </is>
      </c>
      <c r="I752" t="inlineStr"/>
      <c r="J752" t="inlineStr">
        <is>
          <t>Not Started</t>
        </is>
      </c>
      <c r="K752" t="inlineStr"/>
      <c r="L752" t="inlineStr"/>
      <c r="M752" t="inlineStr"/>
      <c r="N752" t="inlineStr"/>
      <c r="O752" t="inlineStr"/>
      <c r="P752" t="inlineStr"/>
      <c r="Q752" t="inlineStr"/>
      <c r="R752" t="inlineStr"/>
      <c r="S752" t="inlineStr"/>
    </row>
    <row r="753">
      <c r="A753" t="inlineStr">
        <is>
          <t>REQ-00805</t>
        </is>
      </c>
      <c r="B753" s="13" t="inlineStr">
        <is>
          <t>(2) Perform work, which requires the use of a CAC for installation entry control or physical access to facilities and buildings.</t>
        </is>
      </c>
      <c r="C753" t="inlineStr">
        <is>
          <t>C</t>
        </is>
      </c>
      <c r="D753" t="inlineStr"/>
      <c r="E753" t="inlineStr"/>
      <c r="F753" t="inlineStr">
        <is>
          <t>Technical Requirement</t>
        </is>
      </c>
      <c r="G753" s="9" t="inlineStr">
        <is>
          <t>Desirable</t>
        </is>
      </c>
      <c r="H753" s="6" t="inlineStr">
        <is>
          <t>Medium</t>
        </is>
      </c>
      <c r="I753" t="inlineStr"/>
      <c r="J753" t="inlineStr">
        <is>
          <t>Not Started</t>
        </is>
      </c>
      <c r="K753" t="inlineStr"/>
      <c r="L753" t="inlineStr"/>
      <c r="M753" t="inlineStr"/>
      <c r="N753" t="inlineStr"/>
      <c r="O753" t="inlineStr"/>
      <c r="P753" t="inlineStr"/>
      <c r="Q753" t="inlineStr"/>
      <c r="R753" t="inlineStr"/>
      <c r="S753" t="inlineStr"/>
    </row>
    <row r="754">
      <c r="A754" t="inlineStr">
        <is>
          <t>REQ-00806</t>
        </is>
      </c>
      <c r="B754" s="13" t="inlineStr">
        <is>
          <t>(b) Contractors and their personnel shall use the following procedures to obtain CACs:</t>
        </is>
      </c>
      <c r="C754" t="inlineStr">
        <is>
          <t>C</t>
        </is>
      </c>
      <c r="D754" t="inlineStr"/>
      <c r="E754" t="inlineStr"/>
      <c r="F754" t="inlineStr">
        <is>
          <t>Technical Requirement</t>
        </is>
      </c>
      <c r="G754" s="8" t="inlineStr">
        <is>
          <t>Mandatory</t>
        </is>
      </c>
      <c r="H754" s="5" t="inlineStr">
        <is>
          <t>High</t>
        </is>
      </c>
      <c r="I754" t="inlineStr"/>
      <c r="J754" t="inlineStr">
        <is>
          <t>Not Started</t>
        </is>
      </c>
      <c r="K754" t="inlineStr"/>
      <c r="L754" t="inlineStr"/>
      <c r="M754" t="inlineStr"/>
      <c r="N754" t="inlineStr"/>
      <c r="O754" t="inlineStr"/>
      <c r="P754" t="inlineStr"/>
      <c r="Q754" t="inlineStr"/>
      <c r="R754" t="inlineStr"/>
      <c r="S754" t="inlineStr"/>
    </row>
    <row r="755">
      <c r="A755" t="inlineStr">
        <is>
          <t>REQ-00807</t>
        </is>
      </c>
      <c r="B755" s="13" t="inlineStr">
        <is>
          <t>(1) Contractors shall provide a listing of personnel who require a CAC to the contracting officer. The government will provide the contractor 
instruction on how to complete the Contractor Verification System (CVS) application and then notify the contractor when approved.</t>
        </is>
      </c>
      <c r="C755" t="inlineStr">
        <is>
          <t>C</t>
        </is>
      </c>
      <c r="D755" t="inlineStr"/>
      <c r="E755" t="inlineStr"/>
      <c r="F755" t="inlineStr">
        <is>
          <t>Technical Requirement</t>
        </is>
      </c>
      <c r="G755" s="8" t="inlineStr">
        <is>
          <t>Mandatory</t>
        </is>
      </c>
      <c r="H755" s="5" t="inlineStr">
        <is>
          <t>High</t>
        </is>
      </c>
      <c r="I755" t="inlineStr"/>
      <c r="J755" t="inlineStr">
        <is>
          <t>Not Started</t>
        </is>
      </c>
      <c r="K755" t="inlineStr"/>
      <c r="L755" t="inlineStr"/>
      <c r="M755" t="inlineStr"/>
      <c r="N755" t="inlineStr"/>
      <c r="O755" t="inlineStr"/>
      <c r="P755" t="inlineStr"/>
      <c r="Q755" t="inlineStr"/>
      <c r="R755" t="inlineStr"/>
      <c r="S755" t="inlineStr"/>
    </row>
    <row r="756">
      <c r="A756" t="inlineStr">
        <is>
          <t>REQ-00808</t>
        </is>
      </c>
      <c r="B756" s="13" t="inlineStr">
        <is>
          <t>(2) Contractor personnel shall obtain a CAC from the nearest Real Time Automated Personnel Identification Documentation System (RAPIDS) 
Issuing Facility (typically the local Military Personnel Flight (MPF)).</t>
        </is>
      </c>
      <c r="C756" t="inlineStr">
        <is>
          <t>C</t>
        </is>
      </c>
      <c r="D756" t="inlineStr"/>
      <c r="E756" t="inlineStr"/>
      <c r="F756" t="inlineStr">
        <is>
          <t>Technical Requirement</t>
        </is>
      </c>
      <c r="G756" s="8" t="inlineStr">
        <is>
          <t>Mandatory</t>
        </is>
      </c>
      <c r="H756" s="5" t="inlineStr">
        <is>
          <t>High</t>
        </is>
      </c>
      <c r="I756" t="inlineStr"/>
      <c r="J756" t="inlineStr">
        <is>
          <t>Not Started</t>
        </is>
      </c>
      <c r="K756" t="inlineStr"/>
      <c r="L756" t="inlineStr"/>
      <c r="M756" t="inlineStr"/>
      <c r="N756" t="inlineStr"/>
      <c r="O756" t="inlineStr"/>
      <c r="P756" t="inlineStr"/>
      <c r="Q756" t="inlineStr"/>
      <c r="R756" t="inlineStr"/>
      <c r="S756" t="inlineStr"/>
    </row>
    <row r="757">
      <c r="A757" t="inlineStr">
        <is>
          <t>REQ-00809</t>
        </is>
      </c>
      <c r="B757" s="13" t="inlineStr">
        <is>
          <t>(c) While visiting or performing work on installation(s)/location(s), contractor personnel shall wear or prominently display the CAC as required by 
the governing local policy.</t>
        </is>
      </c>
      <c r="C757" t="inlineStr">
        <is>
          <t>C</t>
        </is>
      </c>
      <c r="D757" t="inlineStr"/>
      <c r="E757" t="inlineStr"/>
      <c r="F757" t="inlineStr">
        <is>
          <t>Technical Requirement</t>
        </is>
      </c>
      <c r="G757" s="8" t="inlineStr">
        <is>
          <t>Mandatory</t>
        </is>
      </c>
      <c r="H757" s="5" t="inlineStr">
        <is>
          <t>High</t>
        </is>
      </c>
      <c r="I757" t="inlineStr"/>
      <c r="J757" t="inlineStr">
        <is>
          <t>Not Started</t>
        </is>
      </c>
      <c r="K757" t="inlineStr"/>
      <c r="L757" t="inlineStr"/>
      <c r="M757" t="inlineStr"/>
      <c r="N757" t="inlineStr"/>
      <c r="O757" t="inlineStr"/>
      <c r="P757" t="inlineStr"/>
      <c r="Q757" t="inlineStr"/>
      <c r="R757" t="inlineStr"/>
      <c r="S757" t="inlineStr"/>
    </row>
    <row r="758">
      <c r="A758" t="inlineStr">
        <is>
          <t>REQ-00810</t>
        </is>
      </c>
      <c r="B758" s="13" t="inlineStr">
        <is>
          <t>(d) During the performance period of the contract, the contractor shall:</t>
        </is>
      </c>
      <c r="C758" t="inlineStr">
        <is>
          <t>C</t>
        </is>
      </c>
      <c r="D758" t="inlineStr"/>
      <c r="E758" t="inlineStr"/>
      <c r="F758" t="inlineStr">
        <is>
          <t>Technical Requirement</t>
        </is>
      </c>
      <c r="G758" s="8" t="inlineStr">
        <is>
          <t>Mandatory</t>
        </is>
      </c>
      <c r="H758" s="5" t="inlineStr">
        <is>
          <t>High</t>
        </is>
      </c>
      <c r="I758" t="inlineStr"/>
      <c r="J758" t="inlineStr">
        <is>
          <t>Not Started</t>
        </is>
      </c>
      <c r="K758" t="inlineStr"/>
      <c r="L758" t="inlineStr"/>
      <c r="M758" t="inlineStr"/>
      <c r="N758" t="inlineStr"/>
      <c r="O758" t="inlineStr"/>
      <c r="P758" t="inlineStr"/>
      <c r="Q758" t="inlineStr"/>
      <c r="R758" t="inlineStr"/>
      <c r="S758" t="inlineStr"/>
    </row>
    <row r="759">
      <c r="A759" t="inlineStr">
        <is>
          <t>REQ-00811</t>
        </is>
      </c>
      <c r="B759" s="13" t="inlineStr">
        <is>
          <t>(1) Within 7 working days of any changes to the listing of the contract personnel authorized a CAC, provide an updated listing to the contracting 
officer who will provide the updated listing to the authorizing government official;</t>
        </is>
      </c>
      <c r="C759" t="inlineStr">
        <is>
          <t>C</t>
        </is>
      </c>
      <c r="D759" t="inlineStr"/>
      <c r="E759" t="inlineStr"/>
      <c r="F759" t="inlineStr">
        <is>
          <t>Technical Requirement</t>
        </is>
      </c>
      <c r="G759" s="9" t="inlineStr">
        <is>
          <t>Desirable</t>
        </is>
      </c>
      <c r="H759" s="6" t="inlineStr">
        <is>
          <t>Medium</t>
        </is>
      </c>
      <c r="I759" t="inlineStr"/>
      <c r="J759" t="inlineStr">
        <is>
          <t>Not Started</t>
        </is>
      </c>
      <c r="K759" t="inlineStr"/>
      <c r="L759" t="inlineStr"/>
      <c r="M759" t="inlineStr"/>
      <c r="N759" t="inlineStr"/>
      <c r="O759" t="inlineStr"/>
      <c r="P759" t="inlineStr"/>
      <c r="Q759" t="inlineStr"/>
      <c r="R759" t="inlineStr"/>
      <c r="S759" t="inlineStr"/>
    </row>
    <row r="760">
      <c r="A760" t="inlineStr">
        <is>
          <t>REQ-00812</t>
        </is>
      </c>
      <c r="B760" s="13" t="inlineStr">
        <is>
          <t>(2) Return CACs in accordance with local policy/directives within 7 working days of a change in status for contractor personnel who no longer 
require logical or physical access;</t>
        </is>
      </c>
      <c r="C760" t="inlineStr">
        <is>
          <t>C</t>
        </is>
      </c>
      <c r="D760" t="inlineStr"/>
      <c r="E760" t="inlineStr"/>
      <c r="F760" t="inlineStr">
        <is>
          <t>Technical Requirement</t>
        </is>
      </c>
      <c r="G760" s="9" t="inlineStr">
        <is>
          <t>Desirable</t>
        </is>
      </c>
      <c r="H760" s="6" t="inlineStr">
        <is>
          <t>Medium</t>
        </is>
      </c>
      <c r="I760" t="inlineStr"/>
      <c r="J760" t="inlineStr">
        <is>
          <t>Not Started</t>
        </is>
      </c>
      <c r="K760" t="inlineStr"/>
      <c r="L760" t="inlineStr"/>
      <c r="M760" t="inlineStr"/>
      <c r="N760" t="inlineStr"/>
      <c r="O760" t="inlineStr"/>
      <c r="P760" t="inlineStr"/>
      <c r="Q760" t="inlineStr"/>
      <c r="R760" t="inlineStr"/>
      <c r="S760" t="inlineStr"/>
    </row>
    <row r="761">
      <c r="A761" t="inlineStr">
        <is>
          <t>REQ-00813</t>
        </is>
      </c>
      <c r="B761" s="13" t="inlineStr">
        <is>
          <t>(3) Return CACs in accordance with local policy/directives within 7 working days following a CACs expiration date; and</t>
        </is>
      </c>
      <c r="C761" t="inlineStr">
        <is>
          <t>C</t>
        </is>
      </c>
      <c r="D761" t="inlineStr"/>
      <c r="E761" t="inlineStr"/>
      <c r="F761" t="inlineStr">
        <is>
          <t>Technical Requirement</t>
        </is>
      </c>
      <c r="G761" s="9" t="inlineStr">
        <is>
          <t>Desirable</t>
        </is>
      </c>
      <c r="H761" s="6" t="inlineStr">
        <is>
          <t>Medium</t>
        </is>
      </c>
      <c r="I761" t="inlineStr"/>
      <c r="J761" t="inlineStr">
        <is>
          <t>Not Started</t>
        </is>
      </c>
      <c r="K761" t="inlineStr"/>
      <c r="L761" t="inlineStr"/>
      <c r="M761" t="inlineStr"/>
      <c r="N761" t="inlineStr"/>
      <c r="O761" t="inlineStr"/>
      <c r="P761" t="inlineStr"/>
      <c r="Q761" t="inlineStr"/>
      <c r="R761" t="inlineStr"/>
      <c r="S761" t="inlineStr"/>
    </row>
    <row r="762">
      <c r="A762" t="inlineStr">
        <is>
          <t>REQ-00814</t>
        </is>
      </c>
      <c r="B762" s="13" t="inlineStr">
        <is>
          <t>(4) Report lost or stolen CACs in accordance with local policy/directives.</t>
        </is>
      </c>
      <c r="C762" t="inlineStr">
        <is>
          <t>C</t>
        </is>
      </c>
      <c r="D762" t="inlineStr"/>
      <c r="E762" t="inlineStr"/>
      <c r="F762" t="inlineStr">
        <is>
          <t>Technical Requirement</t>
        </is>
      </c>
      <c r="G762" s="9" t="inlineStr">
        <is>
          <t>Desirable</t>
        </is>
      </c>
      <c r="H762" s="6" t="inlineStr">
        <is>
          <t>Medium</t>
        </is>
      </c>
      <c r="I762" t="inlineStr"/>
      <c r="J762" t="inlineStr">
        <is>
          <t>Not Started</t>
        </is>
      </c>
      <c r="K762" t="inlineStr"/>
      <c r="L762" t="inlineStr"/>
      <c r="M762" t="inlineStr"/>
      <c r="N762" t="inlineStr"/>
      <c r="O762" t="inlineStr"/>
      <c r="P762" t="inlineStr"/>
      <c r="Q762" t="inlineStr"/>
      <c r="R762" t="inlineStr"/>
      <c r="S762" t="inlineStr"/>
    </row>
    <row r="763">
      <c r="A763" t="inlineStr">
        <is>
          <t>REQ-00815</t>
        </is>
      </c>
      <c r="B763" s="13" t="inlineStr">
        <is>
          <t>(e) Within 7 working days following completion/termination of the contract, the contractor shall return all CACs issued to their personnel to the 
issuing office or the location specified by local policy/directives.</t>
        </is>
      </c>
      <c r="C763" t="inlineStr">
        <is>
          <t>C</t>
        </is>
      </c>
      <c r="D763" t="inlineStr"/>
      <c r="E763" t="inlineStr"/>
      <c r="F763" t="inlineStr">
        <is>
          <t>Technical Requirement</t>
        </is>
      </c>
      <c r="G763" s="8" t="inlineStr">
        <is>
          <t>Mandatory</t>
        </is>
      </c>
      <c r="H763" s="5" t="inlineStr">
        <is>
          <t>High</t>
        </is>
      </c>
      <c r="I763" t="inlineStr"/>
      <c r="J763" t="inlineStr">
        <is>
          <t>Not Started</t>
        </is>
      </c>
      <c r="K763" t="inlineStr"/>
      <c r="L763" t="inlineStr"/>
      <c r="M763" t="inlineStr"/>
      <c r="N763" t="inlineStr"/>
      <c r="O763" t="inlineStr"/>
      <c r="P763" t="inlineStr"/>
      <c r="Q763" t="inlineStr"/>
      <c r="R763" t="inlineStr"/>
      <c r="S763" t="inlineStr"/>
    </row>
    <row r="764">
      <c r="A764" t="inlineStr">
        <is>
          <t>REQ-00816</t>
        </is>
      </c>
      <c r="B764" s="13" t="inlineStr">
        <is>
          <t>(f) Failure to comply with these requirements may result in withholding of final payment.
(End of clause)
FA880625RB003
Page 12 of 15
DRAFT</t>
        </is>
      </c>
      <c r="C764" t="inlineStr">
        <is>
          <t>C</t>
        </is>
      </c>
      <c r="D764" t="inlineStr"/>
      <c r="E764" t="inlineStr"/>
      <c r="F764" t="inlineStr">
        <is>
          <t>Technical Requirement</t>
        </is>
      </c>
      <c r="G764" s="9" t="inlineStr">
        <is>
          <t>Desirable</t>
        </is>
      </c>
      <c r="H764" s="7" t="inlineStr">
        <is>
          <t>Low</t>
        </is>
      </c>
      <c r="I764" t="inlineStr"/>
      <c r="J764" t="inlineStr">
        <is>
          <t>Not Started</t>
        </is>
      </c>
      <c r="K764" t="inlineStr"/>
      <c r="L764" t="inlineStr"/>
      <c r="M764" t="inlineStr"/>
      <c r="N764" t="inlineStr"/>
      <c r="O764" t="inlineStr"/>
      <c r="P764" t="inlineStr"/>
      <c r="Q764" t="inlineStr"/>
      <c r="R764" t="inlineStr"/>
      <c r="S764" t="inlineStr"/>
    </row>
    <row r="765">
      <c r="A765" t="inlineStr">
        <is>
          <t>REQ-00817</t>
        </is>
      </c>
      <c r="B765" s="13" t="inlineStr">
        <is>
          <t>List of Attachments
Number Attachment 
Name Attachment Description Reference 
Identifier Date Line 
Item
01
Attachment 1. 
Stament Of 
Work
Statement of Work 09 Oct 
2024
02
Attachment 2. 
Placement 
Procedures
Placement Procedures 09 Oct 
2024
03
Attachment 3. 
Contract Data 
Requirements 
List
Contract Data Requirements List (CDRL) 09 Oct 
2024
04
Attachment 4. 
Supply Pricing 
Table
Cost Dat...</t>
        </is>
      </c>
      <c r="C765" t="inlineStr">
        <is>
          <t>C</t>
        </is>
      </c>
      <c r="D765" t="inlineStr"/>
      <c r="E765" t="inlineStr"/>
      <c r="F765" t="inlineStr">
        <is>
          <t>Technical Requirement</t>
        </is>
      </c>
      <c r="G765" s="9" t="inlineStr">
        <is>
          <t>Desirable</t>
        </is>
      </c>
      <c r="H765" s="6" t="inlineStr">
        <is>
          <t>Medium</t>
        </is>
      </c>
      <c r="I765" t="inlineStr"/>
      <c r="J765" t="inlineStr">
        <is>
          <t>Not Started</t>
        </is>
      </c>
      <c r="K765" t="inlineStr"/>
      <c r="L765" t="inlineStr"/>
      <c r="M765" t="inlineStr"/>
      <c r="N765" t="inlineStr"/>
      <c r="O765" t="inlineStr"/>
      <c r="P765" t="inlineStr"/>
      <c r="Q765" t="inlineStr"/>
      <c r="R765" t="inlineStr"/>
      <c r="S765" t="inlineStr"/>
    </row>
    <row r="766">
      <c r="A766" t="inlineStr">
        <is>
          <t>REQ-00818</t>
        </is>
      </c>
      <c r="B766" s="13" t="inlineStr">
        <is>
          <t>Representations, Certification, &amp; Other Statements
Instructions, Conditions, &amp; Notices to Offerors or Quoters
See Attachment 2 Placement Procedures.
FA880625RB003
Page 14 of 15
DRAFT</t>
        </is>
      </c>
      <c r="C766" t="inlineStr">
        <is>
          <t>C</t>
        </is>
      </c>
      <c r="D766" t="inlineStr"/>
      <c r="E766" t="inlineStr"/>
      <c r="F766" t="inlineStr">
        <is>
          <t>Technical Requirement</t>
        </is>
      </c>
      <c r="G766" s="9" t="inlineStr">
        <is>
          <t>Desirable</t>
        </is>
      </c>
      <c r="H766" s="6" t="inlineStr">
        <is>
          <t>Medium</t>
        </is>
      </c>
      <c r="I766" t="inlineStr"/>
      <c r="J766" t="inlineStr">
        <is>
          <t>Not Started</t>
        </is>
      </c>
      <c r="K766" t="inlineStr"/>
      <c r="L766" t="inlineStr"/>
      <c r="M766" t="inlineStr"/>
      <c r="N766" t="inlineStr"/>
      <c r="O766" t="inlineStr"/>
      <c r="P766" t="inlineStr"/>
      <c r="Q766" t="inlineStr"/>
      <c r="R766" t="inlineStr"/>
      <c r="S766" t="inlineStr"/>
    </row>
    <row r="767">
      <c r="A767" t="inlineStr">
        <is>
          <t>REQ-00819</t>
        </is>
      </c>
      <c r="B767" s="13" t="inlineStr">
        <is>
          <t>Evaluation Factors for Award
See Attachment 2 Placement Procedures.
FA880625RB003
Page 15 of 15
DRAFT</t>
        </is>
      </c>
      <c r="C767" t="inlineStr">
        <is>
          <t>C</t>
        </is>
      </c>
      <c r="D767" t="inlineStr"/>
      <c r="E767" t="inlineStr"/>
      <c r="F767" t="inlineStr">
        <is>
          <t>Technical Requirement</t>
        </is>
      </c>
      <c r="G767" s="9" t="inlineStr">
        <is>
          <t>Desirable</t>
        </is>
      </c>
      <c r="H767" s="6" t="inlineStr">
        <is>
          <t>Medium</t>
        </is>
      </c>
      <c r="I767" t="inlineStr"/>
      <c r="J767" t="inlineStr">
        <is>
          <t>Not Started</t>
        </is>
      </c>
      <c r="K767" t="inlineStr"/>
      <c r="L767" t="inlineStr"/>
      <c r="M767" t="inlineStr"/>
      <c r="N767" t="inlineStr"/>
      <c r="O767" t="inlineStr"/>
      <c r="P767" t="inlineStr"/>
      <c r="Q767" t="inlineStr"/>
      <c r="R767" t="inlineStr"/>
      <c r="S767" t="inlineStr"/>
    </row>
    <row r="768">
      <c r="A768" t="inlineStr">
        <is>
          <t>REQ-00820</t>
        </is>
      </c>
      <c r="B768" s="13">
        <f>==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
        <v/>
      </c>
      <c r="C768" t="inlineStr">
        <is>
          <t>L</t>
        </is>
      </c>
      <c r="D768" t="inlineStr"/>
      <c r="E768" t="inlineStr"/>
      <c r="F768" t="inlineStr">
        <is>
          <t>Proposal Instruction</t>
        </is>
      </c>
      <c r="G768" s="8" t="inlineStr">
        <is>
          <t>Mandatory</t>
        </is>
      </c>
      <c r="H768" s="5" t="inlineStr">
        <is>
          <t>High</t>
        </is>
      </c>
      <c r="I768" t="inlineStr"/>
      <c r="J768" t="inlineStr">
        <is>
          <t>Not Started</t>
        </is>
      </c>
      <c r="K768" t="inlineStr"/>
      <c r="L768" t="inlineStr"/>
      <c r="M768" t="inlineStr"/>
      <c r="N768" t="inlineStr"/>
      <c r="O768" t="inlineStr"/>
      <c r="P768" t="inlineStr"/>
      <c r="Q768" t="inlineStr"/>
      <c r="R768" t="inlineStr"/>
      <c r="S768" t="inlineStr"/>
    </row>
    <row r="769">
      <c r="A769" t="inlineStr">
        <is>
          <t>REQ-00821</t>
        </is>
      </c>
      <c r="B769" s="13" t="inlineStr">
        <is>
          <t>The environment agnostic and each environment tab should include columns for each application team being supported in the KM Baseline Description and each platform team being proposed</t>
        </is>
      </c>
      <c r="C769" t="inlineStr">
        <is>
          <t>C</t>
        </is>
      </c>
      <c r="D769" t="inlineStr"/>
      <c r="E769" t="inlineStr"/>
      <c r="F769" t="inlineStr">
        <is>
          <t>Technical Requirement</t>
        </is>
      </c>
      <c r="G769" s="9" t="inlineStr">
        <is>
          <t>Desirable</t>
        </is>
      </c>
      <c r="H769" s="6" t="inlineStr">
        <is>
          <t>Medium</t>
        </is>
      </c>
      <c r="I769" t="inlineStr"/>
      <c r="J769" t="inlineStr">
        <is>
          <t>Not Started</t>
        </is>
      </c>
      <c r="K769" t="inlineStr"/>
      <c r="L769" t="inlineStr"/>
      <c r="M769" t="inlineStr"/>
      <c r="N769" t="inlineStr"/>
      <c r="O769" t="inlineStr"/>
      <c r="P769" t="inlineStr"/>
      <c r="Q769" t="inlineStr"/>
      <c r="R769" t="inlineStr"/>
      <c r="S769" t="inlineStr"/>
    </row>
    <row r="770">
      <c r="A770" t="inlineStr">
        <is>
          <t>REQ-00822</t>
        </is>
      </c>
      <c r="B770" s="13" t="inlineStr">
        <is>
          <t>Supply Payments shall not exceed once per month. |  |  |  |  |  |  |  |  |  |  |  |</t>
        </is>
      </c>
      <c r="C770" t="inlineStr">
        <is>
          <t>C</t>
        </is>
      </c>
      <c r="D770" t="inlineStr"/>
      <c r="E770" t="inlineStr"/>
      <c r="F770" t="inlineStr">
        <is>
          <t>Technical Requirement</t>
        </is>
      </c>
      <c r="G770" s="8" t="inlineStr">
        <is>
          <t>Mandatory</t>
        </is>
      </c>
      <c r="H770" s="5" t="inlineStr">
        <is>
          <t>High</t>
        </is>
      </c>
      <c r="I770" t="inlineStr"/>
      <c r="J770" t="inlineStr">
        <is>
          <t>Not Started</t>
        </is>
      </c>
      <c r="K770" t="inlineStr"/>
      <c r="L770" t="inlineStr"/>
      <c r="M770" t="inlineStr"/>
      <c r="N770" t="inlineStr"/>
      <c r="O770" t="inlineStr"/>
      <c r="P770" t="inlineStr"/>
      <c r="Q770" t="inlineStr"/>
      <c r="R770" t="inlineStr"/>
      <c r="S770" t="inlineStr"/>
    </row>
    <row r="771">
      <c r="A771" t="inlineStr">
        <is>
          <t>REQ-00824</t>
        </is>
      </c>
      <c r="B771" s="13">
        <f>==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f>
        <v/>
      </c>
      <c r="C771" t="inlineStr">
        <is>
          <t>C</t>
        </is>
      </c>
      <c r="D771" t="inlineStr"/>
      <c r="E771" t="inlineStr"/>
      <c r="F771" t="inlineStr">
        <is>
          <t>Technical Requirement</t>
        </is>
      </c>
      <c r="G771" s="9" t="inlineStr">
        <is>
          <t>Desirable</t>
        </is>
      </c>
      <c r="H771" s="6" t="inlineStr">
        <is>
          <t>Medium</t>
        </is>
      </c>
      <c r="I771" t="inlineStr"/>
      <c r="J771" t="inlineStr">
        <is>
          <t>Not Started</t>
        </is>
      </c>
      <c r="K771" t="inlineStr"/>
      <c r="L771" t="inlineStr"/>
      <c r="M771" t="inlineStr"/>
      <c r="N771" t="inlineStr"/>
      <c r="O771" t="inlineStr"/>
      <c r="P771" t="inlineStr"/>
      <c r="Q771" t="inlineStr"/>
      <c r="R771" t="inlineStr"/>
      <c r="S771" t="inlineStr"/>
    </row>
    <row r="772">
      <c r="A772" t="inlineStr">
        <is>
          <t>REQ-00835</t>
        </is>
      </c>
      <c r="B772" s="13">
        <f>== Sheet: CLIN 000X Travel Estimate ===
** Create a breakout of projected travel and ODC costs which will be linked to the appropriate tab
include links to environments and environment agnostic/independent tabs |  |  |  |  |  |  | 
Platform Team | # People | # Days | Location | Event | Cost/person | Total Cost | 
24x7 Support team | 2 | 5 | Vandenberg SFB, CA | Quarterly Program Incrementals |...</f>
        <v/>
      </c>
      <c r="C772" t="inlineStr">
        <is>
          <t>UNASSIGNED</t>
        </is>
      </c>
      <c r="D772" t="inlineStr"/>
      <c r="E772" t="inlineStr"/>
      <c r="F772" t="inlineStr">
        <is>
          <t>General</t>
        </is>
      </c>
      <c r="G772" s="9" t="inlineStr">
        <is>
          <t>Desirable</t>
        </is>
      </c>
      <c r="H772" s="6" t="inlineStr">
        <is>
          <t>Medium</t>
        </is>
      </c>
      <c r="I772" t="inlineStr"/>
      <c r="J772" t="inlineStr">
        <is>
          <t>Not Started</t>
        </is>
      </c>
      <c r="K772" t="inlineStr"/>
      <c r="L772" t="inlineStr"/>
      <c r="M772" t="inlineStr"/>
      <c r="N772" t="inlineStr"/>
      <c r="O772" t="inlineStr"/>
      <c r="P772" t="inlineStr"/>
      <c r="Q772" t="inlineStr"/>
      <c r="R772" t="inlineStr"/>
      <c r="S772" t="inlineStr"/>
    </row>
    <row r="773">
      <c r="A773" t="inlineStr">
        <is>
          <t>REQ-00837</t>
        </is>
      </c>
      <c r="B773" s="13">
        <f>== Sheet: CLIN 0006 ===
** Create a breakout of projected enablement, Licenses, Warranties, and Service Agreement costs which will be linked to the appropriate tab |  |  |  |  |  |  | 
Item | # Units | Total Cost | Cost per unit |  |  |  |</f>
        <v/>
      </c>
      <c r="C773" t="inlineStr">
        <is>
          <t>UNASSIGNED</t>
        </is>
      </c>
      <c r="D773" t="inlineStr"/>
      <c r="E773" t="inlineStr"/>
      <c r="F773" t="inlineStr">
        <is>
          <t>General</t>
        </is>
      </c>
      <c r="G773" s="9" t="inlineStr">
        <is>
          <t>Desirable</t>
        </is>
      </c>
      <c r="H773" s="6" t="inlineStr">
        <is>
          <t>Medium</t>
        </is>
      </c>
      <c r="I773" t="inlineStr"/>
      <c r="J773" t="inlineStr">
        <is>
          <t>Not Started</t>
        </is>
      </c>
      <c r="K773" t="inlineStr"/>
      <c r="L773" t="inlineStr"/>
      <c r="M773" t="inlineStr"/>
      <c r="N773" t="inlineStr"/>
      <c r="O773" t="inlineStr"/>
      <c r="P773" t="inlineStr"/>
      <c r="Q773" t="inlineStr"/>
      <c r="R773" t="inlineStr"/>
      <c r="S773" t="inlineStr"/>
    </row>
    <row r="774">
      <c r="A774" t="inlineStr">
        <is>
          <t>REQ-00838</t>
        </is>
      </c>
      <c r="B774" s="13" t="inlineStr">
        <is>
          <t>CUI 
CUI 
ATTACHMENT 1 
24/7 N
etwork Operations Center (NOC) 
Statement of Work (SOW) 
(U) United States Space Force (USSF)
(U) Space Systems Command (SSC)
(U) Space Command and Control (Space C2)
Acquisition and Management of Services Contract 
Date 
09 October  2024</t>
        </is>
      </c>
      <c r="C774" t="inlineStr">
        <is>
          <t>C</t>
        </is>
      </c>
      <c r="D774" t="inlineStr"/>
      <c r="E774" t="inlineStr"/>
      <c r="F774" t="inlineStr">
        <is>
          <t>Technical Requirement</t>
        </is>
      </c>
      <c r="G774" s="9" t="inlineStr">
        <is>
          <t>Desirable</t>
        </is>
      </c>
      <c r="H774" s="6" t="inlineStr">
        <is>
          <t>Medium</t>
        </is>
      </c>
      <c r="I774" t="inlineStr"/>
      <c r="J774" t="inlineStr">
        <is>
          <t>Not Started</t>
        </is>
      </c>
      <c r="K774" t="inlineStr"/>
      <c r="L774" t="inlineStr"/>
      <c r="M774" t="inlineStr"/>
      <c r="N774" t="inlineStr"/>
      <c r="O774" t="inlineStr"/>
      <c r="P774" t="inlineStr"/>
      <c r="Q774" t="inlineStr"/>
      <c r="R774" t="inlineStr"/>
      <c r="S774" t="inlineStr"/>
    </row>
    <row r="775">
      <c r="A775" t="inlineStr">
        <is>
          <t>REQ-00839</t>
        </is>
      </c>
      <c r="B775" s="13" t="inlineStr">
        <is>
          <t>Controlled by: Space Systems Command (SSC) 
Controlled by: Space Command and Control (Space C2) 
CUI Category: CUI//PROCURE 
Distribution/Dissemination Control: FEDCON 
POC: Maj Logan Bolitho, logan.bolitho@spaceforce.mil 
DRAFT</t>
        </is>
      </c>
      <c r="C775" t="inlineStr">
        <is>
          <t>C</t>
        </is>
      </c>
      <c r="D775" t="inlineStr"/>
      <c r="E775" t="inlineStr"/>
      <c r="F775" t="inlineStr">
        <is>
          <t>Technical Requirement</t>
        </is>
      </c>
      <c r="G775" s="9" t="inlineStr">
        <is>
          <t>Desirable</t>
        </is>
      </c>
      <c r="H775" s="6" t="inlineStr">
        <is>
          <t>Medium</t>
        </is>
      </c>
      <c r="I775" t="inlineStr"/>
      <c r="J775" t="inlineStr">
        <is>
          <t>Not Started</t>
        </is>
      </c>
      <c r="K775" t="inlineStr"/>
      <c r="L775" t="inlineStr"/>
      <c r="M775" t="inlineStr"/>
      <c r="N775" t="inlineStr"/>
      <c r="O775" t="inlineStr"/>
      <c r="P775" t="inlineStr"/>
      <c r="Q775" t="inlineStr"/>
      <c r="R775" t="inlineStr"/>
      <c r="S775" t="inlineStr"/>
    </row>
    <row r="776">
      <c r="A776" t="inlineStr">
        <is>
          <t>REQ-00840</t>
        </is>
      </c>
      <c r="B776" s="13" t="inlineStr">
        <is>
          <t>Revision (Rev).  A revision should be used to identify a new base product associated with a 
contract modification. Do not remove changes from the cha nge table when the document is 
revised since they may lend important historical value.</t>
        </is>
      </c>
      <c r="C776" t="inlineStr">
        <is>
          <t>C</t>
        </is>
      </c>
      <c r="D776" t="inlineStr"/>
      <c r="E776" t="inlineStr"/>
      <c r="F776" t="inlineStr">
        <is>
          <t>Technical Requirement</t>
        </is>
      </c>
      <c r="G776" s="9" t="inlineStr">
        <is>
          <t>Desirable</t>
        </is>
      </c>
      <c r="H776" s="6" t="inlineStr">
        <is>
          <t>Medium</t>
        </is>
      </c>
      <c r="I776" t="inlineStr"/>
      <c r="J776" t="inlineStr">
        <is>
          <t>Not Started</t>
        </is>
      </c>
      <c r="K776" t="inlineStr"/>
      <c r="L776" t="inlineStr"/>
      <c r="M776" t="inlineStr"/>
      <c r="N776" t="inlineStr"/>
      <c r="O776" t="inlineStr"/>
      <c r="P776" t="inlineStr"/>
      <c r="Q776" t="inlineStr"/>
      <c r="R776" t="inlineStr"/>
      <c r="S776" t="inlineStr"/>
    </row>
    <row r="777">
      <c r="A777" t="inlineStr">
        <is>
          <t>REQ-00841</t>
        </is>
      </c>
      <c r="B777" s="13" t="inlineStr">
        <is>
          <t>Version (Ver).  A change that is administra tive in nature does not require the document to be re-
staffed. Changes that remove or add items peri odically assessed or affect items assessed in 
frequency of a ssessment or thresholds must be re-sta ffed for approval. Conso lidate changes 
when possible. Include a su mmary of the changes incorporated in the c hange table.</t>
        </is>
      </c>
      <c r="C777" t="inlineStr">
        <is>
          <t>C</t>
        </is>
      </c>
      <c r="D777" t="inlineStr"/>
      <c r="E777" t="inlineStr"/>
      <c r="F777" t="inlineStr">
        <is>
          <t>Technical Requirement</t>
        </is>
      </c>
      <c r="G777" s="8" t="inlineStr">
        <is>
          <t>Mandatory</t>
        </is>
      </c>
      <c r="H777" s="5" t="inlineStr">
        <is>
          <t>High</t>
        </is>
      </c>
      <c r="I777" t="inlineStr"/>
      <c r="J777" t="inlineStr">
        <is>
          <t>Not Started</t>
        </is>
      </c>
      <c r="K777" t="inlineStr"/>
      <c r="L777" t="inlineStr"/>
      <c r="M777" t="inlineStr"/>
      <c r="N777" t="inlineStr"/>
      <c r="O777" t="inlineStr"/>
      <c r="P777" t="inlineStr"/>
      <c r="Q777" t="inlineStr"/>
      <c r="R777" t="inlineStr"/>
      <c r="S777" t="inlineStr"/>
    </row>
    <row r="778">
      <c r="A778" t="inlineStr">
        <is>
          <t>REQ-00842</t>
        </is>
      </c>
      <c r="B778" s="13"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t>
        </is>
      </c>
      <c r="C778" t="inlineStr">
        <is>
          <t>C</t>
        </is>
      </c>
      <c r="D778" t="inlineStr"/>
      <c r="E778" t="inlineStr"/>
      <c r="F778" t="inlineStr">
        <is>
          <t>Technical Requirement</t>
        </is>
      </c>
      <c r="G778" s="9" t="inlineStr">
        <is>
          <t>Desirable</t>
        </is>
      </c>
      <c r="H778" s="6" t="inlineStr">
        <is>
          <t>Medium</t>
        </is>
      </c>
      <c r="I778" t="inlineStr"/>
      <c r="J778" t="inlineStr">
        <is>
          <t>Not Started</t>
        </is>
      </c>
      <c r="K778" t="inlineStr"/>
      <c r="L778" t="inlineStr"/>
      <c r="M778" t="inlineStr"/>
      <c r="N778" t="inlineStr"/>
      <c r="O778" t="inlineStr"/>
      <c r="P778" t="inlineStr"/>
      <c r="Q778" t="inlineStr"/>
      <c r="R778" t="inlineStr"/>
      <c r="S778" t="inlineStr"/>
    </row>
    <row r="779">
      <c r="A779" t="inlineStr">
        <is>
          <t>REQ-00843</t>
        </is>
      </c>
      <c r="B779" s="13" t="inlineStr">
        <is>
          <t>CUI 
 CUI 6  
- Network support and monitoring of all network feeds that impact C2 SDA to include Tier 1 
support to SPARTAN and SDAnet.   
- Infrastructure support to physical hardware.  
- Legacy systems and infrastructure support inherited from MOSSAIC 
- A transition plan to ensure continuous 24/7 monitoring and support. 
Figure 1: Space C2 Lines of Effort</t>
        </is>
      </c>
      <c r="C779" t="inlineStr">
        <is>
          <t>C</t>
        </is>
      </c>
      <c r="D779" t="inlineStr"/>
      <c r="E779" t="inlineStr"/>
      <c r="F779" t="inlineStr">
        <is>
          <t>Technical Requirement</t>
        </is>
      </c>
      <c r="G779" s="9" t="inlineStr">
        <is>
          <t>Desirable</t>
        </is>
      </c>
      <c r="H779" s="6" t="inlineStr">
        <is>
          <t>Medium</t>
        </is>
      </c>
      <c r="I779" t="inlineStr"/>
      <c r="J779" t="inlineStr">
        <is>
          <t>Not Started</t>
        </is>
      </c>
      <c r="K779" t="inlineStr"/>
      <c r="L779" t="inlineStr"/>
      <c r="M779" t="inlineStr"/>
      <c r="N779" t="inlineStr"/>
      <c r="O779" t="inlineStr"/>
      <c r="P779" t="inlineStr"/>
      <c r="Q779" t="inlineStr"/>
      <c r="R779" t="inlineStr"/>
      <c r="S779" t="inlineStr"/>
    </row>
    <row r="780">
      <c r="A780" t="inlineStr">
        <is>
          <t>REQ-00844</t>
        </is>
      </c>
      <c r="B780" s="13" t="inlineStr">
        <is>
          <t>CUI 
 CUI 7  
Figure 2: Notional Product Support Tier Structure</t>
        </is>
      </c>
      <c r="C780" t="inlineStr">
        <is>
          <t>C</t>
        </is>
      </c>
      <c r="D780" t="inlineStr"/>
      <c r="E780" t="inlineStr"/>
      <c r="F780" t="inlineStr">
        <is>
          <t>Technical Requirement</t>
        </is>
      </c>
      <c r="G780" s="9" t="inlineStr">
        <is>
          <t>Desirable</t>
        </is>
      </c>
      <c r="H780" s="6" t="inlineStr">
        <is>
          <t>Medium</t>
        </is>
      </c>
      <c r="I780" t="inlineStr"/>
      <c r="J780" t="inlineStr">
        <is>
          <t>Not Started</t>
        </is>
      </c>
      <c r="K780" t="inlineStr"/>
      <c r="L780" t="inlineStr"/>
      <c r="M780" t="inlineStr"/>
      <c r="N780" t="inlineStr"/>
      <c r="O780" t="inlineStr"/>
      <c r="P780" t="inlineStr"/>
      <c r="Q780" t="inlineStr"/>
      <c r="R780" t="inlineStr"/>
      <c r="S780" t="inlineStr"/>
    </row>
    <row r="781">
      <c r="A781" t="inlineStr">
        <is>
          <t>REQ-00845</t>
        </is>
      </c>
      <c r="B781" s="13" t="inlineStr">
        <is>
          <t>2.1.1 The Contractor shall provide program management and staffing resources necessary to 
plan, manage, direct, control, and report on all activities contributing to requirements 
identified herein.</t>
        </is>
      </c>
      <c r="C781" t="inlineStr">
        <is>
          <t>C</t>
        </is>
      </c>
      <c r="D781" t="inlineStr"/>
      <c r="E781" t="inlineStr"/>
      <c r="F781" t="inlineStr">
        <is>
          <t>Technical Requirement</t>
        </is>
      </c>
      <c r="G781" s="8" t="inlineStr">
        <is>
          <t>Mandatory</t>
        </is>
      </c>
      <c r="H781" s="5" t="inlineStr">
        <is>
          <t>High</t>
        </is>
      </c>
      <c r="I781" t="inlineStr"/>
      <c r="J781" t="inlineStr">
        <is>
          <t>Not Started</t>
        </is>
      </c>
      <c r="K781" t="inlineStr"/>
      <c r="L781" t="inlineStr"/>
      <c r="M781" t="inlineStr"/>
      <c r="N781" t="inlineStr"/>
      <c r="O781" t="inlineStr"/>
      <c r="P781" t="inlineStr"/>
      <c r="Q781" t="inlineStr"/>
      <c r="R781" t="inlineStr"/>
      <c r="S781" t="inlineStr"/>
    </row>
    <row r="782">
      <c r="A782" t="inlineStr">
        <is>
          <t>REQ-00846</t>
        </is>
      </c>
      <c r="B782" s="13" t="inlineStr">
        <is>
          <t>2.1.2 The Contractor shall utilize government-furnished communication tools to include, but 
not limited to: Google Electronic Mail (e-mail) (Impact Level (IL)-4 e-mail), Microsoft 
(MS) Teams, Mattermost, Jira, Jira Align, and Confluence.</t>
        </is>
      </c>
      <c r="C782" t="inlineStr">
        <is>
          <t>C</t>
        </is>
      </c>
      <c r="D782" t="inlineStr"/>
      <c r="E782" t="inlineStr"/>
      <c r="F782" t="inlineStr">
        <is>
          <t>Technical Requirement</t>
        </is>
      </c>
      <c r="G782" s="8" t="inlineStr">
        <is>
          <t>Mandatory</t>
        </is>
      </c>
      <c r="H782" s="5" t="inlineStr">
        <is>
          <t>High</t>
        </is>
      </c>
      <c r="I782" t="inlineStr"/>
      <c r="J782" t="inlineStr">
        <is>
          <t>Not Started</t>
        </is>
      </c>
      <c r="K782" t="inlineStr"/>
      <c r="L782" t="inlineStr"/>
      <c r="M782" t="inlineStr"/>
      <c r="N782" t="inlineStr"/>
      <c r="O782" t="inlineStr"/>
      <c r="P782" t="inlineStr"/>
      <c r="Q782" t="inlineStr"/>
      <c r="R782" t="inlineStr"/>
      <c r="S782" t="inlineStr"/>
    </row>
    <row r="783">
      <c r="A783" t="inlineStr">
        <is>
          <t>REQ-00847</t>
        </is>
      </c>
      <c r="B783" s="13" t="inlineStr">
        <is>
          <t>2.1.3 The Contractor shall utilize government-furnished common services identified within the 
current Service Description Document managed via the Space C2 Configuration 
Management Board (CMB). Exceptions to use of specified common services shall be 
approved by the Government.</t>
        </is>
      </c>
      <c r="C783" t="inlineStr">
        <is>
          <t>C</t>
        </is>
      </c>
      <c r="D783" t="inlineStr"/>
      <c r="E783" t="inlineStr"/>
      <c r="F783" t="inlineStr">
        <is>
          <t>Technical Requirement</t>
        </is>
      </c>
      <c r="G783" s="8" t="inlineStr">
        <is>
          <t>Mandatory</t>
        </is>
      </c>
      <c r="H783" s="5" t="inlineStr">
        <is>
          <t>High</t>
        </is>
      </c>
      <c r="I783" t="inlineStr"/>
      <c r="J783" t="inlineStr">
        <is>
          <t>Not Started</t>
        </is>
      </c>
      <c r="K783" t="inlineStr"/>
      <c r="L783" t="inlineStr"/>
      <c r="M783" t="inlineStr"/>
      <c r="N783" t="inlineStr"/>
      <c r="O783" t="inlineStr"/>
      <c r="P783" t="inlineStr"/>
      <c r="Q783" t="inlineStr"/>
      <c r="R783" t="inlineStr"/>
      <c r="S783" t="inlineStr"/>
    </row>
    <row r="784">
      <c r="A784" t="inlineStr">
        <is>
          <t>REQ-00848</t>
        </is>
      </c>
      <c r="B784" s="13" t="inlineStr">
        <is>
          <t>2.1.4 The Contractor shall maintain awareness of the Space C2 Development Teams 
implementation of a Development, Security, and Operations (DevSecOps) approach as 
managed by the Space C2 CMB.</t>
        </is>
      </c>
      <c r="C784" t="inlineStr">
        <is>
          <t>C</t>
        </is>
      </c>
      <c r="D784" t="inlineStr"/>
      <c r="E784" t="inlineStr"/>
      <c r="F784" t="inlineStr">
        <is>
          <t>Technical Requirement</t>
        </is>
      </c>
      <c r="G784" s="8" t="inlineStr">
        <is>
          <t>Mandatory</t>
        </is>
      </c>
      <c r="H784" s="5" t="inlineStr">
        <is>
          <t>High</t>
        </is>
      </c>
      <c r="I784" t="inlineStr"/>
      <c r="J784" t="inlineStr">
        <is>
          <t>Not Started</t>
        </is>
      </c>
      <c r="K784" t="inlineStr"/>
      <c r="L784" t="inlineStr"/>
      <c r="M784" t="inlineStr"/>
      <c r="N784" t="inlineStr"/>
      <c r="O784" t="inlineStr"/>
      <c r="P784" t="inlineStr"/>
      <c r="Q784" t="inlineStr"/>
      <c r="R784" t="inlineStr"/>
      <c r="S784" t="inlineStr"/>
    </row>
    <row r="785">
      <c r="A785" t="inlineStr">
        <is>
          <t>REQ-00849</t>
        </is>
      </c>
      <c r="B785" s="13" t="inlineStr">
        <is>
          <t>2.1.5 The Contractor shall proactively support collaborative root cause analysis and 
incorporate results in future processes, tooling, instrumentation, procedural changes, 
and/or software development to minimize reoccurrence of cyber, operational, and/or 
development disruptions.</t>
        </is>
      </c>
      <c r="C785" t="inlineStr">
        <is>
          <t>C</t>
        </is>
      </c>
      <c r="D785" t="inlineStr"/>
      <c r="E785" t="inlineStr"/>
      <c r="F785" t="inlineStr">
        <is>
          <t>Technical Requirement</t>
        </is>
      </c>
      <c r="G785" s="8" t="inlineStr">
        <is>
          <t>Mandatory</t>
        </is>
      </c>
      <c r="H785" s="5" t="inlineStr">
        <is>
          <t>High</t>
        </is>
      </c>
      <c r="I785" t="inlineStr"/>
      <c r="J785" t="inlineStr">
        <is>
          <t>Not Started</t>
        </is>
      </c>
      <c r="K785" t="inlineStr"/>
      <c r="L785" t="inlineStr"/>
      <c r="M785" t="inlineStr"/>
      <c r="N785" t="inlineStr"/>
      <c r="O785" t="inlineStr"/>
      <c r="P785" t="inlineStr"/>
      <c r="Q785" t="inlineStr"/>
      <c r="R785" t="inlineStr"/>
      <c r="S785" t="inlineStr"/>
    </row>
    <row r="786">
      <c r="A786" t="inlineStr">
        <is>
          <t>REQ-00850</t>
        </is>
      </c>
      <c r="B786" s="13" t="inlineStr">
        <is>
          <t>2.1.6 The Contractor shall provide contract status information for SPO management purposes.  
This includes SPO level reviews, executive reviews, independent program reviews and 
assessments, inspections, milestone events, budget excursions, and user conferences.</t>
        </is>
      </c>
      <c r="C786" t="inlineStr">
        <is>
          <t>C</t>
        </is>
      </c>
      <c r="D786" t="inlineStr"/>
      <c r="E786" t="inlineStr"/>
      <c r="F786" t="inlineStr">
        <is>
          <t>Technical Requirement</t>
        </is>
      </c>
      <c r="G786" s="8" t="inlineStr">
        <is>
          <t>Mandatory</t>
        </is>
      </c>
      <c r="H786" s="5" t="inlineStr">
        <is>
          <t>High</t>
        </is>
      </c>
      <c r="I786" t="inlineStr"/>
      <c r="J786" t="inlineStr">
        <is>
          <t>Not Started</t>
        </is>
      </c>
      <c r="K786" t="inlineStr"/>
      <c r="L786" t="inlineStr"/>
      <c r="M786" t="inlineStr"/>
      <c r="N786" t="inlineStr"/>
      <c r="O786" t="inlineStr"/>
      <c r="P786" t="inlineStr"/>
      <c r="Q786" t="inlineStr"/>
      <c r="R786" t="inlineStr"/>
      <c r="S786" t="inlineStr"/>
    </row>
    <row r="787">
      <c r="A787" t="inlineStr">
        <is>
          <t>REQ-00851</t>
        </is>
      </c>
      <c r="B787" s="13" t="inlineStr">
        <is>
          <t>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t>
        </is>
      </c>
      <c r="C787" t="inlineStr">
        <is>
          <t>C</t>
        </is>
      </c>
      <c r="D787" t="inlineStr"/>
      <c r="E787" t="inlineStr"/>
      <c r="F787" t="inlineStr">
        <is>
          <t>Technical Requirement</t>
        </is>
      </c>
      <c r="G787" s="8" t="inlineStr">
        <is>
          <t>Mandatory</t>
        </is>
      </c>
      <c r="H787" s="5" t="inlineStr">
        <is>
          <t>High</t>
        </is>
      </c>
      <c r="I787" t="inlineStr"/>
      <c r="J787" t="inlineStr">
        <is>
          <t>Not Started</t>
        </is>
      </c>
      <c r="K787" t="inlineStr"/>
      <c r="L787" t="inlineStr"/>
      <c r="M787" t="inlineStr"/>
      <c r="N787" t="inlineStr"/>
      <c r="O787" t="inlineStr"/>
      <c r="P787" t="inlineStr"/>
      <c r="Q787" t="inlineStr"/>
      <c r="R787" t="inlineStr"/>
      <c r="S787" t="inlineStr"/>
    </row>
    <row r="788">
      <c r="A788" t="inlineStr">
        <is>
          <t>REQ-00852</t>
        </is>
      </c>
      <c r="B788" s="13" t="inlineStr">
        <is>
          <t>2.1.8 The Contractor shall notify the Government Lead, or their designee, of Government 
Senior Leadership or other stakeholder program visits as well as program media 
exposures. The contractor shall report events within 48 hours of identification or within 
24 hours of the event, whichever comes sooner.</t>
        </is>
      </c>
      <c r="C788" t="inlineStr">
        <is>
          <t>C</t>
        </is>
      </c>
      <c r="D788" t="inlineStr"/>
      <c r="E788" t="inlineStr"/>
      <c r="F788" t="inlineStr">
        <is>
          <t>Technical Requirement</t>
        </is>
      </c>
      <c r="G788" s="8" t="inlineStr">
        <is>
          <t>Mandatory</t>
        </is>
      </c>
      <c r="H788" s="5" t="inlineStr">
        <is>
          <t>High</t>
        </is>
      </c>
      <c r="I788" t="inlineStr"/>
      <c r="J788" t="inlineStr">
        <is>
          <t>Not Started</t>
        </is>
      </c>
      <c r="K788" t="inlineStr"/>
      <c r="L788" t="inlineStr"/>
      <c r="M788" t="inlineStr"/>
      <c r="N788" t="inlineStr"/>
      <c r="O788" t="inlineStr"/>
      <c r="P788" t="inlineStr"/>
      <c r="Q788" t="inlineStr"/>
      <c r="R788" t="inlineStr"/>
      <c r="S788" t="inlineStr"/>
    </row>
    <row r="789">
      <c r="A789" t="inlineStr">
        <is>
          <t>REQ-00853</t>
        </is>
      </c>
      <c r="B789" s="13" t="inlineStr">
        <is>
          <t>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C789" t="inlineStr">
        <is>
          <t>C</t>
        </is>
      </c>
      <c r="D789" t="inlineStr"/>
      <c r="E789" t="inlineStr"/>
      <c r="F789" t="inlineStr">
        <is>
          <t>Technical Requirement</t>
        </is>
      </c>
      <c r="G789" s="8" t="inlineStr">
        <is>
          <t>Mandatory</t>
        </is>
      </c>
      <c r="H789" s="5" t="inlineStr">
        <is>
          <t>High</t>
        </is>
      </c>
      <c r="I789" t="inlineStr"/>
      <c r="J789" t="inlineStr">
        <is>
          <t>Not Started</t>
        </is>
      </c>
      <c r="K789" t="inlineStr"/>
      <c r="L789" t="inlineStr"/>
      <c r="M789" t="inlineStr"/>
      <c r="N789" t="inlineStr"/>
      <c r="O789" t="inlineStr"/>
      <c r="P789" t="inlineStr"/>
      <c r="Q789" t="inlineStr"/>
      <c r="R789" t="inlineStr"/>
      <c r="S789" t="inlineStr"/>
    </row>
    <row r="790">
      <c r="A790" t="inlineStr">
        <is>
          <t>REQ-00854</t>
        </is>
      </c>
      <c r="B790" s="13" t="inlineStr">
        <is>
          <t>2.1.10 The Contractor shall maintain an Organizational Conflict of Interest (OCI) plan as 
applicable.</t>
        </is>
      </c>
      <c r="C790" t="inlineStr">
        <is>
          <t>C</t>
        </is>
      </c>
      <c r="D790" t="inlineStr"/>
      <c r="E790" t="inlineStr"/>
      <c r="F790" t="inlineStr">
        <is>
          <t>Technical Requirement</t>
        </is>
      </c>
      <c r="G790" s="8" t="inlineStr">
        <is>
          <t>Mandatory</t>
        </is>
      </c>
      <c r="H790" s="5" t="inlineStr">
        <is>
          <t>High</t>
        </is>
      </c>
      <c r="I790" t="inlineStr"/>
      <c r="J790" t="inlineStr">
        <is>
          <t>Not Started</t>
        </is>
      </c>
      <c r="K790" t="inlineStr"/>
      <c r="L790" t="inlineStr"/>
      <c r="M790" t="inlineStr"/>
      <c r="N790" t="inlineStr"/>
      <c r="O790" t="inlineStr"/>
      <c r="P790" t="inlineStr"/>
      <c r="Q790" t="inlineStr"/>
      <c r="R790" t="inlineStr"/>
      <c r="S790" t="inlineStr"/>
    </row>
    <row r="791">
      <c r="A791" t="inlineStr">
        <is>
          <t>REQ-00855</t>
        </is>
      </c>
      <c r="B791" s="13" t="inlineStr">
        <is>
          <t>2.2.1 The Contractor shall support Agile team planning and provide input for dependencies 
between expected product support and software and development, as well as on-prem 
infrastructure impacts to external development.</t>
        </is>
      </c>
      <c r="C791" t="inlineStr">
        <is>
          <t>C</t>
        </is>
      </c>
      <c r="D791" t="inlineStr"/>
      <c r="E791" t="inlineStr"/>
      <c r="F791" t="inlineStr">
        <is>
          <t>Technical Requirement</t>
        </is>
      </c>
      <c r="G791" s="8" t="inlineStr">
        <is>
          <t>Mandatory</t>
        </is>
      </c>
      <c r="H791" s="5" t="inlineStr">
        <is>
          <t>High</t>
        </is>
      </c>
      <c r="I791" t="inlineStr"/>
      <c r="J791" t="inlineStr">
        <is>
          <t>Not Started</t>
        </is>
      </c>
      <c r="K791" t="inlineStr"/>
      <c r="L791" t="inlineStr"/>
      <c r="M791" t="inlineStr"/>
      <c r="N791" t="inlineStr"/>
      <c r="O791" t="inlineStr"/>
      <c r="P791" t="inlineStr"/>
      <c r="Q791" t="inlineStr"/>
      <c r="R791" t="inlineStr"/>
      <c r="S791" t="inlineStr"/>
    </row>
    <row r="792">
      <c r="A792" t="inlineStr">
        <is>
          <t>REQ-00856</t>
        </is>
      </c>
      <c r="B792" s="13" t="inlineStr">
        <is>
          <t>2.2.2 The Contractor shall collect metrics to include, but not limited to, System uptime, Cost 
per incident, Mean time between critical failures and mean time to restore.</t>
        </is>
      </c>
      <c r="C792" t="inlineStr">
        <is>
          <t>C</t>
        </is>
      </c>
      <c r="D792" t="inlineStr"/>
      <c r="E792" t="inlineStr"/>
      <c r="F792" t="inlineStr">
        <is>
          <t>Technical Requirement</t>
        </is>
      </c>
      <c r="G792" s="8" t="inlineStr">
        <is>
          <t>Mandatory</t>
        </is>
      </c>
      <c r="H792" s="5" t="inlineStr">
        <is>
          <t>High</t>
        </is>
      </c>
      <c r="I792" t="inlineStr"/>
      <c r="J792" t="inlineStr">
        <is>
          <t>Not Started</t>
        </is>
      </c>
      <c r="K792" t="inlineStr"/>
      <c r="L792" t="inlineStr"/>
      <c r="M792" t="inlineStr"/>
      <c r="N792" t="inlineStr"/>
      <c r="O792" t="inlineStr"/>
      <c r="P792" t="inlineStr"/>
      <c r="Q792" t="inlineStr"/>
      <c r="R792" t="inlineStr"/>
      <c r="S792" t="inlineStr"/>
    </row>
    <row r="793">
      <c r="A793" t="inlineStr">
        <is>
          <t>REQ-00857</t>
        </is>
      </c>
      <c r="B793" s="13" t="inlineStr">
        <is>
          <t>2.2.3 The Contractor shall maintain a quarterly, one-year, and five-year roadmap forecast 
within the SPO-provided Jira instance that includes at a minimum: major upgrades, 
technology changes, significant concept of operations changes, and product end-of-life.</t>
        </is>
      </c>
      <c r="C793" t="inlineStr">
        <is>
          <t>C</t>
        </is>
      </c>
      <c r="D793" t="inlineStr"/>
      <c r="E793" t="inlineStr"/>
      <c r="F793" t="inlineStr">
        <is>
          <t>Technical Requirement</t>
        </is>
      </c>
      <c r="G793" s="8" t="inlineStr">
        <is>
          <t>Mandatory</t>
        </is>
      </c>
      <c r="H793" s="5" t="inlineStr">
        <is>
          <t>High</t>
        </is>
      </c>
      <c r="I793" t="inlineStr"/>
      <c r="J793" t="inlineStr">
        <is>
          <t>Not Started</t>
        </is>
      </c>
      <c r="K793" t="inlineStr"/>
      <c r="L793" t="inlineStr"/>
      <c r="M793" t="inlineStr"/>
      <c r="N793" t="inlineStr"/>
      <c r="O793" t="inlineStr"/>
      <c r="P793" t="inlineStr"/>
      <c r="Q793" t="inlineStr"/>
      <c r="R793" t="inlineStr"/>
      <c r="S793" t="inlineStr"/>
    </row>
    <row r="794">
      <c r="A794" t="inlineStr">
        <is>
          <t>REQ-00858</t>
        </is>
      </c>
      <c r="B794" s="13" t="inlineStr">
        <is>
          <t>2.2.4 The Contractor shall coordinate and gain approval of product technical baseline changes 
and the timing of any migration / adoption through the Space C2 CMB ahead of change 
implementation. This includes, but is not limited to, changes to product resourcing, 
security, interfaces (i.e., connections, data, messaging), commercial tooling, and any 
major product revisions.</t>
        </is>
      </c>
      <c r="C794" t="inlineStr">
        <is>
          <t>C</t>
        </is>
      </c>
      <c r="D794" t="inlineStr"/>
      <c r="E794" t="inlineStr"/>
      <c r="F794" t="inlineStr">
        <is>
          <t>Technical Requirement</t>
        </is>
      </c>
      <c r="G794" s="8" t="inlineStr">
        <is>
          <t>Mandatory</t>
        </is>
      </c>
      <c r="H794" s="5" t="inlineStr">
        <is>
          <t>High</t>
        </is>
      </c>
      <c r="I794" t="inlineStr"/>
      <c r="J794" t="inlineStr">
        <is>
          <t>Not Started</t>
        </is>
      </c>
      <c r="K794" t="inlineStr"/>
      <c r="L794" t="inlineStr"/>
      <c r="M794" t="inlineStr"/>
      <c r="N794" t="inlineStr"/>
      <c r="O794" t="inlineStr"/>
      <c r="P794" t="inlineStr"/>
      <c r="Q794" t="inlineStr"/>
      <c r="R794" t="inlineStr"/>
      <c r="S794" t="inlineStr"/>
    </row>
    <row r="795">
      <c r="A795" t="inlineStr">
        <is>
          <t>REQ-00859</t>
        </is>
      </c>
      <c r="B795" s="13" t="inlineStr">
        <is>
          <t>2.2.5 The Contractor shall provide weekly activity reports summarizing key milestones, 
activities, and operational benefits (e.g., removed X-hours of manual tasks with 
automated function).</t>
        </is>
      </c>
      <c r="C795" t="inlineStr">
        <is>
          <t>C</t>
        </is>
      </c>
      <c r="D795" t="inlineStr"/>
      <c r="E795" t="inlineStr"/>
      <c r="F795" t="inlineStr">
        <is>
          <t>Technical Requirement</t>
        </is>
      </c>
      <c r="G795" s="8" t="inlineStr">
        <is>
          <t>Mandatory</t>
        </is>
      </c>
      <c r="H795" s="5" t="inlineStr">
        <is>
          <t>High</t>
        </is>
      </c>
      <c r="I795" t="inlineStr"/>
      <c r="J795" t="inlineStr">
        <is>
          <t>Not Started</t>
        </is>
      </c>
      <c r="K795" t="inlineStr"/>
      <c r="L795" t="inlineStr"/>
      <c r="M795" t="inlineStr"/>
      <c r="N795" t="inlineStr"/>
      <c r="O795" t="inlineStr"/>
      <c r="P795" t="inlineStr"/>
      <c r="Q795" t="inlineStr"/>
      <c r="R795" t="inlineStr"/>
      <c r="S795" t="inlineStr"/>
    </row>
    <row r="796">
      <c r="A796" t="inlineStr">
        <is>
          <t>REQ-00860</t>
        </is>
      </c>
      <c r="B796" s="13" t="inlineStr">
        <is>
          <t>2.3.1 The Contractor shall conduct a Kick-off Meeting within 30 days of contract award to 
include, at a minimum: special topics, roadmap review, and risk and mitigation plans.  
Meeting read ahead materials shall be made available NLT 7 days prior to meeting.</t>
        </is>
      </c>
      <c r="C796" t="inlineStr">
        <is>
          <t>C</t>
        </is>
      </c>
      <c r="D796" t="inlineStr"/>
      <c r="E796" t="inlineStr"/>
      <c r="F796" t="inlineStr">
        <is>
          <t>Technical Requirement</t>
        </is>
      </c>
      <c r="G796" s="8" t="inlineStr">
        <is>
          <t>Mandatory</t>
        </is>
      </c>
      <c r="H796" s="5" t="inlineStr">
        <is>
          <t>High</t>
        </is>
      </c>
      <c r="I796" t="inlineStr"/>
      <c r="J796" t="inlineStr">
        <is>
          <t>Not Started</t>
        </is>
      </c>
      <c r="K796" t="inlineStr"/>
      <c r="L796" t="inlineStr"/>
      <c r="M796" t="inlineStr"/>
      <c r="N796" t="inlineStr"/>
      <c r="O796" t="inlineStr"/>
      <c r="P796" t="inlineStr"/>
      <c r="Q796" t="inlineStr"/>
      <c r="R796" t="inlineStr"/>
      <c r="S796" t="inlineStr"/>
    </row>
    <row r="797">
      <c r="A797" t="inlineStr">
        <is>
          <t>REQ-00861</t>
        </is>
      </c>
      <c r="B797" s="13" t="inlineStr">
        <is>
          <t>2.3.2 The Contractor shall develop post-meeting minutes and respond to post-meeting action 
items as requested by the SPO within 24 hours of the meeting ending.</t>
        </is>
      </c>
      <c r="C797" t="inlineStr">
        <is>
          <t>C</t>
        </is>
      </c>
      <c r="D797" t="inlineStr"/>
      <c r="E797" t="inlineStr"/>
      <c r="F797" t="inlineStr">
        <is>
          <t>Technical Requirement</t>
        </is>
      </c>
      <c r="G797" s="8" t="inlineStr">
        <is>
          <t>Mandatory</t>
        </is>
      </c>
      <c r="H797" s="5" t="inlineStr">
        <is>
          <t>High</t>
        </is>
      </c>
      <c r="I797" t="inlineStr"/>
      <c r="J797" t="inlineStr">
        <is>
          <t>Not Started</t>
        </is>
      </c>
      <c r="K797" t="inlineStr"/>
      <c r="L797" t="inlineStr"/>
      <c r="M797" t="inlineStr"/>
      <c r="N797" t="inlineStr"/>
      <c r="O797" t="inlineStr"/>
      <c r="P797" t="inlineStr"/>
      <c r="Q797" t="inlineStr"/>
      <c r="R797" t="inlineStr"/>
      <c r="S797" t="inlineStr"/>
    </row>
    <row r="798">
      <c r="A798" t="inlineStr">
        <is>
          <t>REQ-00862</t>
        </is>
      </c>
      <c r="B798" s="13" t="inlineStr">
        <is>
          <t>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t>
        </is>
      </c>
      <c r="C798" t="inlineStr">
        <is>
          <t>C</t>
        </is>
      </c>
      <c r="D798" t="inlineStr"/>
      <c r="E798" t="inlineStr"/>
      <c r="F798" t="inlineStr">
        <is>
          <t>Technical Requirement</t>
        </is>
      </c>
      <c r="G798" s="8" t="inlineStr">
        <is>
          <t>Mandatory</t>
        </is>
      </c>
      <c r="H798" s="5" t="inlineStr">
        <is>
          <t>High</t>
        </is>
      </c>
      <c r="I798" t="inlineStr"/>
      <c r="J798" t="inlineStr">
        <is>
          <t>Not Started</t>
        </is>
      </c>
      <c r="K798" t="inlineStr"/>
      <c r="L798" t="inlineStr"/>
      <c r="M798" t="inlineStr"/>
      <c r="N798" t="inlineStr"/>
      <c r="O798" t="inlineStr"/>
      <c r="P798" t="inlineStr"/>
      <c r="Q798" t="inlineStr"/>
      <c r="R798" t="inlineStr"/>
      <c r="S798" t="inlineStr"/>
    </row>
    <row r="799">
      <c r="A799" t="inlineStr">
        <is>
          <t>REQ-00863</t>
        </is>
      </c>
      <c r="B799" s="13" t="inlineStr">
        <is>
          <t>2.3.4 The Contractor shall develop post-PMR minutes and respond to post-PMR action items.</t>
        </is>
      </c>
      <c r="C799" t="inlineStr">
        <is>
          <t>C</t>
        </is>
      </c>
      <c r="D799" t="inlineStr"/>
      <c r="E799" t="inlineStr"/>
      <c r="F799" t="inlineStr">
        <is>
          <t>Technical Requirement</t>
        </is>
      </c>
      <c r="G799" s="8" t="inlineStr">
        <is>
          <t>Mandatory</t>
        </is>
      </c>
      <c r="H799" s="5" t="inlineStr">
        <is>
          <t>High</t>
        </is>
      </c>
      <c r="I799" t="inlineStr"/>
      <c r="J799" t="inlineStr">
        <is>
          <t>Not Started</t>
        </is>
      </c>
      <c r="K799" t="inlineStr"/>
      <c r="L799" t="inlineStr"/>
      <c r="M799" t="inlineStr"/>
      <c r="N799" t="inlineStr"/>
      <c r="O799" t="inlineStr"/>
      <c r="P799" t="inlineStr"/>
      <c r="Q799" t="inlineStr"/>
      <c r="R799" t="inlineStr"/>
      <c r="S799" t="inlineStr"/>
    </row>
    <row r="800">
      <c r="A800" t="inlineStr">
        <is>
          <t>REQ-00864</t>
        </is>
      </c>
      <c r="B800" s="13" t="inlineStr">
        <is>
          <t>2.3.5 The Contractor shall obtain written approval by the Government Lead, or their designee, 
ahead of travel that is already authorized in the contract. 
DRAFT</t>
        </is>
      </c>
      <c r="C800" t="inlineStr">
        <is>
          <t>C</t>
        </is>
      </c>
      <c r="D800" t="inlineStr"/>
      <c r="E800" t="inlineStr"/>
      <c r="F800" t="inlineStr">
        <is>
          <t>Technical Requirement</t>
        </is>
      </c>
      <c r="G800" s="8" t="inlineStr">
        <is>
          <t>Mandatory</t>
        </is>
      </c>
      <c r="H800" s="5" t="inlineStr">
        <is>
          <t>High</t>
        </is>
      </c>
      <c r="I800" t="inlineStr"/>
      <c r="J800" t="inlineStr">
        <is>
          <t>Not Started</t>
        </is>
      </c>
      <c r="K800" t="inlineStr"/>
      <c r="L800" t="inlineStr"/>
      <c r="M800" t="inlineStr"/>
      <c r="N800" t="inlineStr"/>
      <c r="O800" t="inlineStr"/>
      <c r="P800" t="inlineStr"/>
      <c r="Q800" t="inlineStr"/>
      <c r="R800" t="inlineStr"/>
      <c r="S800" t="inlineStr"/>
    </row>
    <row r="801">
      <c r="A801" t="inlineStr">
        <is>
          <t>REQ-00865</t>
        </is>
      </c>
      <c r="B801" s="13" t="inlineStr">
        <is>
          <t>2.3.6 The Contractor shall support quarterly, multi-day (nominally three-day), in-person 
Program Increment events in Colorado Springs, Colorado. The location, duration, and 
frequency may change as requested by the SPO.</t>
        </is>
      </c>
      <c r="C801" t="inlineStr">
        <is>
          <t>C</t>
        </is>
      </c>
      <c r="D801" t="inlineStr"/>
      <c r="E801" t="inlineStr"/>
      <c r="F801" t="inlineStr">
        <is>
          <t>Technical Requirement</t>
        </is>
      </c>
      <c r="G801" s="8" t="inlineStr">
        <is>
          <t>Mandatory</t>
        </is>
      </c>
      <c r="H801" s="5" t="inlineStr">
        <is>
          <t>High</t>
        </is>
      </c>
      <c r="I801" t="inlineStr"/>
      <c r="J801" t="inlineStr">
        <is>
          <t>Not Started</t>
        </is>
      </c>
      <c r="K801" t="inlineStr"/>
      <c r="L801" t="inlineStr"/>
      <c r="M801" t="inlineStr"/>
      <c r="N801" t="inlineStr"/>
      <c r="O801" t="inlineStr"/>
      <c r="P801" t="inlineStr"/>
      <c r="Q801" t="inlineStr"/>
      <c r="R801" t="inlineStr"/>
      <c r="S801" t="inlineStr"/>
    </row>
    <row r="802">
      <c r="A802" t="inlineStr">
        <is>
          <t>REQ-00866</t>
        </is>
      </c>
      <c r="B802" s="13" t="inlineStr">
        <is>
          <t>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t>
        </is>
      </c>
      <c r="C802" t="inlineStr">
        <is>
          <t>C</t>
        </is>
      </c>
      <c r="D802" t="inlineStr"/>
      <c r="E802" t="inlineStr"/>
      <c r="F802" t="inlineStr">
        <is>
          <t>Technical Requirement</t>
        </is>
      </c>
      <c r="G802" s="8" t="inlineStr">
        <is>
          <t>Mandatory</t>
        </is>
      </c>
      <c r="H802" s="5" t="inlineStr">
        <is>
          <t>High</t>
        </is>
      </c>
      <c r="I802" t="inlineStr"/>
      <c r="J802" t="inlineStr">
        <is>
          <t>Not Started</t>
        </is>
      </c>
      <c r="K802" t="inlineStr"/>
      <c r="L802" t="inlineStr"/>
      <c r="M802" t="inlineStr"/>
      <c r="N802" t="inlineStr"/>
      <c r="O802" t="inlineStr"/>
      <c r="P802" t="inlineStr"/>
      <c r="Q802" t="inlineStr"/>
      <c r="R802" t="inlineStr"/>
      <c r="S802" t="inlineStr"/>
    </row>
    <row r="803">
      <c r="A803" t="inlineStr">
        <is>
          <t>REQ-00867</t>
        </is>
      </c>
      <c r="B803" s="13" t="inlineStr">
        <is>
          <t>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t>
        </is>
      </c>
      <c r="C803" t="inlineStr">
        <is>
          <t>C</t>
        </is>
      </c>
      <c r="D803" t="inlineStr"/>
      <c r="E803" t="inlineStr"/>
      <c r="F803" t="inlineStr">
        <is>
          <t>Technical Requirement</t>
        </is>
      </c>
      <c r="G803" s="8" t="inlineStr">
        <is>
          <t>Mandatory</t>
        </is>
      </c>
      <c r="H803" s="5" t="inlineStr">
        <is>
          <t>High</t>
        </is>
      </c>
      <c r="I803" t="inlineStr"/>
      <c r="J803" t="inlineStr">
        <is>
          <t>Not Started</t>
        </is>
      </c>
      <c r="K803" t="inlineStr"/>
      <c r="L803" t="inlineStr"/>
      <c r="M803" t="inlineStr"/>
      <c r="N803" t="inlineStr"/>
      <c r="O803" t="inlineStr"/>
      <c r="P803" t="inlineStr"/>
      <c r="Q803" t="inlineStr"/>
      <c r="R803" t="inlineStr"/>
      <c r="S803" t="inlineStr"/>
    </row>
    <row r="804">
      <c r="A804" t="inlineStr">
        <is>
          <t>REQ-00868</t>
        </is>
      </c>
      <c r="B804" s="13" t="inlineStr">
        <is>
          <t>2.3.9 The Contractor shall support meetings with mission partners and stakeholders as needed 
at required classification levels at a minimum Quarterly.</t>
        </is>
      </c>
      <c r="C804" t="inlineStr">
        <is>
          <t>C</t>
        </is>
      </c>
      <c r="D804" t="inlineStr"/>
      <c r="E804" t="inlineStr"/>
      <c r="F804" t="inlineStr">
        <is>
          <t>Technical Requirement</t>
        </is>
      </c>
      <c r="G804" s="8" t="inlineStr">
        <is>
          <t>Mandatory</t>
        </is>
      </c>
      <c r="H804" s="5" t="inlineStr">
        <is>
          <t>High</t>
        </is>
      </c>
      <c r="I804" t="inlineStr"/>
      <c r="J804" t="inlineStr">
        <is>
          <t>Not Started</t>
        </is>
      </c>
      <c r="K804" t="inlineStr"/>
      <c r="L804" t="inlineStr"/>
      <c r="M804" t="inlineStr"/>
      <c r="N804" t="inlineStr"/>
      <c r="O804" t="inlineStr"/>
      <c r="P804" t="inlineStr"/>
      <c r="Q804" t="inlineStr"/>
      <c r="R804" t="inlineStr"/>
      <c r="S804" t="inlineStr"/>
    </row>
    <row r="805">
      <c r="A805" t="inlineStr">
        <is>
          <t>REQ-00869</t>
        </is>
      </c>
      <c r="B805" s="13" t="inlineStr">
        <is>
          <t>2.4 Contract Data Requirements List (CDRL)</t>
        </is>
      </c>
      <c r="C805" t="inlineStr">
        <is>
          <t>C</t>
        </is>
      </c>
      <c r="D805" t="inlineStr"/>
      <c r="E805" t="inlineStr"/>
      <c r="F805" t="inlineStr">
        <is>
          <t>Technical Requirement</t>
        </is>
      </c>
      <c r="G805" s="9" t="inlineStr">
        <is>
          <t>Desirable</t>
        </is>
      </c>
      <c r="H805" s="6" t="inlineStr">
        <is>
          <t>Medium</t>
        </is>
      </c>
      <c r="I805" t="inlineStr"/>
      <c r="J805" t="inlineStr">
        <is>
          <t>Not Started</t>
        </is>
      </c>
      <c r="K805" t="inlineStr"/>
      <c r="L805" t="inlineStr"/>
      <c r="M805" t="inlineStr"/>
      <c r="N805" t="inlineStr"/>
      <c r="O805" t="inlineStr"/>
      <c r="P805" t="inlineStr"/>
      <c r="Q805" t="inlineStr"/>
      <c r="R805" t="inlineStr"/>
      <c r="S805" t="inlineStr"/>
    </row>
    <row r="806">
      <c r="A806" t="inlineStr">
        <is>
          <t>REQ-00870</t>
        </is>
      </c>
      <c r="B806" s="13" t="inlineStr">
        <is>
          <t>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t>
        </is>
      </c>
      <c r="C806" t="inlineStr">
        <is>
          <t>C</t>
        </is>
      </c>
      <c r="D806" t="inlineStr"/>
      <c r="E806" t="inlineStr"/>
      <c r="F806" t="inlineStr">
        <is>
          <t>Technical Requirement</t>
        </is>
      </c>
      <c r="G806" s="8" t="inlineStr">
        <is>
          <t>Mandatory</t>
        </is>
      </c>
      <c r="H806" s="5" t="inlineStr">
        <is>
          <t>High</t>
        </is>
      </c>
      <c r="I806" t="inlineStr"/>
      <c r="J806" t="inlineStr">
        <is>
          <t>Not Started</t>
        </is>
      </c>
      <c r="K806" t="inlineStr"/>
      <c r="L806" t="inlineStr"/>
      <c r="M806" t="inlineStr"/>
      <c r="N806" t="inlineStr"/>
      <c r="O806" t="inlineStr"/>
      <c r="P806" t="inlineStr"/>
      <c r="Q806" t="inlineStr"/>
      <c r="R806" t="inlineStr"/>
      <c r="S806" t="inlineStr"/>
    </row>
    <row r="807">
      <c r="A807" t="inlineStr">
        <is>
          <t>REQ-00871</t>
        </is>
      </c>
      <c r="B807" s="13" t="inlineStr">
        <is>
          <t>2.4.2 A001 CFSR shall follow SPO-provided template.</t>
        </is>
      </c>
      <c r="C807" t="inlineStr">
        <is>
          <t>C</t>
        </is>
      </c>
      <c r="D807" t="inlineStr"/>
      <c r="E807" t="inlineStr"/>
      <c r="F807" t="inlineStr">
        <is>
          <t>Technical Requirement</t>
        </is>
      </c>
      <c r="G807" s="8" t="inlineStr">
        <is>
          <t>Mandatory</t>
        </is>
      </c>
      <c r="H807" s="5" t="inlineStr">
        <is>
          <t>High</t>
        </is>
      </c>
      <c r="I807" t="inlineStr"/>
      <c r="J807" t="inlineStr">
        <is>
          <t>Not Started</t>
        </is>
      </c>
      <c r="K807" t="inlineStr"/>
      <c r="L807" t="inlineStr"/>
      <c r="M807" t="inlineStr"/>
      <c r="N807" t="inlineStr"/>
      <c r="O807" t="inlineStr"/>
      <c r="P807" t="inlineStr"/>
      <c r="Q807" t="inlineStr"/>
      <c r="R807" t="inlineStr"/>
      <c r="S807" t="inlineStr"/>
    </row>
    <row r="808">
      <c r="A808" t="inlineStr">
        <is>
          <t>REQ-00872</t>
        </is>
      </c>
      <c r="B808" s="13" t="inlineStr">
        <is>
          <t>2.4.3 A002 PPIP shall address the Government’s Program Protection Plan and follow the 
section formatting contained within</t>
        </is>
      </c>
      <c r="C808" t="inlineStr">
        <is>
          <t>C</t>
        </is>
      </c>
      <c r="D808" t="inlineStr"/>
      <c r="E808" t="inlineStr"/>
      <c r="F808" t="inlineStr">
        <is>
          <t>Technical Requirement</t>
        </is>
      </c>
      <c r="G808" s="8" t="inlineStr">
        <is>
          <t>Mandatory</t>
        </is>
      </c>
      <c r="H808" s="5" t="inlineStr">
        <is>
          <t>High</t>
        </is>
      </c>
      <c r="I808" t="inlineStr"/>
      <c r="J808" t="inlineStr">
        <is>
          <t>Not Started</t>
        </is>
      </c>
      <c r="K808" t="inlineStr"/>
      <c r="L808" t="inlineStr"/>
      <c r="M808" t="inlineStr"/>
      <c r="N808" t="inlineStr"/>
      <c r="O808" t="inlineStr"/>
      <c r="P808" t="inlineStr"/>
      <c r="Q808" t="inlineStr"/>
      <c r="R808" t="inlineStr"/>
      <c r="S808" t="inlineStr"/>
    </row>
    <row r="809">
      <c r="A809" t="inlineStr">
        <is>
          <t>REQ-00873</t>
        </is>
      </c>
      <c r="B809" s="13" t="inlineStr">
        <is>
          <t>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t>
        </is>
      </c>
      <c r="C809" t="inlineStr">
        <is>
          <t>C</t>
        </is>
      </c>
      <c r="D809" t="inlineStr"/>
      <c r="E809" t="inlineStr"/>
      <c r="F809" t="inlineStr">
        <is>
          <t>Technical Requirement</t>
        </is>
      </c>
      <c r="G809" s="8" t="inlineStr">
        <is>
          <t>Mandatory</t>
        </is>
      </c>
      <c r="H809" s="5" t="inlineStr">
        <is>
          <t>High</t>
        </is>
      </c>
      <c r="I809" t="inlineStr"/>
      <c r="J809" t="inlineStr">
        <is>
          <t>Not Started</t>
        </is>
      </c>
      <c r="K809" t="inlineStr"/>
      <c r="L809" t="inlineStr"/>
      <c r="M809" t="inlineStr"/>
      <c r="N809" t="inlineStr"/>
      <c r="O809" t="inlineStr"/>
      <c r="P809" t="inlineStr"/>
      <c r="Q809" t="inlineStr"/>
      <c r="R809" t="inlineStr"/>
      <c r="S809" t="inlineStr"/>
    </row>
    <row r="810">
      <c r="A810" t="inlineStr">
        <is>
          <t>REQ-00874</t>
        </is>
      </c>
      <c r="B810" s="13" t="inlineStr">
        <is>
          <t>CUI 
 CUI 11  
• Program Management plan, 
• Staffing Plan, 
• Subcontract information, 
• Organizational Conflict of Interest Plan</t>
        </is>
      </c>
      <c r="C810" t="inlineStr">
        <is>
          <t>C</t>
        </is>
      </c>
      <c r="D810" t="inlineStr"/>
      <c r="E810" t="inlineStr"/>
      <c r="F810" t="inlineStr">
        <is>
          <t>Technical Requirement</t>
        </is>
      </c>
      <c r="G810" s="9" t="inlineStr">
        <is>
          <t>Desirable</t>
        </is>
      </c>
      <c r="H810" s="6" t="inlineStr">
        <is>
          <t>Medium</t>
        </is>
      </c>
      <c r="I810" t="inlineStr"/>
      <c r="J810" t="inlineStr">
        <is>
          <t>Not Started</t>
        </is>
      </c>
      <c r="K810" t="inlineStr"/>
      <c r="L810" t="inlineStr"/>
      <c r="M810" t="inlineStr"/>
      <c r="N810" t="inlineStr"/>
      <c r="O810" t="inlineStr"/>
      <c r="P810" t="inlineStr"/>
      <c r="Q810" t="inlineStr"/>
      <c r="R810" t="inlineStr"/>
      <c r="S810" t="inlineStr"/>
    </row>
    <row r="811">
      <c r="A811" t="inlineStr">
        <is>
          <t>REQ-00875</t>
        </is>
      </c>
      <c r="B811" s="13" t="inlineStr">
        <is>
          <t>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t>
        </is>
      </c>
      <c r="C811" t="inlineStr">
        <is>
          <t>C</t>
        </is>
      </c>
      <c r="D811" t="inlineStr"/>
      <c r="E811" t="inlineStr"/>
      <c r="F811" t="inlineStr">
        <is>
          <t>Technical Requirement</t>
        </is>
      </c>
      <c r="G811" s="8" t="inlineStr">
        <is>
          <t>Mandatory</t>
        </is>
      </c>
      <c r="H811" s="5" t="inlineStr">
        <is>
          <t>High</t>
        </is>
      </c>
      <c r="I811" t="inlineStr"/>
      <c r="J811" t="inlineStr">
        <is>
          <t>Not Started</t>
        </is>
      </c>
      <c r="K811" t="inlineStr"/>
      <c r="L811" t="inlineStr"/>
      <c r="M811" t="inlineStr"/>
      <c r="N811" t="inlineStr"/>
      <c r="O811" t="inlineStr"/>
      <c r="P811" t="inlineStr"/>
      <c r="Q811" t="inlineStr"/>
      <c r="R811" t="inlineStr"/>
      <c r="S811" t="inlineStr"/>
    </row>
    <row r="812">
      <c r="A812" t="inlineStr">
        <is>
          <t>REQ-00876</t>
        </is>
      </c>
      <c r="B812" s="13" t="inlineStr">
        <is>
          <t>2.6         Associate Contractor Agreements &amp; Other Agreements</t>
        </is>
      </c>
      <c r="C812" t="inlineStr">
        <is>
          <t>C</t>
        </is>
      </c>
      <c r="D812" t="inlineStr"/>
      <c r="E812" t="inlineStr"/>
      <c r="F812" t="inlineStr">
        <is>
          <t>Technical Requirement</t>
        </is>
      </c>
      <c r="G812" s="9" t="inlineStr">
        <is>
          <t>Desirable</t>
        </is>
      </c>
      <c r="H812" s="6" t="inlineStr">
        <is>
          <t>Medium</t>
        </is>
      </c>
      <c r="I812" t="inlineStr"/>
      <c r="J812" t="inlineStr">
        <is>
          <t>Not Started</t>
        </is>
      </c>
      <c r="K812" t="inlineStr"/>
      <c r="L812" t="inlineStr"/>
      <c r="M812" t="inlineStr"/>
      <c r="N812" t="inlineStr"/>
      <c r="O812" t="inlineStr"/>
      <c r="P812" t="inlineStr"/>
      <c r="Q812" t="inlineStr"/>
      <c r="R812" t="inlineStr"/>
      <c r="S812" t="inlineStr"/>
    </row>
    <row r="813">
      <c r="A813" t="inlineStr">
        <is>
          <t>REQ-00877</t>
        </is>
      </c>
      <c r="B813" s="13" t="inlineStr">
        <is>
          <t>2.4.6 The Contractor shall enter into ACAs with the contractors listed at Vandenberg Space 
Force Base (VSFB) to support cross-project integration for accomplishment of the SPO’s 
requirement. Additional contractors requiring ACAs may be identified by the SPO 
throughout the duration of the contract.</t>
        </is>
      </c>
      <c r="C813" t="inlineStr">
        <is>
          <t>C</t>
        </is>
      </c>
      <c r="D813" t="inlineStr"/>
      <c r="E813" t="inlineStr"/>
      <c r="F813" t="inlineStr">
        <is>
          <t>Technical Requirement</t>
        </is>
      </c>
      <c r="G813" s="8" t="inlineStr">
        <is>
          <t>Mandatory</t>
        </is>
      </c>
      <c r="H813" s="5" t="inlineStr">
        <is>
          <t>High</t>
        </is>
      </c>
      <c r="I813" t="inlineStr"/>
      <c r="J813" t="inlineStr">
        <is>
          <t>Not Started</t>
        </is>
      </c>
      <c r="K813" t="inlineStr"/>
      <c r="L813" t="inlineStr"/>
      <c r="M813" t="inlineStr"/>
      <c r="N813" t="inlineStr"/>
      <c r="O813" t="inlineStr"/>
      <c r="P813" t="inlineStr"/>
      <c r="Q813" t="inlineStr"/>
      <c r="R813" t="inlineStr"/>
      <c r="S813" t="inlineStr"/>
    </row>
    <row r="814">
      <c r="A814" t="inlineStr">
        <is>
          <t>REQ-00878</t>
        </is>
      </c>
      <c r="B814" s="13" t="inlineStr">
        <is>
          <t>2.4.7 The Contractor shall establish ACAs with new vendors within 45 days of notification by 
the Government.</t>
        </is>
      </c>
      <c r="C814" t="inlineStr">
        <is>
          <t>C</t>
        </is>
      </c>
      <c r="D814" t="inlineStr"/>
      <c r="E814" t="inlineStr"/>
      <c r="F814" t="inlineStr">
        <is>
          <t>Technical Requirement</t>
        </is>
      </c>
      <c r="G814" s="8" t="inlineStr">
        <is>
          <t>Mandatory</t>
        </is>
      </c>
      <c r="H814" s="5" t="inlineStr">
        <is>
          <t>High</t>
        </is>
      </c>
      <c r="I814" t="inlineStr"/>
      <c r="J814" t="inlineStr">
        <is>
          <t>Not Started</t>
        </is>
      </c>
      <c r="K814" t="inlineStr"/>
      <c r="L814" t="inlineStr"/>
      <c r="M814" t="inlineStr"/>
      <c r="N814" t="inlineStr"/>
      <c r="O814" t="inlineStr"/>
      <c r="P814" t="inlineStr"/>
      <c r="Q814" t="inlineStr"/>
      <c r="R814" t="inlineStr"/>
      <c r="S814" t="inlineStr"/>
    </row>
    <row r="815">
      <c r="A815" t="inlineStr">
        <is>
          <t>REQ-00879</t>
        </is>
      </c>
      <c r="B815" s="13" t="inlineStr">
        <is>
          <t>2.4.8 The ACA(s) shall include the basis for sharing information, data, technical knowledge, 
expertise and resources essential to integration, which shall ensure the greatest degree of 
cooperation for the development of the program to meet the terms of the contract.</t>
        </is>
      </c>
      <c r="C815" t="inlineStr">
        <is>
          <t>C</t>
        </is>
      </c>
      <c r="D815" t="inlineStr"/>
      <c r="E815" t="inlineStr"/>
      <c r="F815" t="inlineStr">
        <is>
          <t>Technical Requirement</t>
        </is>
      </c>
      <c r="G815" s="8" t="inlineStr">
        <is>
          <t>Mandatory</t>
        </is>
      </c>
      <c r="H815" s="5" t="inlineStr">
        <is>
          <t>High</t>
        </is>
      </c>
      <c r="I815" t="inlineStr"/>
      <c r="J815" t="inlineStr">
        <is>
          <t>Not Started</t>
        </is>
      </c>
      <c r="K815" t="inlineStr"/>
      <c r="L815" t="inlineStr"/>
      <c r="M815" t="inlineStr"/>
      <c r="N815" t="inlineStr"/>
      <c r="O815" t="inlineStr"/>
      <c r="P815" t="inlineStr"/>
      <c r="Q815" t="inlineStr"/>
      <c r="R815" t="inlineStr"/>
      <c r="S815" t="inlineStr"/>
    </row>
    <row r="816">
      <c r="A816" t="inlineStr">
        <is>
          <t>REQ-00880</t>
        </is>
      </c>
      <c r="B816" s="13" t="inlineStr">
        <is>
          <t>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t>
        </is>
      </c>
      <c r="C816" t="inlineStr">
        <is>
          <t>C</t>
        </is>
      </c>
      <c r="D816" t="inlineStr"/>
      <c r="E816" t="inlineStr"/>
      <c r="F816" t="inlineStr">
        <is>
          <t>Technical Requirement</t>
        </is>
      </c>
      <c r="G816" s="8" t="inlineStr">
        <is>
          <t>Mandatory</t>
        </is>
      </c>
      <c r="H816" s="5" t="inlineStr">
        <is>
          <t>High</t>
        </is>
      </c>
      <c r="I816" t="inlineStr"/>
      <c r="J816" t="inlineStr">
        <is>
          <t>Not Started</t>
        </is>
      </c>
      <c r="K816" t="inlineStr"/>
      <c r="L816" t="inlineStr"/>
      <c r="M816" t="inlineStr"/>
      <c r="N816" t="inlineStr"/>
      <c r="O816" t="inlineStr"/>
      <c r="P816" t="inlineStr"/>
      <c r="Q816" t="inlineStr"/>
      <c r="R816" t="inlineStr"/>
      <c r="S816" t="inlineStr"/>
    </row>
    <row r="817">
      <c r="A817" t="inlineStr">
        <is>
          <t>REQ-00881</t>
        </is>
      </c>
      <c r="B817" s="13" t="inlineStr">
        <is>
          <t>CUI 
 CUI 12  
• Inclusion of agreements on protection of proprietary data and restrictions on 
employees.</t>
        </is>
      </c>
      <c r="C817" t="inlineStr">
        <is>
          <t>C</t>
        </is>
      </c>
      <c r="D817" t="inlineStr"/>
      <c r="E817" t="inlineStr"/>
      <c r="F817" t="inlineStr">
        <is>
          <t>Technical Requirement</t>
        </is>
      </c>
      <c r="G817" s="9" t="inlineStr">
        <is>
          <t>Desirable</t>
        </is>
      </c>
      <c r="H817" s="6" t="inlineStr">
        <is>
          <t>Medium</t>
        </is>
      </c>
      <c r="I817" t="inlineStr"/>
      <c r="J817" t="inlineStr">
        <is>
          <t>Not Started</t>
        </is>
      </c>
      <c r="K817" t="inlineStr"/>
      <c r="L817" t="inlineStr"/>
      <c r="M817" t="inlineStr"/>
      <c r="N817" t="inlineStr"/>
      <c r="O817" t="inlineStr"/>
      <c r="P817" t="inlineStr"/>
      <c r="Q817" t="inlineStr"/>
      <c r="R817" t="inlineStr"/>
      <c r="S817" t="inlineStr"/>
    </row>
    <row r="818">
      <c r="A818" t="inlineStr">
        <is>
          <t>REQ-00882</t>
        </is>
      </c>
      <c r="B818" s="13" t="inlineStr">
        <is>
          <t>2.4.10 The Contractor shall provide a copy of the ACA(s) to the Contracting Officer(s) for 
review before execution of the document by the cooperating contractors.</t>
        </is>
      </c>
      <c r="C818" t="inlineStr">
        <is>
          <t>C</t>
        </is>
      </c>
      <c r="D818" t="inlineStr"/>
      <c r="E818" t="inlineStr"/>
      <c r="F818" t="inlineStr">
        <is>
          <t>Technical Requirement</t>
        </is>
      </c>
      <c r="G818" s="8" t="inlineStr">
        <is>
          <t>Mandatory</t>
        </is>
      </c>
      <c r="H818" s="5" t="inlineStr">
        <is>
          <t>High</t>
        </is>
      </c>
      <c r="I818" t="inlineStr"/>
      <c r="J818" t="inlineStr">
        <is>
          <t>Not Started</t>
        </is>
      </c>
      <c r="K818" t="inlineStr"/>
      <c r="L818" t="inlineStr"/>
      <c r="M818" t="inlineStr"/>
      <c r="N818" t="inlineStr"/>
      <c r="O818" t="inlineStr"/>
      <c r="P818" t="inlineStr"/>
      <c r="Q818" t="inlineStr"/>
      <c r="R818" t="inlineStr"/>
      <c r="S818" t="inlineStr"/>
    </row>
    <row r="819">
      <c r="A819" t="inlineStr">
        <is>
          <t>REQ-00883</t>
        </is>
      </c>
      <c r="B819" s="13" t="inlineStr">
        <is>
          <t>2.4.11 The Contractor shall not be relieved of contract requirements or entitled to adjustments to 
the contract terms because of a failure to resolve a disagreement with an associate 
contractor.</t>
        </is>
      </c>
      <c r="C819" t="inlineStr">
        <is>
          <t>C</t>
        </is>
      </c>
      <c r="D819" t="inlineStr"/>
      <c r="E819" t="inlineStr"/>
      <c r="F819" t="inlineStr">
        <is>
          <t>Technical Requirement</t>
        </is>
      </c>
      <c r="G819" s="8" t="inlineStr">
        <is>
          <t>Mandatory</t>
        </is>
      </c>
      <c r="H819" s="5" t="inlineStr">
        <is>
          <t>High</t>
        </is>
      </c>
      <c r="I819" t="inlineStr"/>
      <c r="J819" t="inlineStr">
        <is>
          <t>Not Started</t>
        </is>
      </c>
      <c r="K819" t="inlineStr"/>
      <c r="L819" t="inlineStr"/>
      <c r="M819" t="inlineStr"/>
      <c r="N819" t="inlineStr"/>
      <c r="O819" t="inlineStr"/>
      <c r="P819" t="inlineStr"/>
      <c r="Q819" t="inlineStr"/>
      <c r="R819" t="inlineStr"/>
      <c r="S819" t="inlineStr"/>
    </row>
    <row r="820">
      <c r="A820" t="inlineStr">
        <is>
          <t>REQ-00884</t>
        </is>
      </c>
      <c r="B820" s="13" t="inlineStr">
        <is>
          <t>2.4.12 Liability for the improper disclosure of proprietary data contained in or referenced by 
agreements shall rest with the parties to the agreement and not the Government.  If 
improper disclosure of proprietary data occurs, the Government shall be notified 
immediately.</t>
        </is>
      </c>
      <c r="C820" t="inlineStr">
        <is>
          <t>C</t>
        </is>
      </c>
      <c r="D820" t="inlineStr"/>
      <c r="E820" t="inlineStr"/>
      <c r="F820" t="inlineStr">
        <is>
          <t>Technical Requirement</t>
        </is>
      </c>
      <c r="G820" s="8" t="inlineStr">
        <is>
          <t>Mandatory</t>
        </is>
      </c>
      <c r="H820" s="5" t="inlineStr">
        <is>
          <t>High</t>
        </is>
      </c>
      <c r="I820" t="inlineStr"/>
      <c r="J820" t="inlineStr">
        <is>
          <t>Not Started</t>
        </is>
      </c>
      <c r="K820" t="inlineStr"/>
      <c r="L820" t="inlineStr"/>
      <c r="M820" t="inlineStr"/>
      <c r="N820" t="inlineStr"/>
      <c r="O820" t="inlineStr"/>
      <c r="P820" t="inlineStr"/>
      <c r="Q820" t="inlineStr"/>
      <c r="R820" t="inlineStr"/>
      <c r="S820" t="inlineStr"/>
    </row>
    <row r="821">
      <c r="A821" t="inlineStr">
        <is>
          <t>REQ-00885</t>
        </is>
      </c>
      <c r="B821" s="13" t="inlineStr">
        <is>
          <t>2.4.13 All costs associated with the agreements are included in the negotiated cost of this 
contract. Agreements may be amended by the Government during the performance of 
this contract.</t>
        </is>
      </c>
      <c r="C821" t="inlineStr">
        <is>
          <t>C</t>
        </is>
      </c>
      <c r="D821" t="inlineStr"/>
      <c r="E821" t="inlineStr"/>
      <c r="F821" t="inlineStr">
        <is>
          <t>Technical Requirement</t>
        </is>
      </c>
      <c r="G821" s="9" t="inlineStr">
        <is>
          <t>Desirable</t>
        </is>
      </c>
      <c r="H821" s="7" t="inlineStr">
        <is>
          <t>Low</t>
        </is>
      </c>
      <c r="I821" t="inlineStr"/>
      <c r="J821" t="inlineStr">
        <is>
          <t>Not Started</t>
        </is>
      </c>
      <c r="K821" t="inlineStr"/>
      <c r="L821" t="inlineStr"/>
      <c r="M821" t="inlineStr"/>
      <c r="N821" t="inlineStr"/>
      <c r="O821" t="inlineStr"/>
      <c r="P821" t="inlineStr"/>
      <c r="Q821" t="inlineStr"/>
      <c r="R821" t="inlineStr"/>
      <c r="S821" t="inlineStr"/>
    </row>
    <row r="822">
      <c r="A822" t="inlineStr">
        <is>
          <t>REQ-00886</t>
        </is>
      </c>
      <c r="B822" s="13" t="inlineStr">
        <is>
          <t>2.4.14 The contractor shall cooperate with Federally Funded Research and Development Center 
(FFRDC) contracts, as identified within the Space C2 contractors list. 
3 Personnel &amp; Staffing</t>
        </is>
      </c>
      <c r="C822" t="inlineStr">
        <is>
          <t>C</t>
        </is>
      </c>
      <c r="D822" t="inlineStr"/>
      <c r="E822" t="inlineStr"/>
      <c r="F822" t="inlineStr">
        <is>
          <t>Technical Requirement</t>
        </is>
      </c>
      <c r="G822" s="8" t="inlineStr">
        <is>
          <t>Mandatory</t>
        </is>
      </c>
      <c r="H822" s="5" t="inlineStr">
        <is>
          <t>High</t>
        </is>
      </c>
      <c r="I822" t="inlineStr"/>
      <c r="J822" t="inlineStr">
        <is>
          <t>Not Started</t>
        </is>
      </c>
      <c r="K822" t="inlineStr"/>
      <c r="L822" t="inlineStr"/>
      <c r="M822" t="inlineStr"/>
      <c r="N822" t="inlineStr"/>
      <c r="O822" t="inlineStr"/>
      <c r="P822" t="inlineStr"/>
      <c r="Q822" t="inlineStr"/>
      <c r="R822" t="inlineStr"/>
      <c r="S822" t="inlineStr"/>
    </row>
    <row r="823">
      <c r="A823" t="inlineStr">
        <is>
          <t>REQ-00887</t>
        </is>
      </c>
      <c r="B823" s="13" t="inlineStr">
        <is>
          <t>3.1.1 The Contractor direct support personnel shall be located on-site at VSFB.</t>
        </is>
      </c>
      <c r="C823" t="inlineStr">
        <is>
          <t>C</t>
        </is>
      </c>
      <c r="D823" t="inlineStr"/>
      <c r="E823" t="inlineStr"/>
      <c r="F823" t="inlineStr">
        <is>
          <t>Technical Requirement</t>
        </is>
      </c>
      <c r="G823" s="8" t="inlineStr">
        <is>
          <t>Mandatory</t>
        </is>
      </c>
      <c r="H823" s="5" t="inlineStr">
        <is>
          <t>High</t>
        </is>
      </c>
      <c r="I823" t="inlineStr"/>
      <c r="J823" t="inlineStr">
        <is>
          <t>Not Started</t>
        </is>
      </c>
      <c r="K823" t="inlineStr"/>
      <c r="L823" t="inlineStr"/>
      <c r="M823" t="inlineStr"/>
      <c r="N823" t="inlineStr"/>
      <c r="O823" t="inlineStr"/>
      <c r="P823" t="inlineStr"/>
      <c r="Q823" t="inlineStr"/>
      <c r="R823" t="inlineStr"/>
      <c r="S823" t="inlineStr"/>
    </row>
    <row r="824">
      <c r="A824" t="inlineStr">
        <is>
          <t>REQ-00888</t>
        </is>
      </c>
      <c r="B824" s="13" t="inlineStr">
        <is>
          <t>3.1.2 The Contractor shall provide coverage to provide on-site 24/7 support.</t>
        </is>
      </c>
      <c r="C824" t="inlineStr">
        <is>
          <t>C</t>
        </is>
      </c>
      <c r="D824" t="inlineStr"/>
      <c r="E824" t="inlineStr"/>
      <c r="F824" t="inlineStr">
        <is>
          <t>Technical Requirement</t>
        </is>
      </c>
      <c r="G824" s="8" t="inlineStr">
        <is>
          <t>Mandatory</t>
        </is>
      </c>
      <c r="H824" s="5" t="inlineStr">
        <is>
          <t>High</t>
        </is>
      </c>
      <c r="I824" t="inlineStr"/>
      <c r="J824" t="inlineStr">
        <is>
          <t>Not Started</t>
        </is>
      </c>
      <c r="K824" t="inlineStr"/>
      <c r="L824" t="inlineStr"/>
      <c r="M824" t="inlineStr"/>
      <c r="N824" t="inlineStr"/>
      <c r="O824" t="inlineStr"/>
      <c r="P824" t="inlineStr"/>
      <c r="Q824" t="inlineStr"/>
      <c r="R824" t="inlineStr"/>
      <c r="S824" t="inlineStr"/>
    </row>
    <row r="825">
      <c r="A825" t="inlineStr">
        <is>
          <t>REQ-00889</t>
        </is>
      </c>
      <c r="B825" s="13" t="inlineStr">
        <is>
          <t>3.1.3 The Contractor shall provide infrastructure support on a 5-days-a-week, 12-hours-a-day 
(5/12) basis, as well as limited weekend and late-night support during test events, with 
on-call support for non-duty hours and weekends. See Section 5.1 for further details.</t>
        </is>
      </c>
      <c r="C825" t="inlineStr">
        <is>
          <t>C</t>
        </is>
      </c>
      <c r="D825" t="inlineStr"/>
      <c r="E825" t="inlineStr"/>
      <c r="F825" t="inlineStr">
        <is>
          <t>Technical Requirement</t>
        </is>
      </c>
      <c r="G825" s="8" t="inlineStr">
        <is>
          <t>Mandatory</t>
        </is>
      </c>
      <c r="H825" s="5" t="inlineStr">
        <is>
          <t>High</t>
        </is>
      </c>
      <c r="I825" t="inlineStr"/>
      <c r="J825" t="inlineStr">
        <is>
          <t>Not Started</t>
        </is>
      </c>
      <c r="K825" t="inlineStr"/>
      <c r="L825" t="inlineStr"/>
      <c r="M825" t="inlineStr"/>
      <c r="N825" t="inlineStr"/>
      <c r="O825" t="inlineStr"/>
      <c r="P825" t="inlineStr"/>
      <c r="Q825" t="inlineStr"/>
      <c r="R825" t="inlineStr"/>
      <c r="S825" t="inlineStr"/>
    </row>
    <row r="826">
      <c r="A826" t="inlineStr">
        <is>
          <t>REQ-00890</t>
        </is>
      </c>
      <c r="B826" s="13" t="inlineStr">
        <is>
          <t>3.2.1 The Contractor shall establish and maintain an organizational team structure possessing 
the knowledge, skills, and experience capable of performing all requirements.</t>
        </is>
      </c>
      <c r="C826" t="inlineStr">
        <is>
          <t>C</t>
        </is>
      </c>
      <c r="D826" t="inlineStr"/>
      <c r="E826" t="inlineStr"/>
      <c r="F826" t="inlineStr">
        <is>
          <t>Technical Requirement</t>
        </is>
      </c>
      <c r="G826" s="8" t="inlineStr">
        <is>
          <t>Mandatory</t>
        </is>
      </c>
      <c r="H826" s="5" t="inlineStr">
        <is>
          <t>High</t>
        </is>
      </c>
      <c r="I826" t="inlineStr"/>
      <c r="J826" t="inlineStr">
        <is>
          <t>Not Started</t>
        </is>
      </c>
      <c r="K826" t="inlineStr"/>
      <c r="L826" t="inlineStr"/>
      <c r="M826" t="inlineStr"/>
      <c r="N826" t="inlineStr"/>
      <c r="O826" t="inlineStr"/>
      <c r="P826" t="inlineStr"/>
      <c r="Q826" t="inlineStr"/>
      <c r="R826" t="inlineStr"/>
      <c r="S826" t="inlineStr"/>
    </row>
    <row r="827">
      <c r="A827" t="inlineStr">
        <is>
          <t>REQ-00891</t>
        </is>
      </c>
      <c r="B827" s="13" t="inlineStr">
        <is>
          <t>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t>
        </is>
      </c>
      <c r="C827" t="inlineStr">
        <is>
          <t>C</t>
        </is>
      </c>
      <c r="D827" t="inlineStr"/>
      <c r="E827" t="inlineStr"/>
      <c r="F827" t="inlineStr">
        <is>
          <t>Technical Requirement</t>
        </is>
      </c>
      <c r="G827" s="8" t="inlineStr">
        <is>
          <t>Mandatory</t>
        </is>
      </c>
      <c r="H827" s="5" t="inlineStr">
        <is>
          <t>High</t>
        </is>
      </c>
      <c r="I827" t="inlineStr"/>
      <c r="J827" t="inlineStr">
        <is>
          <t>Not Started</t>
        </is>
      </c>
      <c r="K827" t="inlineStr"/>
      <c r="L827" t="inlineStr"/>
      <c r="M827" t="inlineStr"/>
      <c r="N827" t="inlineStr"/>
      <c r="O827" t="inlineStr"/>
      <c r="P827" t="inlineStr"/>
      <c r="Q827" t="inlineStr"/>
      <c r="R827" t="inlineStr"/>
      <c r="S827" t="inlineStr"/>
    </row>
    <row r="828">
      <c r="A828" t="inlineStr">
        <is>
          <t>REQ-00892</t>
        </is>
      </c>
      <c r="B828" s="13" t="inlineStr">
        <is>
          <t>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t>
        </is>
      </c>
      <c r="C828" t="inlineStr">
        <is>
          <t>C</t>
        </is>
      </c>
      <c r="D828" t="inlineStr"/>
      <c r="E828" t="inlineStr"/>
      <c r="F828" t="inlineStr">
        <is>
          <t>Technical Requirement</t>
        </is>
      </c>
      <c r="G828" s="8" t="inlineStr">
        <is>
          <t>Mandatory</t>
        </is>
      </c>
      <c r="H828" s="5" t="inlineStr">
        <is>
          <t>High</t>
        </is>
      </c>
      <c r="I828" t="inlineStr"/>
      <c r="J828" t="inlineStr">
        <is>
          <t>Not Started</t>
        </is>
      </c>
      <c r="K828" t="inlineStr"/>
      <c r="L828" t="inlineStr"/>
      <c r="M828" t="inlineStr"/>
      <c r="N828" t="inlineStr"/>
      <c r="O828" t="inlineStr"/>
      <c r="P828" t="inlineStr"/>
      <c r="Q828" t="inlineStr"/>
      <c r="R828" t="inlineStr"/>
      <c r="S828" t="inlineStr"/>
    </row>
    <row r="829">
      <c r="A829" t="inlineStr">
        <is>
          <t>REQ-00893</t>
        </is>
      </c>
      <c r="B829" s="13" t="inlineStr">
        <is>
          <t>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t>
        </is>
      </c>
      <c r="C829" t="inlineStr">
        <is>
          <t>C</t>
        </is>
      </c>
      <c r="D829" t="inlineStr"/>
      <c r="E829" t="inlineStr"/>
      <c r="F829" t="inlineStr">
        <is>
          <t>Technical Requirement</t>
        </is>
      </c>
      <c r="G829" s="8" t="inlineStr">
        <is>
          <t>Mandatory</t>
        </is>
      </c>
      <c r="H829" s="5" t="inlineStr">
        <is>
          <t>High</t>
        </is>
      </c>
      <c r="I829" t="inlineStr"/>
      <c r="J829" t="inlineStr">
        <is>
          <t>Not Started</t>
        </is>
      </c>
      <c r="K829" t="inlineStr"/>
      <c r="L829" t="inlineStr"/>
      <c r="M829" t="inlineStr"/>
      <c r="N829" t="inlineStr"/>
      <c r="O829" t="inlineStr"/>
      <c r="P829" t="inlineStr"/>
      <c r="Q829" t="inlineStr"/>
      <c r="R829" t="inlineStr"/>
      <c r="S829" t="inlineStr"/>
    </row>
    <row r="830">
      <c r="A830" t="inlineStr">
        <is>
          <t>REQ-00894</t>
        </is>
      </c>
      <c r="B830" s="13" t="inlineStr">
        <is>
          <t>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t>
        </is>
      </c>
      <c r="C830" t="inlineStr">
        <is>
          <t>C</t>
        </is>
      </c>
      <c r="D830" t="inlineStr"/>
      <c r="E830" t="inlineStr"/>
      <c r="F830" t="inlineStr">
        <is>
          <t>Technical Requirement</t>
        </is>
      </c>
      <c r="G830" s="8" t="inlineStr">
        <is>
          <t>Mandatory</t>
        </is>
      </c>
      <c r="H830" s="5" t="inlineStr">
        <is>
          <t>High</t>
        </is>
      </c>
      <c r="I830" t="inlineStr"/>
      <c r="J830" t="inlineStr">
        <is>
          <t>Not Started</t>
        </is>
      </c>
      <c r="K830" t="inlineStr"/>
      <c r="L830" t="inlineStr"/>
      <c r="M830" t="inlineStr"/>
      <c r="N830" t="inlineStr"/>
      <c r="O830" t="inlineStr"/>
      <c r="P830" t="inlineStr"/>
      <c r="Q830" t="inlineStr"/>
      <c r="R830" t="inlineStr"/>
      <c r="S830" t="inlineStr"/>
    </row>
    <row r="831">
      <c r="A831" t="inlineStr">
        <is>
          <t>REQ-00895</t>
        </is>
      </c>
      <c r="B831" s="13" t="inlineStr">
        <is>
          <t>3.2.6 The Contracting Officer and COR will evaluate Key Personnel substitution requests and 
promptly notify the Contractor, in writing, of whether the request is approved or 
disapproved. All disapprovals will require resubmission of another substitution within 
fifteen (15) calendar days.</t>
        </is>
      </c>
      <c r="C831" t="inlineStr">
        <is>
          <t>C</t>
        </is>
      </c>
      <c r="D831" t="inlineStr"/>
      <c r="E831" t="inlineStr"/>
      <c r="F831" t="inlineStr">
        <is>
          <t>Technical Requirement</t>
        </is>
      </c>
      <c r="G831" s="9" t="inlineStr">
        <is>
          <t>Desirable</t>
        </is>
      </c>
      <c r="H831" s="6" t="inlineStr">
        <is>
          <t>Medium</t>
        </is>
      </c>
      <c r="I831" t="inlineStr"/>
      <c r="J831" t="inlineStr">
        <is>
          <t>Not Started</t>
        </is>
      </c>
      <c r="K831" t="inlineStr"/>
      <c r="L831" t="inlineStr"/>
      <c r="M831" t="inlineStr"/>
      <c r="N831" t="inlineStr"/>
      <c r="O831" t="inlineStr"/>
      <c r="P831" t="inlineStr"/>
      <c r="Q831" t="inlineStr"/>
      <c r="R831" t="inlineStr"/>
      <c r="S831" t="inlineStr"/>
    </row>
    <row r="832">
      <c r="A832" t="inlineStr">
        <is>
          <t>REQ-00896</t>
        </is>
      </c>
      <c r="B832" s="13" t="inlineStr">
        <is>
          <t>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t>
        </is>
      </c>
      <c r="C832" t="inlineStr">
        <is>
          <t>C</t>
        </is>
      </c>
      <c r="D832" t="inlineStr"/>
      <c r="E832" t="inlineStr"/>
      <c r="F832" t="inlineStr">
        <is>
          <t>Technical Requirement</t>
        </is>
      </c>
      <c r="G832" s="8" t="inlineStr">
        <is>
          <t>Mandatory</t>
        </is>
      </c>
      <c r="H832" s="5" t="inlineStr">
        <is>
          <t>High</t>
        </is>
      </c>
      <c r="I832" t="inlineStr"/>
      <c r="J832" t="inlineStr">
        <is>
          <t>Not Started</t>
        </is>
      </c>
      <c r="K832" t="inlineStr"/>
      <c r="L832" t="inlineStr"/>
      <c r="M832" t="inlineStr"/>
      <c r="N832" t="inlineStr"/>
      <c r="O832" t="inlineStr"/>
      <c r="P832" t="inlineStr"/>
      <c r="Q832" t="inlineStr"/>
      <c r="R832" t="inlineStr"/>
      <c r="S832" t="inlineStr"/>
    </row>
    <row r="833">
      <c r="A833" t="inlineStr">
        <is>
          <t>REQ-00897</t>
        </is>
      </c>
      <c r="B833" s="13" t="inlineStr">
        <is>
          <t>3.2.8 The labor categories and personnel listed below are identified as key personnel for this 
contract:</t>
        </is>
      </c>
      <c r="C833" t="inlineStr">
        <is>
          <t>C</t>
        </is>
      </c>
      <c r="D833" t="inlineStr"/>
      <c r="E833" t="inlineStr"/>
      <c r="F833" t="inlineStr">
        <is>
          <t>Technical Requirement</t>
        </is>
      </c>
      <c r="G833" s="9" t="inlineStr">
        <is>
          <t>Desirable</t>
        </is>
      </c>
      <c r="H833" s="6" t="inlineStr">
        <is>
          <t>Medium</t>
        </is>
      </c>
      <c r="I833" t="inlineStr"/>
      <c r="J833" t="inlineStr">
        <is>
          <t>Not Started</t>
        </is>
      </c>
      <c r="K833" t="inlineStr"/>
      <c r="L833" t="inlineStr"/>
      <c r="M833" t="inlineStr"/>
      <c r="N833" t="inlineStr"/>
      <c r="O833" t="inlineStr"/>
      <c r="P833" t="inlineStr"/>
      <c r="Q833" t="inlineStr"/>
      <c r="R833" t="inlineStr"/>
      <c r="S833" t="inlineStr"/>
    </row>
    <row r="834">
      <c r="A834" t="inlineStr">
        <is>
          <t>REQ-00898</t>
        </is>
      </c>
      <c r="B834" s="13" t="inlineStr">
        <is>
          <t>3.2.8.1 List to be filled in by Contract Awardee: &lt;Key Personnel Duty Title&gt; (&lt;labor 
category&gt;) – Responsible for &lt;insert responsibilities here&gt;.</t>
        </is>
      </c>
      <c r="C834" t="inlineStr">
        <is>
          <t>C</t>
        </is>
      </c>
      <c r="D834" t="inlineStr"/>
      <c r="E834" t="inlineStr"/>
      <c r="F834" t="inlineStr">
        <is>
          <t>Technical Requirement</t>
        </is>
      </c>
      <c r="G834" s="9" t="inlineStr">
        <is>
          <t>Desirable</t>
        </is>
      </c>
      <c r="H834" s="6" t="inlineStr">
        <is>
          <t>Medium</t>
        </is>
      </c>
      <c r="I834" t="inlineStr"/>
      <c r="J834" t="inlineStr">
        <is>
          <t>Not Started</t>
        </is>
      </c>
      <c r="K834" t="inlineStr"/>
      <c r="L834" t="inlineStr"/>
      <c r="M834" t="inlineStr"/>
      <c r="N834" t="inlineStr"/>
      <c r="O834" t="inlineStr"/>
      <c r="P834" t="inlineStr"/>
      <c r="Q834" t="inlineStr"/>
      <c r="R834" t="inlineStr"/>
      <c r="S834" t="inlineStr"/>
    </row>
    <row r="835">
      <c r="A835" t="inlineStr">
        <is>
          <t>REQ-00899</t>
        </is>
      </c>
      <c r="B835" s="13" t="inlineStr">
        <is>
          <t>3.3 Personnel Clearances, Network, and Facility Access</t>
        </is>
      </c>
      <c r="C835" t="inlineStr">
        <is>
          <t>C</t>
        </is>
      </c>
      <c r="D835" t="inlineStr"/>
      <c r="E835" t="inlineStr"/>
      <c r="F835" t="inlineStr">
        <is>
          <t>Technical Requirement</t>
        </is>
      </c>
      <c r="G835" s="9" t="inlineStr">
        <is>
          <t>Desirable</t>
        </is>
      </c>
      <c r="H835" s="6" t="inlineStr">
        <is>
          <t>Medium</t>
        </is>
      </c>
      <c r="I835" t="inlineStr"/>
      <c r="J835" t="inlineStr">
        <is>
          <t>Not Started</t>
        </is>
      </c>
      <c r="K835" t="inlineStr"/>
      <c r="L835" t="inlineStr"/>
      <c r="M835" t="inlineStr"/>
      <c r="N835" t="inlineStr"/>
      <c r="O835" t="inlineStr"/>
      <c r="P835" t="inlineStr"/>
      <c r="Q835" t="inlineStr"/>
      <c r="R835" t="inlineStr"/>
      <c r="S835" t="inlineStr"/>
    </row>
    <row r="836">
      <c r="A836" t="inlineStr">
        <is>
          <t>REQ-00900</t>
        </is>
      </c>
      <c r="B836" s="13" t="inlineStr">
        <is>
          <t>3.3.1 All Contractor direct support personnel shall be TS/SCI eligible.</t>
        </is>
      </c>
      <c r="C836" t="inlineStr">
        <is>
          <t>C</t>
        </is>
      </c>
      <c r="D836" t="inlineStr"/>
      <c r="E836" t="inlineStr"/>
      <c r="F836" t="inlineStr">
        <is>
          <t>Technical Requirement</t>
        </is>
      </c>
      <c r="G836" s="8" t="inlineStr">
        <is>
          <t>Mandatory</t>
        </is>
      </c>
      <c r="H836" s="5" t="inlineStr">
        <is>
          <t>High</t>
        </is>
      </c>
      <c r="I836" t="inlineStr"/>
      <c r="J836" t="inlineStr">
        <is>
          <t>Not Started</t>
        </is>
      </c>
      <c r="K836" t="inlineStr"/>
      <c r="L836" t="inlineStr"/>
      <c r="M836" t="inlineStr"/>
      <c r="N836" t="inlineStr"/>
      <c r="O836" t="inlineStr"/>
      <c r="P836" t="inlineStr"/>
      <c r="Q836" t="inlineStr"/>
      <c r="R836" t="inlineStr"/>
      <c r="S836" t="inlineStr"/>
    </row>
    <row r="837">
      <c r="A837" t="inlineStr">
        <is>
          <t>REQ-00901</t>
        </is>
      </c>
      <c r="B837" s="13" t="inlineStr">
        <is>
          <t>3.3.2 All Contractor direct support personnel shall be US citizens and shall obtain and 
maintain a Common Access Card (CAC) (see DoD Manual (DoDM-1000.13-M-V1) for 
CAC issuance criteria).</t>
        </is>
      </c>
      <c r="C837" t="inlineStr">
        <is>
          <t>C</t>
        </is>
      </c>
      <c r="D837" t="inlineStr"/>
      <c r="E837" t="inlineStr"/>
      <c r="F837" t="inlineStr">
        <is>
          <t>Technical Requirement</t>
        </is>
      </c>
      <c r="G837" s="8" t="inlineStr">
        <is>
          <t>Mandatory</t>
        </is>
      </c>
      <c r="H837" s="5" t="inlineStr">
        <is>
          <t>High</t>
        </is>
      </c>
      <c r="I837" t="inlineStr"/>
      <c r="J837" t="inlineStr">
        <is>
          <t>Not Started</t>
        </is>
      </c>
      <c r="K837" t="inlineStr"/>
      <c r="L837" t="inlineStr"/>
      <c r="M837" t="inlineStr"/>
      <c r="N837" t="inlineStr"/>
      <c r="O837" t="inlineStr"/>
      <c r="P837" t="inlineStr"/>
      <c r="Q837" t="inlineStr"/>
      <c r="R837" t="inlineStr"/>
      <c r="S837" t="inlineStr"/>
    </row>
    <row r="838">
      <c r="A838" t="inlineStr">
        <is>
          <t>REQ-00902</t>
        </is>
      </c>
      <c r="B838" s="13" t="inlineStr">
        <is>
          <t>3.3.3 All Contractor direct support personnel shall obtain and maintain Secret Internet Protocol 
Router Network (SIPRNet) access.</t>
        </is>
      </c>
      <c r="C838" t="inlineStr">
        <is>
          <t>C</t>
        </is>
      </c>
      <c r="D838" t="inlineStr"/>
      <c r="E838" t="inlineStr"/>
      <c r="F838" t="inlineStr">
        <is>
          <t>Technical Requirement</t>
        </is>
      </c>
      <c r="G838" s="8" t="inlineStr">
        <is>
          <t>Mandatory</t>
        </is>
      </c>
      <c r="H838" s="5" t="inlineStr">
        <is>
          <t>High</t>
        </is>
      </c>
      <c r="I838" t="inlineStr"/>
      <c r="J838" t="inlineStr">
        <is>
          <t>Not Started</t>
        </is>
      </c>
      <c r="K838" t="inlineStr"/>
      <c r="L838" t="inlineStr"/>
      <c r="M838" t="inlineStr"/>
      <c r="N838" t="inlineStr"/>
      <c r="O838" t="inlineStr"/>
      <c r="P838" t="inlineStr"/>
      <c r="Q838" t="inlineStr"/>
      <c r="R838" t="inlineStr"/>
      <c r="S838" t="inlineStr"/>
    </row>
    <row r="839">
      <c r="A839" t="inlineStr">
        <is>
          <t>REQ-00903</t>
        </is>
      </c>
      <c r="B839" s="13" t="inlineStr">
        <is>
          <t>3.3.4 A minimum of 25% of contractor direct support personnel shall obtain and maintain Joint 
Worldwide Intelligence Communications System (JWICS) access. 
DRAFT</t>
        </is>
      </c>
      <c r="C839" t="inlineStr">
        <is>
          <t>C</t>
        </is>
      </c>
      <c r="D839" t="inlineStr"/>
      <c r="E839" t="inlineStr"/>
      <c r="F839" t="inlineStr">
        <is>
          <t>Technical Requirement</t>
        </is>
      </c>
      <c r="G839" s="8" t="inlineStr">
        <is>
          <t>Mandatory</t>
        </is>
      </c>
      <c r="H839" s="5" t="inlineStr">
        <is>
          <t>High</t>
        </is>
      </c>
      <c r="I839" t="inlineStr"/>
      <c r="J839" t="inlineStr">
        <is>
          <t>Not Started</t>
        </is>
      </c>
      <c r="K839" t="inlineStr"/>
      <c r="L839" t="inlineStr"/>
      <c r="M839" t="inlineStr"/>
      <c r="N839" t="inlineStr"/>
      <c r="O839" t="inlineStr"/>
      <c r="P839" t="inlineStr"/>
      <c r="Q839" t="inlineStr"/>
      <c r="R839" t="inlineStr"/>
      <c r="S839" t="inlineStr"/>
    </row>
    <row r="840">
      <c r="A840" t="inlineStr">
        <is>
          <t>REQ-00904</t>
        </is>
      </c>
      <c r="B840" s="13" t="inlineStr">
        <is>
          <t>3.3.5 The Government Contracting Officer’s Representative will determine who is nominated 
for SCI access based upon recommendations from the Contractor’s Program Manager</t>
        </is>
      </c>
      <c r="C840" t="inlineStr">
        <is>
          <t>C</t>
        </is>
      </c>
      <c r="D840" t="inlineStr"/>
      <c r="E840" t="inlineStr"/>
      <c r="F840" t="inlineStr">
        <is>
          <t>Technical Requirement</t>
        </is>
      </c>
      <c r="G840" s="9" t="inlineStr">
        <is>
          <t>Desirable</t>
        </is>
      </c>
      <c r="H840" s="6" t="inlineStr">
        <is>
          <t>Medium</t>
        </is>
      </c>
      <c r="I840" t="inlineStr"/>
      <c r="J840" t="inlineStr">
        <is>
          <t>Not Started</t>
        </is>
      </c>
      <c r="K840" t="inlineStr"/>
      <c r="L840" t="inlineStr"/>
      <c r="M840" t="inlineStr"/>
      <c r="N840" t="inlineStr"/>
      <c r="O840" t="inlineStr"/>
      <c r="P840" t="inlineStr"/>
      <c r="Q840" t="inlineStr"/>
      <c r="R840" t="inlineStr"/>
      <c r="S840" t="inlineStr"/>
    </row>
    <row r="841">
      <c r="A841" t="inlineStr">
        <is>
          <t>REQ-00905</t>
        </is>
      </c>
      <c r="B841" s="13" t="inlineStr">
        <is>
          <t>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t>
        </is>
      </c>
      <c r="C841" t="inlineStr">
        <is>
          <t>C</t>
        </is>
      </c>
      <c r="D841" t="inlineStr"/>
      <c r="E841" t="inlineStr"/>
      <c r="F841" t="inlineStr">
        <is>
          <t>Technical Requirement</t>
        </is>
      </c>
      <c r="G841" s="8" t="inlineStr">
        <is>
          <t>Mandatory</t>
        </is>
      </c>
      <c r="H841" s="6" t="inlineStr">
        <is>
          <t>Medium</t>
        </is>
      </c>
      <c r="I841" t="inlineStr"/>
      <c r="J841" t="inlineStr">
        <is>
          <t>Not Started</t>
        </is>
      </c>
      <c r="K841" t="inlineStr"/>
      <c r="L841" t="inlineStr"/>
      <c r="M841" t="inlineStr"/>
      <c r="N841" t="inlineStr"/>
      <c r="O841" t="inlineStr"/>
      <c r="P841" t="inlineStr"/>
      <c r="Q841" t="inlineStr"/>
      <c r="R841" t="inlineStr"/>
      <c r="S841" t="inlineStr"/>
    </row>
    <row r="842">
      <c r="A842" t="inlineStr">
        <is>
          <t>REQ-00906</t>
        </is>
      </c>
      <c r="B842" s="13" t="inlineStr">
        <is>
          <t>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t>
        </is>
      </c>
      <c r="C842" t="inlineStr">
        <is>
          <t>C</t>
        </is>
      </c>
      <c r="D842" t="inlineStr"/>
      <c r="E842" t="inlineStr"/>
      <c r="F842" t="inlineStr">
        <is>
          <t>Technical Requirement</t>
        </is>
      </c>
      <c r="G842" s="8" t="inlineStr">
        <is>
          <t>Mandatory</t>
        </is>
      </c>
      <c r="H842" s="5" t="inlineStr">
        <is>
          <t>High</t>
        </is>
      </c>
      <c r="I842" t="inlineStr"/>
      <c r="J842" t="inlineStr">
        <is>
          <t>Not Started</t>
        </is>
      </c>
      <c r="K842" t="inlineStr"/>
      <c r="L842" t="inlineStr"/>
      <c r="M842" t="inlineStr"/>
      <c r="N842" t="inlineStr"/>
      <c r="O842" t="inlineStr"/>
      <c r="P842" t="inlineStr"/>
      <c r="Q842" t="inlineStr"/>
      <c r="R842" t="inlineStr"/>
      <c r="S842" t="inlineStr"/>
    </row>
    <row r="843">
      <c r="A843" t="inlineStr">
        <is>
          <t>REQ-00907</t>
        </is>
      </c>
      <c r="B843" s="13" t="inlineStr">
        <is>
          <t>4.1.1 The Contractor shall establish and maintain a 24/7 NOC at VSFB.</t>
        </is>
      </c>
      <c r="C843" t="inlineStr">
        <is>
          <t>C</t>
        </is>
      </c>
      <c r="D843" t="inlineStr"/>
      <c r="E843" t="inlineStr"/>
      <c r="F843" t="inlineStr">
        <is>
          <t>Technical Requirement</t>
        </is>
      </c>
      <c r="G843" s="8" t="inlineStr">
        <is>
          <t>Mandatory</t>
        </is>
      </c>
      <c r="H843" s="5" t="inlineStr">
        <is>
          <t>High</t>
        </is>
      </c>
      <c r="I843" t="inlineStr"/>
      <c r="J843" t="inlineStr">
        <is>
          <t>Not Started</t>
        </is>
      </c>
      <c r="K843" t="inlineStr"/>
      <c r="L843" t="inlineStr"/>
      <c r="M843" t="inlineStr"/>
      <c r="N843" t="inlineStr"/>
      <c r="O843" t="inlineStr"/>
      <c r="P843" t="inlineStr"/>
      <c r="Q843" t="inlineStr"/>
      <c r="R843" t="inlineStr"/>
      <c r="S843" t="inlineStr"/>
    </row>
    <row r="844">
      <c r="A844" t="inlineStr">
        <is>
          <t>REQ-00908</t>
        </is>
      </c>
      <c r="B844" s="13" t="inlineStr">
        <is>
          <t>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t>
        </is>
      </c>
      <c r="C844" t="inlineStr">
        <is>
          <t>C</t>
        </is>
      </c>
      <c r="D844" t="inlineStr"/>
      <c r="E844" t="inlineStr"/>
      <c r="F844" t="inlineStr">
        <is>
          <t>Technical Requirement</t>
        </is>
      </c>
      <c r="G844" s="8" t="inlineStr">
        <is>
          <t>Mandatory</t>
        </is>
      </c>
      <c r="H844" s="5" t="inlineStr">
        <is>
          <t>High</t>
        </is>
      </c>
      <c r="I844" t="inlineStr"/>
      <c r="J844" t="inlineStr">
        <is>
          <t>Not Started</t>
        </is>
      </c>
      <c r="K844" t="inlineStr"/>
      <c r="L844" t="inlineStr"/>
      <c r="M844" t="inlineStr"/>
      <c r="N844" t="inlineStr"/>
      <c r="O844" t="inlineStr"/>
      <c r="P844" t="inlineStr"/>
      <c r="Q844" t="inlineStr"/>
      <c r="R844" t="inlineStr"/>
      <c r="S844" t="inlineStr"/>
    </row>
    <row r="845">
      <c r="A845" t="inlineStr">
        <is>
          <t>REQ-00909</t>
        </is>
      </c>
      <c r="B845" s="13" t="inlineStr">
        <is>
          <t>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t>
        </is>
      </c>
      <c r="C845" t="inlineStr">
        <is>
          <t>C</t>
        </is>
      </c>
      <c r="D845" t="inlineStr"/>
      <c r="E845" t="inlineStr"/>
      <c r="F845" t="inlineStr">
        <is>
          <t>Technical Requirement</t>
        </is>
      </c>
      <c r="G845" s="8" t="inlineStr">
        <is>
          <t>Mandatory</t>
        </is>
      </c>
      <c r="H845" s="5" t="inlineStr">
        <is>
          <t>High</t>
        </is>
      </c>
      <c r="I845" t="inlineStr"/>
      <c r="J845" t="inlineStr">
        <is>
          <t>Not Started</t>
        </is>
      </c>
      <c r="K845" t="inlineStr"/>
      <c r="L845" t="inlineStr"/>
      <c r="M845" t="inlineStr"/>
      <c r="N845" t="inlineStr"/>
      <c r="O845" t="inlineStr"/>
      <c r="P845" t="inlineStr"/>
      <c r="Q845" t="inlineStr"/>
      <c r="R845" t="inlineStr"/>
      <c r="S845" t="inlineStr"/>
    </row>
    <row r="846">
      <c r="A846" t="inlineStr">
        <is>
          <t>REQ-00910</t>
        </is>
      </c>
      <c r="B846" s="13" t="inlineStr">
        <is>
          <t>4.1.4 The Contractor shall develop a consolidated training plan for 24/7 NOC team member 
certification.</t>
        </is>
      </c>
      <c r="C846" t="inlineStr">
        <is>
          <t>C</t>
        </is>
      </c>
      <c r="D846" t="inlineStr"/>
      <c r="E846" t="inlineStr"/>
      <c r="F846" t="inlineStr">
        <is>
          <t>Technical Requirement</t>
        </is>
      </c>
      <c r="G846" s="8" t="inlineStr">
        <is>
          <t>Mandatory</t>
        </is>
      </c>
      <c r="H846" s="5" t="inlineStr">
        <is>
          <t>High</t>
        </is>
      </c>
      <c r="I846" t="inlineStr"/>
      <c r="J846" t="inlineStr">
        <is>
          <t>Not Started</t>
        </is>
      </c>
      <c r="K846" t="inlineStr"/>
      <c r="L846" t="inlineStr"/>
      <c r="M846" t="inlineStr"/>
      <c r="N846" t="inlineStr"/>
      <c r="O846" t="inlineStr"/>
      <c r="P846" t="inlineStr"/>
      <c r="Q846" t="inlineStr"/>
      <c r="R846" t="inlineStr"/>
      <c r="S846" t="inlineStr"/>
    </row>
    <row r="847">
      <c r="A847" t="inlineStr">
        <is>
          <t>REQ-00911</t>
        </is>
      </c>
      <c r="B847" s="13" t="inlineStr">
        <is>
          <t>4.1.5 The Contractor shall develop and implement 24/7 NOC crew facility layout in 
coordination with 18 SDS, Space C2 platform teams, and other Contractor-identified 
units. Note: The SPO anticipates the 24/7 support team will sit on the TS/SCI operational 
floor in VSFB Building 8401.</t>
        </is>
      </c>
      <c r="C847" t="inlineStr">
        <is>
          <t>C</t>
        </is>
      </c>
      <c r="D847" t="inlineStr"/>
      <c r="E847" t="inlineStr"/>
      <c r="F847" t="inlineStr">
        <is>
          <t>Technical Requirement</t>
        </is>
      </c>
      <c r="G847" s="8" t="inlineStr">
        <is>
          <t>Mandatory</t>
        </is>
      </c>
      <c r="H847" s="5" t="inlineStr">
        <is>
          <t>High</t>
        </is>
      </c>
      <c r="I847" t="inlineStr"/>
      <c r="J847" t="inlineStr">
        <is>
          <t>Not Started</t>
        </is>
      </c>
      <c r="K847" t="inlineStr"/>
      <c r="L847" t="inlineStr"/>
      <c r="M847" t="inlineStr"/>
      <c r="N847" t="inlineStr"/>
      <c r="O847" t="inlineStr"/>
      <c r="P847" t="inlineStr"/>
      <c r="Q847" t="inlineStr"/>
      <c r="R847" t="inlineStr"/>
      <c r="S847" t="inlineStr"/>
    </row>
    <row r="848">
      <c r="A848" t="inlineStr">
        <is>
          <t>REQ-00912</t>
        </is>
      </c>
      <c r="B848" s="13" t="inlineStr">
        <is>
          <t>4.1.5.1 A minimum of 50% of crew strength must be maintained as bench strength in the 
event of incapacitation.</t>
        </is>
      </c>
      <c r="C848" t="inlineStr">
        <is>
          <t>C</t>
        </is>
      </c>
      <c r="D848" t="inlineStr"/>
      <c r="E848" t="inlineStr"/>
      <c r="F848" t="inlineStr">
        <is>
          <t>Technical Requirement</t>
        </is>
      </c>
      <c r="G848" s="8" t="inlineStr">
        <is>
          <t>Mandatory</t>
        </is>
      </c>
      <c r="H848" s="5" t="inlineStr">
        <is>
          <t>High</t>
        </is>
      </c>
      <c r="I848" t="inlineStr"/>
      <c r="J848" t="inlineStr">
        <is>
          <t>Not Started</t>
        </is>
      </c>
      <c r="K848" t="inlineStr"/>
      <c r="L848" t="inlineStr"/>
      <c r="M848" t="inlineStr"/>
      <c r="N848" t="inlineStr"/>
      <c r="O848" t="inlineStr"/>
      <c r="P848" t="inlineStr"/>
      <c r="Q848" t="inlineStr"/>
      <c r="R848" t="inlineStr"/>
      <c r="S848" t="inlineStr"/>
    </row>
    <row r="849">
      <c r="A849" t="inlineStr">
        <is>
          <t>REQ-00913</t>
        </is>
      </c>
      <c r="B849" s="13" t="inlineStr">
        <is>
          <t>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t>
        </is>
      </c>
      <c r="C849" t="inlineStr">
        <is>
          <t>C</t>
        </is>
      </c>
      <c r="D849" t="inlineStr"/>
      <c r="E849" t="inlineStr"/>
      <c r="F849" t="inlineStr">
        <is>
          <t>Technical Requirement</t>
        </is>
      </c>
      <c r="G849" s="8" t="inlineStr">
        <is>
          <t>Mandatory</t>
        </is>
      </c>
      <c r="H849" s="5" t="inlineStr">
        <is>
          <t>High</t>
        </is>
      </c>
      <c r="I849" t="inlineStr"/>
      <c r="J849" t="inlineStr">
        <is>
          <t>Not Started</t>
        </is>
      </c>
      <c r="K849" t="inlineStr"/>
      <c r="L849" t="inlineStr"/>
      <c r="M849" t="inlineStr"/>
      <c r="N849" t="inlineStr"/>
      <c r="O849" t="inlineStr"/>
      <c r="P849" t="inlineStr"/>
      <c r="Q849" t="inlineStr"/>
      <c r="R849" t="inlineStr"/>
      <c r="S849" t="inlineStr"/>
    </row>
    <row r="850">
      <c r="A850" t="inlineStr">
        <is>
          <t>REQ-00914</t>
        </is>
      </c>
      <c r="B850" s="13" t="inlineStr">
        <is>
          <t>4.2.2 The Contractor shall provide system health utilizing dashboards and call tree procedures.</t>
        </is>
      </c>
      <c r="C850" t="inlineStr">
        <is>
          <t>C</t>
        </is>
      </c>
      <c r="D850" t="inlineStr"/>
      <c r="E850" t="inlineStr"/>
      <c r="F850" t="inlineStr">
        <is>
          <t>Technical Requirement</t>
        </is>
      </c>
      <c r="G850" s="8" t="inlineStr">
        <is>
          <t>Mandatory</t>
        </is>
      </c>
      <c r="H850" s="5" t="inlineStr">
        <is>
          <t>High</t>
        </is>
      </c>
      <c r="I850" t="inlineStr"/>
      <c r="J850" t="inlineStr">
        <is>
          <t>Not Started</t>
        </is>
      </c>
      <c r="K850" t="inlineStr"/>
      <c r="L850" t="inlineStr"/>
      <c r="M850" t="inlineStr"/>
      <c r="N850" t="inlineStr"/>
      <c r="O850" t="inlineStr"/>
      <c r="P850" t="inlineStr"/>
      <c r="Q850" t="inlineStr"/>
      <c r="R850" t="inlineStr"/>
      <c r="S850" t="inlineStr"/>
    </row>
    <row r="851">
      <c r="A851" t="inlineStr">
        <is>
          <t>REQ-00915</t>
        </is>
      </c>
      <c r="B851" s="13" t="inlineStr">
        <is>
          <t>4.2.3 The Contractor shall utilize screen captures, user-reported symptoms, and any other 
available information to document off nominal conditions.</t>
        </is>
      </c>
      <c r="C851" t="inlineStr">
        <is>
          <t>C</t>
        </is>
      </c>
      <c r="D851" t="inlineStr"/>
      <c r="E851" t="inlineStr"/>
      <c r="F851" t="inlineStr">
        <is>
          <t>Technical Requirement</t>
        </is>
      </c>
      <c r="G851" s="8" t="inlineStr">
        <is>
          <t>Mandatory</t>
        </is>
      </c>
      <c r="H851" s="5" t="inlineStr">
        <is>
          <t>High</t>
        </is>
      </c>
      <c r="I851" t="inlineStr"/>
      <c r="J851" t="inlineStr">
        <is>
          <t>Not Started</t>
        </is>
      </c>
      <c r="K851" t="inlineStr"/>
      <c r="L851" t="inlineStr"/>
      <c r="M851" t="inlineStr"/>
      <c r="N851" t="inlineStr"/>
      <c r="O851" t="inlineStr"/>
      <c r="P851" t="inlineStr"/>
      <c r="Q851" t="inlineStr"/>
      <c r="R851" t="inlineStr"/>
      <c r="S851" t="inlineStr"/>
    </row>
    <row r="852">
      <c r="A852" t="inlineStr">
        <is>
          <t>REQ-00916</t>
        </is>
      </c>
      <c r="B852" s="13" t="inlineStr">
        <is>
          <t>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t>
        </is>
      </c>
      <c r="C852" t="inlineStr">
        <is>
          <t>C</t>
        </is>
      </c>
      <c r="D852" t="inlineStr"/>
      <c r="E852" t="inlineStr"/>
      <c r="F852" t="inlineStr">
        <is>
          <t>Technical Requirement</t>
        </is>
      </c>
      <c r="G852" s="8" t="inlineStr">
        <is>
          <t>Mandatory</t>
        </is>
      </c>
      <c r="H852" s="5" t="inlineStr">
        <is>
          <t>High</t>
        </is>
      </c>
      <c r="I852" t="inlineStr"/>
      <c r="J852" t="inlineStr">
        <is>
          <t>Not Started</t>
        </is>
      </c>
      <c r="K852" t="inlineStr"/>
      <c r="L852" t="inlineStr"/>
      <c r="M852" t="inlineStr"/>
      <c r="N852" t="inlineStr"/>
      <c r="O852" t="inlineStr"/>
      <c r="P852" t="inlineStr"/>
      <c r="Q852" t="inlineStr"/>
      <c r="R852" t="inlineStr"/>
      <c r="S852" t="inlineStr"/>
    </row>
    <row r="853">
      <c r="A853" t="inlineStr">
        <is>
          <t>REQ-00917</t>
        </is>
      </c>
      <c r="B853" s="13" t="inlineStr">
        <is>
          <t>4.2.5 The Contractor shall relay off-nominal conditions to Tier 2 and/or Tier 3 product support 
tiers based on documented procedures. The information shall be relayed at the lowest 
security level possible, while still providing meaningful data.</t>
        </is>
      </c>
      <c r="C853" t="inlineStr">
        <is>
          <t>C</t>
        </is>
      </c>
      <c r="D853" t="inlineStr"/>
      <c r="E853" t="inlineStr"/>
      <c r="F853" t="inlineStr">
        <is>
          <t>Technical Requirement</t>
        </is>
      </c>
      <c r="G853" s="8" t="inlineStr">
        <is>
          <t>Mandatory</t>
        </is>
      </c>
      <c r="H853" s="5" t="inlineStr">
        <is>
          <t>High</t>
        </is>
      </c>
      <c r="I853" t="inlineStr"/>
      <c r="J853" t="inlineStr">
        <is>
          <t>Not Started</t>
        </is>
      </c>
      <c r="K853" t="inlineStr"/>
      <c r="L853" t="inlineStr"/>
      <c r="M853" t="inlineStr"/>
      <c r="N853" t="inlineStr"/>
      <c r="O853" t="inlineStr"/>
      <c r="P853" t="inlineStr"/>
      <c r="Q853" t="inlineStr"/>
      <c r="R853" t="inlineStr"/>
      <c r="S853" t="inlineStr"/>
    </row>
    <row r="854">
      <c r="A854" t="inlineStr">
        <is>
          <t>REQ-00918</t>
        </is>
      </c>
      <c r="B854" s="13" t="inlineStr">
        <is>
          <t>4.2.6 The Contractor shall coordinate with the Space C2 configuration management and cyber 
teams to disposition any system configuration changes required to respond to system 
outages.</t>
        </is>
      </c>
      <c r="C854" t="inlineStr">
        <is>
          <t>C</t>
        </is>
      </c>
      <c r="D854" t="inlineStr"/>
      <c r="E854" t="inlineStr"/>
      <c r="F854" t="inlineStr">
        <is>
          <t>Technical Requirement</t>
        </is>
      </c>
      <c r="G854" s="8" t="inlineStr">
        <is>
          <t>Mandatory</t>
        </is>
      </c>
      <c r="H854" s="5" t="inlineStr">
        <is>
          <t>High</t>
        </is>
      </c>
      <c r="I854" t="inlineStr"/>
      <c r="J854" t="inlineStr">
        <is>
          <t>Not Started</t>
        </is>
      </c>
      <c r="K854" t="inlineStr"/>
      <c r="L854" t="inlineStr"/>
      <c r="M854" t="inlineStr"/>
      <c r="N854" t="inlineStr"/>
      <c r="O854" t="inlineStr"/>
      <c r="P854" t="inlineStr"/>
      <c r="Q854" t="inlineStr"/>
      <c r="R854" t="inlineStr"/>
      <c r="S854" t="inlineStr"/>
    </row>
    <row r="855">
      <c r="A855" t="inlineStr">
        <is>
          <t>REQ-00919</t>
        </is>
      </c>
      <c r="B855" s="13" t="inlineStr">
        <is>
          <t>4.3.1 The Contractor shall provide 24/7 on-site support for Space C2 software capabilities. 
This includes monitoring at Secret for on-prem and cloud-hosted (Impact Level-6) 
software applications and will include monitoring at TS/SCI for cloud-hosted software 
applications in the future.</t>
        </is>
      </c>
      <c r="C855" t="inlineStr">
        <is>
          <t>C</t>
        </is>
      </c>
      <c r="D855" t="inlineStr"/>
      <c r="E855" t="inlineStr"/>
      <c r="F855" t="inlineStr">
        <is>
          <t>Technical Requirement</t>
        </is>
      </c>
      <c r="G855" s="8" t="inlineStr">
        <is>
          <t>Mandatory</t>
        </is>
      </c>
      <c r="H855" s="5" t="inlineStr">
        <is>
          <t>High</t>
        </is>
      </c>
      <c r="I855" t="inlineStr"/>
      <c r="J855" t="inlineStr">
        <is>
          <t>Not Started</t>
        </is>
      </c>
      <c r="K855" t="inlineStr"/>
      <c r="L855" t="inlineStr"/>
      <c r="M855" t="inlineStr"/>
      <c r="N855" t="inlineStr"/>
      <c r="O855" t="inlineStr"/>
      <c r="P855" t="inlineStr"/>
      <c r="Q855" t="inlineStr"/>
      <c r="R855" t="inlineStr"/>
      <c r="S855" t="inlineStr"/>
    </row>
    <row r="856">
      <c r="A856" t="inlineStr">
        <is>
          <t>REQ-00920</t>
        </is>
      </c>
      <c r="B856" s="13" t="inlineStr">
        <is>
          <t>4.3.2 The Contractor shall resolve basic user system access issues identified in Section 4.2.</t>
        </is>
      </c>
      <c r="C856" t="inlineStr">
        <is>
          <t>C</t>
        </is>
      </c>
      <c r="D856" t="inlineStr"/>
      <c r="E856" t="inlineStr"/>
      <c r="F856" t="inlineStr">
        <is>
          <t>Technical Requirement</t>
        </is>
      </c>
      <c r="G856" s="8" t="inlineStr">
        <is>
          <t>Mandatory</t>
        </is>
      </c>
      <c r="H856" s="5" t="inlineStr">
        <is>
          <t>High</t>
        </is>
      </c>
      <c r="I856" t="inlineStr"/>
      <c r="J856" t="inlineStr">
        <is>
          <t>Not Started</t>
        </is>
      </c>
      <c r="K856" t="inlineStr"/>
      <c r="L856" t="inlineStr"/>
      <c r="M856" t="inlineStr"/>
      <c r="N856" t="inlineStr"/>
      <c r="O856" t="inlineStr"/>
      <c r="P856" t="inlineStr"/>
      <c r="Q856" t="inlineStr"/>
      <c r="R856" t="inlineStr"/>
      <c r="S856" t="inlineStr"/>
    </row>
    <row r="857">
      <c r="A857" t="inlineStr">
        <is>
          <t>REQ-00921</t>
        </is>
      </c>
      <c r="B857" s="13" t="inlineStr">
        <is>
          <t>4.3.3 The Contractor shall track system status and trends from the provided dashboards to 
predict and restore system operational capabilities in a Government approved report.</t>
        </is>
      </c>
      <c r="C857" t="inlineStr">
        <is>
          <t>C</t>
        </is>
      </c>
      <c r="D857" t="inlineStr"/>
      <c r="E857" t="inlineStr"/>
      <c r="F857" t="inlineStr">
        <is>
          <t>Technical Requirement</t>
        </is>
      </c>
      <c r="G857" s="8" t="inlineStr">
        <is>
          <t>Mandatory</t>
        </is>
      </c>
      <c r="H857" s="5" t="inlineStr">
        <is>
          <t>High</t>
        </is>
      </c>
      <c r="I857" t="inlineStr"/>
      <c r="J857" t="inlineStr">
        <is>
          <t>Not Started</t>
        </is>
      </c>
      <c r="K857" t="inlineStr"/>
      <c r="L857" t="inlineStr"/>
      <c r="M857" t="inlineStr"/>
      <c r="N857" t="inlineStr"/>
      <c r="O857" t="inlineStr"/>
      <c r="P857" t="inlineStr"/>
      <c r="Q857" t="inlineStr"/>
      <c r="R857" t="inlineStr"/>
      <c r="S857" t="inlineStr"/>
    </row>
    <row r="858">
      <c r="A858" t="inlineStr">
        <is>
          <t>REQ-00922</t>
        </is>
      </c>
      <c r="B858" s="13" t="inlineStr">
        <is>
          <t>4.3.4 The Contractor shall execute workflows to inform and track Tier 2 support regarding a 
failure mode or degradation of service pertaining to that system. In the case of unclear 
DRAFT</t>
        </is>
      </c>
      <c r="C858" t="inlineStr">
        <is>
          <t>C</t>
        </is>
      </c>
      <c r="D858" t="inlineStr"/>
      <c r="E858" t="inlineStr"/>
      <c r="F858" t="inlineStr">
        <is>
          <t>Technical Requirement</t>
        </is>
      </c>
      <c r="G858" s="8" t="inlineStr">
        <is>
          <t>Mandatory</t>
        </is>
      </c>
      <c r="H858" s="5" t="inlineStr">
        <is>
          <t>High</t>
        </is>
      </c>
      <c r="I858" t="inlineStr"/>
      <c r="J858" t="inlineStr">
        <is>
          <t>Not Started</t>
        </is>
      </c>
      <c r="K858" t="inlineStr"/>
      <c r="L858" t="inlineStr"/>
      <c r="M858" t="inlineStr"/>
      <c r="N858" t="inlineStr"/>
      <c r="O858" t="inlineStr"/>
      <c r="P858" t="inlineStr"/>
      <c r="Q858" t="inlineStr"/>
      <c r="R858" t="inlineStr"/>
      <c r="S858" t="inlineStr"/>
    </row>
    <row r="859">
      <c r="A859" t="inlineStr">
        <is>
          <t>REQ-00923</t>
        </is>
      </c>
      <c r="B859" s="13" t="inlineStr">
        <is>
          <t>CUI 
 CUI 16  
cause of degradation, the Contractor shall perform initial contact to multiple Tier 2 
contacts to further identify the source of the failure.</t>
        </is>
      </c>
      <c r="C859" t="inlineStr">
        <is>
          <t>C</t>
        </is>
      </c>
      <c r="D859" t="inlineStr"/>
      <c r="E859" t="inlineStr"/>
      <c r="F859" t="inlineStr">
        <is>
          <t>Technical Requirement</t>
        </is>
      </c>
      <c r="G859" s="8" t="inlineStr">
        <is>
          <t>Mandatory</t>
        </is>
      </c>
      <c r="H859" s="5" t="inlineStr">
        <is>
          <t>High</t>
        </is>
      </c>
      <c r="I859" t="inlineStr"/>
      <c r="J859" t="inlineStr">
        <is>
          <t>Not Started</t>
        </is>
      </c>
      <c r="K859" t="inlineStr"/>
      <c r="L859" t="inlineStr"/>
      <c r="M859" t="inlineStr"/>
      <c r="N859" t="inlineStr"/>
      <c r="O859" t="inlineStr"/>
      <c r="P859" t="inlineStr"/>
      <c r="Q859" t="inlineStr"/>
      <c r="R859" t="inlineStr"/>
      <c r="S859" t="inlineStr"/>
    </row>
    <row r="860">
      <c r="A860" t="inlineStr">
        <is>
          <t>REQ-00924</t>
        </is>
      </c>
      <c r="B860" s="13" t="inlineStr">
        <is>
          <t>4.3.5 The Contractor shall provide 24/7 on-call software support to include reach-back 
capabilities for all Commercial-Off-The-Shelf (COTS) and Government-Off-The-Shelf 
(GOTS) software.</t>
        </is>
      </c>
      <c r="C860" t="inlineStr">
        <is>
          <t>C</t>
        </is>
      </c>
      <c r="D860" t="inlineStr"/>
      <c r="E860" t="inlineStr"/>
      <c r="F860" t="inlineStr">
        <is>
          <t>Technical Requirement</t>
        </is>
      </c>
      <c r="G860" s="8" t="inlineStr">
        <is>
          <t>Mandatory</t>
        </is>
      </c>
      <c r="H860" s="5" t="inlineStr">
        <is>
          <t>High</t>
        </is>
      </c>
      <c r="I860" t="inlineStr"/>
      <c r="J860" t="inlineStr">
        <is>
          <t>Not Started</t>
        </is>
      </c>
      <c r="K860" t="inlineStr"/>
      <c r="L860" t="inlineStr"/>
      <c r="M860" t="inlineStr"/>
      <c r="N860" t="inlineStr"/>
      <c r="O860" t="inlineStr"/>
      <c r="P860" t="inlineStr"/>
      <c r="Q860" t="inlineStr"/>
      <c r="R860" t="inlineStr"/>
      <c r="S860" t="inlineStr"/>
    </row>
    <row r="861">
      <c r="A861" t="inlineStr">
        <is>
          <t>REQ-00925</t>
        </is>
      </c>
      <c r="B861" s="13" t="inlineStr">
        <is>
          <t>4.3.6 The Contractor shall serve as a 24/7 help desk. This includes assisting users with 
resolving basic system access issues and maintaining track of system status to understand 
which systems are up/down to support users who are having problems with system 
access.</t>
        </is>
      </c>
      <c r="C861" t="inlineStr">
        <is>
          <t>C</t>
        </is>
      </c>
      <c r="D861" t="inlineStr"/>
      <c r="E861" t="inlineStr"/>
      <c r="F861" t="inlineStr">
        <is>
          <t>Technical Requirement</t>
        </is>
      </c>
      <c r="G861" s="8" t="inlineStr">
        <is>
          <t>Mandatory</t>
        </is>
      </c>
      <c r="H861" s="5" t="inlineStr">
        <is>
          <t>High</t>
        </is>
      </c>
      <c r="I861" t="inlineStr"/>
      <c r="J861" t="inlineStr">
        <is>
          <t>Not Started</t>
        </is>
      </c>
      <c r="K861" t="inlineStr"/>
      <c r="L861" t="inlineStr"/>
      <c r="M861" t="inlineStr"/>
      <c r="N861" t="inlineStr"/>
      <c r="O861" t="inlineStr"/>
      <c r="P861" t="inlineStr"/>
      <c r="Q861" t="inlineStr"/>
      <c r="R861" t="inlineStr"/>
      <c r="S861" t="inlineStr"/>
    </row>
    <row r="862">
      <c r="A862" t="inlineStr">
        <is>
          <t>REQ-00926</t>
        </is>
      </c>
      <c r="B862" s="13" t="inlineStr">
        <is>
          <t>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t>
        </is>
      </c>
      <c r="C862" t="inlineStr">
        <is>
          <t>C</t>
        </is>
      </c>
      <c r="D862" t="inlineStr"/>
      <c r="E862" t="inlineStr"/>
      <c r="F862" t="inlineStr">
        <is>
          <t>Technical Requirement</t>
        </is>
      </c>
      <c r="G862" s="8" t="inlineStr">
        <is>
          <t>Mandatory</t>
        </is>
      </c>
      <c r="H862" s="5" t="inlineStr">
        <is>
          <t>High</t>
        </is>
      </c>
      <c r="I862" t="inlineStr"/>
      <c r="J862" t="inlineStr">
        <is>
          <t>Not Started</t>
        </is>
      </c>
      <c r="K862" t="inlineStr"/>
      <c r="L862" t="inlineStr"/>
      <c r="M862" t="inlineStr"/>
      <c r="N862" t="inlineStr"/>
      <c r="O862" t="inlineStr"/>
      <c r="P862" t="inlineStr"/>
      <c r="Q862" t="inlineStr"/>
      <c r="R862" t="inlineStr"/>
      <c r="S862" t="inlineStr"/>
    </row>
    <row r="863">
      <c r="A863" t="inlineStr">
        <is>
          <t>REQ-00927</t>
        </is>
      </c>
      <c r="B863" s="13" t="inlineStr">
        <is>
          <t>4.4.2 The Contractor shall leverage the SPO JIRA ticketing system to track and close all 
networking issues regarding system failures.</t>
        </is>
      </c>
      <c r="C863" t="inlineStr">
        <is>
          <t>C</t>
        </is>
      </c>
      <c r="D863" t="inlineStr"/>
      <c r="E863" t="inlineStr"/>
      <c r="F863" t="inlineStr">
        <is>
          <t>Technical Requirement</t>
        </is>
      </c>
      <c r="G863" s="8" t="inlineStr">
        <is>
          <t>Mandatory</t>
        </is>
      </c>
      <c r="H863" s="5" t="inlineStr">
        <is>
          <t>High</t>
        </is>
      </c>
      <c r="I863" t="inlineStr"/>
      <c r="J863" t="inlineStr">
        <is>
          <t>Not Started</t>
        </is>
      </c>
      <c r="K863" t="inlineStr"/>
      <c r="L863" t="inlineStr"/>
      <c r="M863" t="inlineStr"/>
      <c r="N863" t="inlineStr"/>
      <c r="O863" t="inlineStr"/>
      <c r="P863" t="inlineStr"/>
      <c r="Q863" t="inlineStr"/>
      <c r="R863" t="inlineStr"/>
      <c r="S863" t="inlineStr"/>
    </row>
    <row r="864">
      <c r="A864" t="inlineStr">
        <is>
          <t>REQ-00928</t>
        </is>
      </c>
      <c r="B864" s="13" t="inlineStr">
        <is>
          <t>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t>
        </is>
      </c>
      <c r="C864" t="inlineStr">
        <is>
          <t>C</t>
        </is>
      </c>
      <c r="D864" t="inlineStr"/>
      <c r="E864" t="inlineStr"/>
      <c r="F864" t="inlineStr">
        <is>
          <t>Technical Requirement</t>
        </is>
      </c>
      <c r="G864" s="8" t="inlineStr">
        <is>
          <t>Mandatory</t>
        </is>
      </c>
      <c r="H864" s="5" t="inlineStr">
        <is>
          <t>High</t>
        </is>
      </c>
      <c r="I864" t="inlineStr"/>
      <c r="J864" t="inlineStr">
        <is>
          <t>Not Started</t>
        </is>
      </c>
      <c r="K864" t="inlineStr"/>
      <c r="L864" t="inlineStr"/>
      <c r="M864" t="inlineStr"/>
      <c r="N864" t="inlineStr"/>
      <c r="O864" t="inlineStr"/>
      <c r="P864" t="inlineStr"/>
      <c r="Q864" t="inlineStr"/>
      <c r="R864" t="inlineStr"/>
      <c r="S864" t="inlineStr"/>
    </row>
    <row r="865">
      <c r="A865" t="inlineStr">
        <is>
          <t>REQ-00930</t>
        </is>
      </c>
      <c r="B865" s="13" t="inlineStr">
        <is>
          <t>4.5 24/7 Network Monitor Function – Tier 1 Support</t>
        </is>
      </c>
      <c r="C865" t="inlineStr">
        <is>
          <t>C</t>
        </is>
      </c>
      <c r="D865" t="inlineStr"/>
      <c r="E865" t="inlineStr"/>
      <c r="F865" t="inlineStr">
        <is>
          <t>Technical Requirement</t>
        </is>
      </c>
      <c r="G865" s="9" t="inlineStr">
        <is>
          <t>Desirable</t>
        </is>
      </c>
      <c r="H865" s="6" t="inlineStr">
        <is>
          <t>Medium</t>
        </is>
      </c>
      <c r="I865" t="inlineStr"/>
      <c r="J865" t="inlineStr">
        <is>
          <t>Not Started</t>
        </is>
      </c>
      <c r="K865" t="inlineStr"/>
      <c r="L865" t="inlineStr"/>
      <c r="M865" t="inlineStr"/>
      <c r="N865" t="inlineStr"/>
      <c r="O865" t="inlineStr"/>
      <c r="P865" t="inlineStr"/>
      <c r="Q865" t="inlineStr"/>
      <c r="R865" t="inlineStr"/>
      <c r="S865" t="inlineStr"/>
    </row>
    <row r="866">
      <c r="A866" t="inlineStr">
        <is>
          <t>REQ-00931</t>
        </is>
      </c>
      <c r="B866" s="13" t="inlineStr">
        <is>
          <t>4.5.1 The Contractor shall execute tier 1 support directly for SPARTAN and SDANet.</t>
        </is>
      </c>
      <c r="C866" t="inlineStr">
        <is>
          <t>C</t>
        </is>
      </c>
      <c r="D866" t="inlineStr"/>
      <c r="E866" t="inlineStr"/>
      <c r="F866" t="inlineStr">
        <is>
          <t>Technical Requirement</t>
        </is>
      </c>
      <c r="G866" s="8" t="inlineStr">
        <is>
          <t>Mandatory</t>
        </is>
      </c>
      <c r="H866" s="5" t="inlineStr">
        <is>
          <t>High</t>
        </is>
      </c>
      <c r="I866" t="inlineStr"/>
      <c r="J866" t="inlineStr">
        <is>
          <t>Not Started</t>
        </is>
      </c>
      <c r="K866" t="inlineStr"/>
      <c r="L866" t="inlineStr"/>
      <c r="M866" t="inlineStr"/>
      <c r="N866" t="inlineStr"/>
      <c r="O866" t="inlineStr"/>
      <c r="P866" t="inlineStr"/>
      <c r="Q866" t="inlineStr"/>
      <c r="R866" t="inlineStr"/>
      <c r="S866" t="inlineStr"/>
    </row>
    <row r="867">
      <c r="A867" t="inlineStr">
        <is>
          <t>REQ-00932</t>
        </is>
      </c>
      <c r="B867" s="13" t="inlineStr">
        <is>
          <t>4.5.2 The Contractor shall execute additional network connectivity checks to validate all 
network failures and to further identify the source of failed connection.</t>
        </is>
      </c>
      <c r="C867" t="inlineStr">
        <is>
          <t>C</t>
        </is>
      </c>
      <c r="D867" t="inlineStr"/>
      <c r="E867" t="inlineStr"/>
      <c r="F867" t="inlineStr">
        <is>
          <t>Technical Requirement</t>
        </is>
      </c>
      <c r="G867" s="8" t="inlineStr">
        <is>
          <t>Mandatory</t>
        </is>
      </c>
      <c r="H867" s="5" t="inlineStr">
        <is>
          <t>High</t>
        </is>
      </c>
      <c r="I867" t="inlineStr"/>
      <c r="J867" t="inlineStr">
        <is>
          <t>Not Started</t>
        </is>
      </c>
      <c r="K867" t="inlineStr"/>
      <c r="L867" t="inlineStr"/>
      <c r="M867" t="inlineStr"/>
      <c r="N867" t="inlineStr"/>
      <c r="O867" t="inlineStr"/>
      <c r="P867" t="inlineStr"/>
      <c r="Q867" t="inlineStr"/>
      <c r="R867" t="inlineStr"/>
      <c r="S867" t="inlineStr"/>
    </row>
    <row r="868">
      <c r="A868" t="inlineStr">
        <is>
          <t>REQ-00933</t>
        </is>
      </c>
      <c r="B868" s="13" t="inlineStr">
        <is>
          <t>4.5.3 The Contractor shall monitor networking metrics to identify network congestion or other 
aspects of network degradation and report to the appropriate.</t>
        </is>
      </c>
      <c r="C868" t="inlineStr">
        <is>
          <t>C</t>
        </is>
      </c>
      <c r="D868" t="inlineStr"/>
      <c r="E868" t="inlineStr"/>
      <c r="F868" t="inlineStr">
        <is>
          <t>Technical Requirement</t>
        </is>
      </c>
      <c r="G868" s="8" t="inlineStr">
        <is>
          <t>Mandatory</t>
        </is>
      </c>
      <c r="H868" s="5" t="inlineStr">
        <is>
          <t>High</t>
        </is>
      </c>
      <c r="I868" t="inlineStr"/>
      <c r="J868" t="inlineStr">
        <is>
          <t>Not Started</t>
        </is>
      </c>
      <c r="K868" t="inlineStr"/>
      <c r="L868" t="inlineStr"/>
      <c r="M868" t="inlineStr"/>
      <c r="N868" t="inlineStr"/>
      <c r="O868" t="inlineStr"/>
      <c r="P868" t="inlineStr"/>
      <c r="Q868" t="inlineStr"/>
      <c r="R868" t="inlineStr"/>
      <c r="S868" t="inlineStr"/>
    </row>
    <row r="869">
      <c r="A869" t="inlineStr">
        <is>
          <t>REQ-00934</t>
        </is>
      </c>
      <c r="B869" s="13" t="inlineStr">
        <is>
          <t>4.5.4 The Contractor shall continuously analyze workflow of metrics to further identify root 
causes in order to support reduction in cost latency, and increased throughput quarterly.   
DRAFT</t>
        </is>
      </c>
      <c r="C869" t="inlineStr">
        <is>
          <t>C</t>
        </is>
      </c>
      <c r="D869" t="inlineStr"/>
      <c r="E869" t="inlineStr"/>
      <c r="F869" t="inlineStr">
        <is>
          <t>Technical Requirement</t>
        </is>
      </c>
      <c r="G869" s="8" t="inlineStr">
        <is>
          <t>Mandatory</t>
        </is>
      </c>
      <c r="H869" s="5" t="inlineStr">
        <is>
          <t>High</t>
        </is>
      </c>
      <c r="I869" t="inlineStr"/>
      <c r="J869" t="inlineStr">
        <is>
          <t>Not Started</t>
        </is>
      </c>
      <c r="K869" t="inlineStr"/>
      <c r="L869" t="inlineStr"/>
      <c r="M869" t="inlineStr"/>
      <c r="N869" t="inlineStr"/>
      <c r="O869" t="inlineStr"/>
      <c r="P869" t="inlineStr"/>
      <c r="Q869" t="inlineStr"/>
      <c r="R869" t="inlineStr"/>
      <c r="S869" t="inlineStr"/>
    </row>
    <row r="870">
      <c r="A870" t="inlineStr">
        <is>
          <t>REQ-00935</t>
        </is>
      </c>
      <c r="B870" s="13" t="inlineStr">
        <is>
          <t>4.5.5 The Contractor shall execute pre-determined contingency plans in the case of significant 
degradation to restore network service to critical operations.</t>
        </is>
      </c>
      <c r="C870" t="inlineStr">
        <is>
          <t>C</t>
        </is>
      </c>
      <c r="D870" t="inlineStr"/>
      <c r="E870" t="inlineStr"/>
      <c r="F870" t="inlineStr">
        <is>
          <t>Technical Requirement</t>
        </is>
      </c>
      <c r="G870" s="8" t="inlineStr">
        <is>
          <t>Mandatory</t>
        </is>
      </c>
      <c r="H870" s="5" t="inlineStr">
        <is>
          <t>High</t>
        </is>
      </c>
      <c r="I870" t="inlineStr"/>
      <c r="J870" t="inlineStr">
        <is>
          <t>Not Started</t>
        </is>
      </c>
      <c r="K870" t="inlineStr"/>
      <c r="L870" t="inlineStr"/>
      <c r="M870" t="inlineStr"/>
      <c r="N870" t="inlineStr"/>
      <c r="O870" t="inlineStr"/>
      <c r="P870" t="inlineStr"/>
      <c r="Q870" t="inlineStr"/>
      <c r="R870" t="inlineStr"/>
      <c r="S870" t="inlineStr"/>
    </row>
    <row r="871">
      <c r="A871" t="inlineStr">
        <is>
          <t>REQ-00936</t>
        </is>
      </c>
      <c r="B871" s="13" t="inlineStr">
        <is>
          <t>4.5.6 The Contractor shall notify affected operators regarding a degradation in capability of 
network connectivity and perform pre-determined workflows.</t>
        </is>
      </c>
      <c r="C871" t="inlineStr">
        <is>
          <t>C</t>
        </is>
      </c>
      <c r="D871" t="inlineStr"/>
      <c r="E871" t="inlineStr"/>
      <c r="F871" t="inlineStr">
        <is>
          <t>Technical Requirement</t>
        </is>
      </c>
      <c r="G871" s="8" t="inlineStr">
        <is>
          <t>Mandatory</t>
        </is>
      </c>
      <c r="H871" s="5" t="inlineStr">
        <is>
          <t>High</t>
        </is>
      </c>
      <c r="I871" t="inlineStr"/>
      <c r="J871" t="inlineStr">
        <is>
          <t>Not Started</t>
        </is>
      </c>
      <c r="K871" t="inlineStr"/>
      <c r="L871" t="inlineStr"/>
      <c r="M871" t="inlineStr"/>
      <c r="N871" t="inlineStr"/>
      <c r="O871" t="inlineStr"/>
      <c r="P871" t="inlineStr"/>
      <c r="Q871" t="inlineStr"/>
      <c r="R871" t="inlineStr"/>
      <c r="S871" t="inlineStr"/>
    </row>
    <row r="872">
      <c r="A872" t="inlineStr">
        <is>
          <t>REQ-00937</t>
        </is>
      </c>
      <c r="B872" s="13" t="inlineStr">
        <is>
          <t>4.5.7 The Contractor shall notify affected operators when network capabilities are restored or 
improved to nominal capabilities.</t>
        </is>
      </c>
      <c r="C872" t="inlineStr">
        <is>
          <t>C</t>
        </is>
      </c>
      <c r="D872" t="inlineStr"/>
      <c r="E872" t="inlineStr"/>
      <c r="F872" t="inlineStr">
        <is>
          <t>Technical Requirement</t>
        </is>
      </c>
      <c r="G872" s="8" t="inlineStr">
        <is>
          <t>Mandatory</t>
        </is>
      </c>
      <c r="H872" s="5" t="inlineStr">
        <is>
          <t>High</t>
        </is>
      </c>
      <c r="I872" t="inlineStr"/>
      <c r="J872" t="inlineStr">
        <is>
          <t>Not Started</t>
        </is>
      </c>
      <c r="K872" t="inlineStr"/>
      <c r="L872" t="inlineStr"/>
      <c r="M872" t="inlineStr"/>
      <c r="N872" t="inlineStr"/>
      <c r="O872" t="inlineStr"/>
      <c r="P872" t="inlineStr"/>
      <c r="Q872" t="inlineStr"/>
      <c r="R872" t="inlineStr"/>
      <c r="S872" t="inlineStr"/>
    </row>
    <row r="873">
      <c r="A873" t="inlineStr">
        <is>
          <t>REQ-00938</t>
        </is>
      </c>
      <c r="B873" s="13" t="inlineStr">
        <is>
          <t>4.6 24/7 Infrastructure and Platform Monitoring</t>
        </is>
      </c>
      <c r="C873" t="inlineStr">
        <is>
          <t>C</t>
        </is>
      </c>
      <c r="D873" t="inlineStr"/>
      <c r="E873" t="inlineStr"/>
      <c r="F873" t="inlineStr">
        <is>
          <t>Technical Requirement</t>
        </is>
      </c>
      <c r="G873" s="9" t="inlineStr">
        <is>
          <t>Desirable</t>
        </is>
      </c>
      <c r="H873" s="6" t="inlineStr">
        <is>
          <t>Medium</t>
        </is>
      </c>
      <c r="I873" t="inlineStr"/>
      <c r="J873" t="inlineStr">
        <is>
          <t>Not Started</t>
        </is>
      </c>
      <c r="K873" t="inlineStr"/>
      <c r="L873" t="inlineStr"/>
      <c r="M873" t="inlineStr"/>
      <c r="N873" t="inlineStr"/>
      <c r="O873" t="inlineStr"/>
      <c r="P873" t="inlineStr"/>
      <c r="Q873" t="inlineStr"/>
      <c r="R873" t="inlineStr"/>
      <c r="S873" t="inlineStr"/>
    </row>
    <row r="874">
      <c r="A874" t="inlineStr">
        <is>
          <t>REQ-00939</t>
        </is>
      </c>
      <c r="B874" s="13" t="inlineStr">
        <is>
          <t>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 
significant.</t>
        </is>
      </c>
      <c r="C874" t="inlineStr">
        <is>
          <t>C</t>
        </is>
      </c>
      <c r="D874" t="inlineStr"/>
      <c r="E874" t="inlineStr"/>
      <c r="F874" t="inlineStr">
        <is>
          <t>Technical Requirement</t>
        </is>
      </c>
      <c r="G874" s="8" t="inlineStr">
        <is>
          <t>Mandatory</t>
        </is>
      </c>
      <c r="H874" s="5" t="inlineStr">
        <is>
          <t>High</t>
        </is>
      </c>
      <c r="I874" t="inlineStr"/>
      <c r="J874" t="inlineStr">
        <is>
          <t>Not Started</t>
        </is>
      </c>
      <c r="K874" t="inlineStr"/>
      <c r="L874" t="inlineStr"/>
      <c r="M874" t="inlineStr"/>
      <c r="N874" t="inlineStr"/>
      <c r="O874" t="inlineStr"/>
      <c r="P874" t="inlineStr"/>
      <c r="Q874" t="inlineStr"/>
      <c r="R874" t="inlineStr"/>
      <c r="S874" t="inlineStr"/>
    </row>
    <row r="875">
      <c r="A875" t="inlineStr">
        <is>
          <t>REQ-00940</t>
        </is>
      </c>
      <c r="B875" s="13"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t>
        </is>
      </c>
      <c r="C875" t="inlineStr">
        <is>
          <t>C</t>
        </is>
      </c>
      <c r="D875" t="inlineStr"/>
      <c r="E875" t="inlineStr"/>
      <c r="F875" t="inlineStr">
        <is>
          <t>Technical Requirement</t>
        </is>
      </c>
      <c r="G875" s="8" t="inlineStr">
        <is>
          <t>Mandatory</t>
        </is>
      </c>
      <c r="H875" s="5" t="inlineStr">
        <is>
          <t>High</t>
        </is>
      </c>
      <c r="I875" t="inlineStr"/>
      <c r="J875" t="inlineStr">
        <is>
          <t>Not Started</t>
        </is>
      </c>
      <c r="K875" t="inlineStr"/>
      <c r="L875" t="inlineStr"/>
      <c r="M875" t="inlineStr"/>
      <c r="N875" t="inlineStr"/>
      <c r="O875" t="inlineStr"/>
      <c r="P875" t="inlineStr"/>
      <c r="Q875" t="inlineStr"/>
      <c r="R875" t="inlineStr"/>
      <c r="S875" t="inlineStr"/>
    </row>
    <row r="876">
      <c r="A876" t="inlineStr">
        <is>
          <t>REQ-00941</t>
        </is>
      </c>
      <c r="B876" s="13" t="inlineStr">
        <is>
          <t>5.1.1 The Contractor shall provide 5/12 support as specified in Section 3.1.3. This support 
shall include: 
• One primary and one secondary technician on call via telecom 
• 2-hour response time from initial contact and acknowledgement</t>
        </is>
      </c>
      <c r="C876" t="inlineStr">
        <is>
          <t>C</t>
        </is>
      </c>
      <c r="D876" t="inlineStr"/>
      <c r="E876" t="inlineStr"/>
      <c r="F876" t="inlineStr">
        <is>
          <t>Technical Requirement</t>
        </is>
      </c>
      <c r="G876" s="8" t="inlineStr">
        <is>
          <t>Mandatory</t>
        </is>
      </c>
      <c r="H876" s="5" t="inlineStr">
        <is>
          <t>High</t>
        </is>
      </c>
      <c r="I876" t="inlineStr"/>
      <c r="J876" t="inlineStr">
        <is>
          <t>Not Started</t>
        </is>
      </c>
      <c r="K876" t="inlineStr"/>
      <c r="L876" t="inlineStr"/>
      <c r="M876" t="inlineStr"/>
      <c r="N876" t="inlineStr"/>
      <c r="O876" t="inlineStr"/>
      <c r="P876" t="inlineStr"/>
      <c r="Q876" t="inlineStr"/>
      <c r="R876" t="inlineStr"/>
      <c r="S876" t="inlineStr"/>
    </row>
    <row r="877">
      <c r="A877" t="inlineStr">
        <is>
          <t>REQ-00942</t>
        </is>
      </c>
      <c r="B877" s="13" t="inlineStr">
        <is>
          <t>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t>
        </is>
      </c>
      <c r="C877" t="inlineStr">
        <is>
          <t>C</t>
        </is>
      </c>
      <c r="D877" t="inlineStr"/>
      <c r="E877" t="inlineStr"/>
      <c r="F877" t="inlineStr">
        <is>
          <t>Technical Requirement</t>
        </is>
      </c>
      <c r="G877" s="8" t="inlineStr">
        <is>
          <t>Mandatory</t>
        </is>
      </c>
      <c r="H877" s="5" t="inlineStr">
        <is>
          <t>High</t>
        </is>
      </c>
      <c r="I877" t="inlineStr"/>
      <c r="J877" t="inlineStr">
        <is>
          <t>Not Started</t>
        </is>
      </c>
      <c r="K877" t="inlineStr"/>
      <c r="L877" t="inlineStr"/>
      <c r="M877" t="inlineStr"/>
      <c r="N877" t="inlineStr"/>
      <c r="O877" t="inlineStr"/>
      <c r="P877" t="inlineStr"/>
      <c r="Q877" t="inlineStr"/>
      <c r="R877" t="inlineStr"/>
      <c r="S877" t="inlineStr"/>
    </row>
    <row r="878">
      <c r="A878" t="inlineStr">
        <is>
          <t>REQ-00943</t>
        </is>
      </c>
      <c r="B878" s="13" t="inlineStr">
        <is>
          <t>5.2.1 The Contractor shall maintain the below Space C2 Infrastructure items located in VSFB 
Building 8401. All Section 5.2 actions are in regards to the below infrastructure items. 
• Firewalls 
• Switches 
• Linux and Windows VMs 
• Cloud/Blade server configurations 
DRAFT</t>
        </is>
      </c>
      <c r="C878" t="inlineStr">
        <is>
          <t>C</t>
        </is>
      </c>
      <c r="D878" t="inlineStr"/>
      <c r="E878" t="inlineStr"/>
      <c r="F878" t="inlineStr">
        <is>
          <t>Technical Requirement</t>
        </is>
      </c>
      <c r="G878" s="8" t="inlineStr">
        <is>
          <t>Mandatory</t>
        </is>
      </c>
      <c r="H878" s="5" t="inlineStr">
        <is>
          <t>High</t>
        </is>
      </c>
      <c r="I878" t="inlineStr"/>
      <c r="J878" t="inlineStr">
        <is>
          <t>Not Started</t>
        </is>
      </c>
      <c r="K878" t="inlineStr"/>
      <c r="L878" t="inlineStr"/>
      <c r="M878" t="inlineStr"/>
      <c r="N878" t="inlineStr"/>
      <c r="O878" t="inlineStr"/>
      <c r="P878" t="inlineStr"/>
      <c r="Q878" t="inlineStr"/>
      <c r="R878" t="inlineStr"/>
      <c r="S878" t="inlineStr"/>
    </row>
    <row r="879">
      <c r="A879" t="inlineStr">
        <is>
          <t>REQ-00944</t>
        </is>
      </c>
      <c r="B879" s="13" t="inlineStr">
        <is>
          <t>CUI 
 CUI 18  
• Desktop support 
• Storage arrays  
• Edge Devices 
• Last mile connectivity to KM environment(s) 
• Manage external data feeds to Space C2 environments</t>
        </is>
      </c>
      <c r="C879" t="inlineStr">
        <is>
          <t>C</t>
        </is>
      </c>
      <c r="D879" t="inlineStr"/>
      <c r="E879" t="inlineStr"/>
      <c r="F879" t="inlineStr">
        <is>
          <t>Technical Requirement</t>
        </is>
      </c>
      <c r="G879" s="9" t="inlineStr">
        <is>
          <t>Desirable</t>
        </is>
      </c>
      <c r="H879" s="6" t="inlineStr">
        <is>
          <t>Medium</t>
        </is>
      </c>
      <c r="I879" t="inlineStr"/>
      <c r="J879" t="inlineStr">
        <is>
          <t>Not Started</t>
        </is>
      </c>
      <c r="K879" t="inlineStr"/>
      <c r="L879" t="inlineStr"/>
      <c r="M879" t="inlineStr"/>
      <c r="N879" t="inlineStr"/>
      <c r="O879" t="inlineStr"/>
      <c r="P879" t="inlineStr"/>
      <c r="Q879" t="inlineStr"/>
      <c r="R879" t="inlineStr"/>
      <c r="S879" t="inlineStr"/>
    </row>
    <row r="880">
      <c r="A880" t="inlineStr">
        <is>
          <t>REQ-00945</t>
        </is>
      </c>
      <c r="B880" s="13" t="inlineStr">
        <is>
          <t>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t>
        </is>
      </c>
      <c r="C880" t="inlineStr">
        <is>
          <t>C</t>
        </is>
      </c>
      <c r="D880" t="inlineStr"/>
      <c r="E880" t="inlineStr"/>
      <c r="F880" t="inlineStr">
        <is>
          <t>Technical Requirement</t>
        </is>
      </c>
      <c r="G880" s="8" t="inlineStr">
        <is>
          <t>Mandatory</t>
        </is>
      </c>
      <c r="H880" s="5" t="inlineStr">
        <is>
          <t>High</t>
        </is>
      </c>
      <c r="I880" t="inlineStr"/>
      <c r="J880" t="inlineStr">
        <is>
          <t>Not Started</t>
        </is>
      </c>
      <c r="K880" t="inlineStr"/>
      <c r="L880" t="inlineStr"/>
      <c r="M880" t="inlineStr"/>
      <c r="N880" t="inlineStr"/>
      <c r="O880" t="inlineStr"/>
      <c r="P880" t="inlineStr"/>
      <c r="Q880" t="inlineStr"/>
      <c r="R880" t="inlineStr"/>
      <c r="S880" t="inlineStr"/>
    </row>
    <row r="881">
      <c r="A881" t="inlineStr">
        <is>
          <t>REQ-00946</t>
        </is>
      </c>
      <c r="B881" s="13" t="inlineStr">
        <is>
          <t>5.2.3 The Contractor shall train and provide on-prem support to the Space C2 Hardware as a 
Service (HaaS) team.</t>
        </is>
      </c>
      <c r="C881" t="inlineStr">
        <is>
          <t>C</t>
        </is>
      </c>
      <c r="D881" t="inlineStr"/>
      <c r="E881" t="inlineStr"/>
      <c r="F881" t="inlineStr">
        <is>
          <t>Technical Requirement</t>
        </is>
      </c>
      <c r="G881" s="8" t="inlineStr">
        <is>
          <t>Mandatory</t>
        </is>
      </c>
      <c r="H881" s="5" t="inlineStr">
        <is>
          <t>High</t>
        </is>
      </c>
      <c r="I881" t="inlineStr"/>
      <c r="J881" t="inlineStr">
        <is>
          <t>Not Started</t>
        </is>
      </c>
      <c r="K881" t="inlineStr"/>
      <c r="L881" t="inlineStr"/>
      <c r="M881" t="inlineStr"/>
      <c r="N881" t="inlineStr"/>
      <c r="O881" t="inlineStr"/>
      <c r="P881" t="inlineStr"/>
      <c r="Q881" t="inlineStr"/>
      <c r="R881" t="inlineStr"/>
      <c r="S881" t="inlineStr"/>
    </row>
    <row r="882">
      <c r="A882" t="inlineStr">
        <is>
          <t>REQ-00947</t>
        </is>
      </c>
      <c r="B882" s="13" t="inlineStr">
        <is>
          <t>5.2.4 The Contractor shall deliver hands-on expertise and configuration as well as maintain 
admin and super user accounts for each.</t>
        </is>
      </c>
      <c r="C882" t="inlineStr">
        <is>
          <t>C</t>
        </is>
      </c>
      <c r="D882" t="inlineStr"/>
      <c r="E882" t="inlineStr"/>
      <c r="F882" t="inlineStr">
        <is>
          <t>Technical Requirement</t>
        </is>
      </c>
      <c r="G882" s="8" t="inlineStr">
        <is>
          <t>Mandatory</t>
        </is>
      </c>
      <c r="H882" s="5" t="inlineStr">
        <is>
          <t>High</t>
        </is>
      </c>
      <c r="I882" t="inlineStr"/>
      <c r="J882" t="inlineStr">
        <is>
          <t>Not Started</t>
        </is>
      </c>
      <c r="K882" t="inlineStr"/>
      <c r="L882" t="inlineStr"/>
      <c r="M882" t="inlineStr"/>
      <c r="N882" t="inlineStr"/>
      <c r="O882" t="inlineStr"/>
      <c r="P882" t="inlineStr"/>
      <c r="Q882" t="inlineStr"/>
      <c r="R882" t="inlineStr"/>
      <c r="S882" t="inlineStr"/>
    </row>
    <row r="883">
      <c r="A883" t="inlineStr">
        <is>
          <t>REQ-00948</t>
        </is>
      </c>
      <c r="B883" s="13" t="inlineStr">
        <is>
          <t>5.2.5 The Contractor shall ensure each of the items are properly documented, configuration 
controlled through Space C2 CMB process, and up to date with security relevant 
software/firmware upgrades.</t>
        </is>
      </c>
      <c r="C883" t="inlineStr">
        <is>
          <t>C</t>
        </is>
      </c>
      <c r="D883" t="inlineStr"/>
      <c r="E883" t="inlineStr"/>
      <c r="F883" t="inlineStr">
        <is>
          <t>Technical Requirement</t>
        </is>
      </c>
      <c r="G883" s="8" t="inlineStr">
        <is>
          <t>Mandatory</t>
        </is>
      </c>
      <c r="H883" s="5" t="inlineStr">
        <is>
          <t>High</t>
        </is>
      </c>
      <c r="I883" t="inlineStr"/>
      <c r="J883" t="inlineStr">
        <is>
          <t>Not Started</t>
        </is>
      </c>
      <c r="K883" t="inlineStr"/>
      <c r="L883" t="inlineStr"/>
      <c r="M883" t="inlineStr"/>
      <c r="N883" t="inlineStr"/>
      <c r="O883" t="inlineStr"/>
      <c r="P883" t="inlineStr"/>
      <c r="Q883" t="inlineStr"/>
      <c r="R883" t="inlineStr"/>
      <c r="S883" t="inlineStr"/>
    </row>
    <row r="884">
      <c r="A884" t="inlineStr">
        <is>
          <t>REQ-00949</t>
        </is>
      </c>
      <c r="B884" s="13" t="inlineStr">
        <is>
          <t>5.2.6 The Contractor shall conduct and support system level troubleshooting and fault 
isolation.</t>
        </is>
      </c>
      <c r="C884" t="inlineStr">
        <is>
          <t>C</t>
        </is>
      </c>
      <c r="D884" t="inlineStr"/>
      <c r="E884" t="inlineStr"/>
      <c r="F884" t="inlineStr">
        <is>
          <t>Technical Requirement</t>
        </is>
      </c>
      <c r="G884" s="8" t="inlineStr">
        <is>
          <t>Mandatory</t>
        </is>
      </c>
      <c r="H884" s="5" t="inlineStr">
        <is>
          <t>High</t>
        </is>
      </c>
      <c r="I884" t="inlineStr"/>
      <c r="J884" t="inlineStr">
        <is>
          <t>Not Started</t>
        </is>
      </c>
      <c r="K884" t="inlineStr"/>
      <c r="L884" t="inlineStr"/>
      <c r="M884" t="inlineStr"/>
      <c r="N884" t="inlineStr"/>
      <c r="O884" t="inlineStr"/>
      <c r="P884" t="inlineStr"/>
      <c r="Q884" t="inlineStr"/>
      <c r="R884" t="inlineStr"/>
      <c r="S884" t="inlineStr"/>
    </row>
    <row r="885">
      <c r="A885" t="inlineStr">
        <is>
          <t>REQ-00950</t>
        </is>
      </c>
      <c r="B885" s="13" t="inlineStr">
        <is>
          <t>5.2.7 The Contractor shall maintain an operational relevant spare posture for on-prem 
infrastructure.</t>
        </is>
      </c>
      <c r="C885" t="inlineStr">
        <is>
          <t>C</t>
        </is>
      </c>
      <c r="D885" t="inlineStr"/>
      <c r="E885" t="inlineStr"/>
      <c r="F885" t="inlineStr">
        <is>
          <t>Technical Requirement</t>
        </is>
      </c>
      <c r="G885" s="8" t="inlineStr">
        <is>
          <t>Mandatory</t>
        </is>
      </c>
      <c r="H885" s="5" t="inlineStr">
        <is>
          <t>High</t>
        </is>
      </c>
      <c r="I885" t="inlineStr"/>
      <c r="J885" t="inlineStr">
        <is>
          <t>Not Started</t>
        </is>
      </c>
      <c r="K885" t="inlineStr"/>
      <c r="L885" t="inlineStr"/>
      <c r="M885" t="inlineStr"/>
      <c r="N885" t="inlineStr"/>
      <c r="O885" t="inlineStr"/>
      <c r="P885" t="inlineStr"/>
      <c r="Q885" t="inlineStr"/>
      <c r="R885" t="inlineStr"/>
      <c r="S885" t="inlineStr"/>
    </row>
    <row r="886">
      <c r="A886" t="inlineStr">
        <is>
          <t>REQ-00951</t>
        </is>
      </c>
      <c r="B886" s="13" t="inlineStr">
        <is>
          <t>5.2.8 The Contractor shall manage software licenses and warranties required to run and 
support all on-prem infrastructure. This includes managing license and certificate 
expirations, ensuring that expiration dates are not hit.</t>
        </is>
      </c>
      <c r="C886" t="inlineStr">
        <is>
          <t>C</t>
        </is>
      </c>
      <c r="D886" t="inlineStr"/>
      <c r="E886" t="inlineStr"/>
      <c r="F886" t="inlineStr">
        <is>
          <t>Technical Requirement</t>
        </is>
      </c>
      <c r="G886" s="8" t="inlineStr">
        <is>
          <t>Mandatory</t>
        </is>
      </c>
      <c r="H886" s="5" t="inlineStr">
        <is>
          <t>High</t>
        </is>
      </c>
      <c r="I886" t="inlineStr"/>
      <c r="J886" t="inlineStr">
        <is>
          <t>Not Started</t>
        </is>
      </c>
      <c r="K886" t="inlineStr"/>
      <c r="L886" t="inlineStr"/>
      <c r="M886" t="inlineStr"/>
      <c r="N886" t="inlineStr"/>
      <c r="O886" t="inlineStr"/>
      <c r="P886" t="inlineStr"/>
      <c r="Q886" t="inlineStr"/>
      <c r="R886" t="inlineStr"/>
      <c r="S886" t="inlineStr"/>
    </row>
    <row r="887">
      <c r="A887" t="inlineStr">
        <is>
          <t>REQ-00952</t>
        </is>
      </c>
      <c r="B887" s="13" t="inlineStr">
        <is>
          <t>5.2.9 The Contractor shall coordinate with Base IT, Infrastructure Teams, the SPO, and other 
relevant organizations for connections and approvals for changes.</t>
        </is>
      </c>
      <c r="C887" t="inlineStr">
        <is>
          <t>C</t>
        </is>
      </c>
      <c r="D887" t="inlineStr"/>
      <c r="E887" t="inlineStr"/>
      <c r="F887" t="inlineStr">
        <is>
          <t>Technical Requirement</t>
        </is>
      </c>
      <c r="G887" s="8" t="inlineStr">
        <is>
          <t>Mandatory</t>
        </is>
      </c>
      <c r="H887" s="5" t="inlineStr">
        <is>
          <t>High</t>
        </is>
      </c>
      <c r="I887" t="inlineStr"/>
      <c r="J887" t="inlineStr">
        <is>
          <t>Not Started</t>
        </is>
      </c>
      <c r="K887" t="inlineStr"/>
      <c r="L887" t="inlineStr"/>
      <c r="M887" t="inlineStr"/>
      <c r="N887" t="inlineStr"/>
      <c r="O887" t="inlineStr"/>
      <c r="P887" t="inlineStr"/>
      <c r="Q887" t="inlineStr"/>
      <c r="R887" t="inlineStr"/>
      <c r="S887" t="inlineStr"/>
    </row>
    <row r="888">
      <c r="A888" t="inlineStr">
        <is>
          <t>REQ-00953</t>
        </is>
      </c>
      <c r="B888" s="13" t="inlineStr">
        <is>
          <t>5.2.10 The Contractor shall participate in local area and Space C2 change boards when they 
impact or have the potential to impact Space C2 efforts. 
DRAFT</t>
        </is>
      </c>
      <c r="C888" t="inlineStr">
        <is>
          <t>C</t>
        </is>
      </c>
      <c r="D888" t="inlineStr"/>
      <c r="E888" t="inlineStr"/>
      <c r="F888" t="inlineStr">
        <is>
          <t>Technical Requirement</t>
        </is>
      </c>
      <c r="G888" s="8" t="inlineStr">
        <is>
          <t>Mandatory</t>
        </is>
      </c>
      <c r="H888" s="5" t="inlineStr">
        <is>
          <t>High</t>
        </is>
      </c>
      <c r="I888" t="inlineStr"/>
      <c r="J888" t="inlineStr">
        <is>
          <t>Not Started</t>
        </is>
      </c>
      <c r="K888" t="inlineStr"/>
      <c r="L888" t="inlineStr"/>
      <c r="M888" t="inlineStr"/>
      <c r="N888" t="inlineStr"/>
      <c r="O888" t="inlineStr"/>
      <c r="P888" t="inlineStr"/>
      <c r="Q888" t="inlineStr"/>
      <c r="R888" t="inlineStr"/>
      <c r="S888" t="inlineStr"/>
    </row>
    <row r="889">
      <c r="A889" t="inlineStr">
        <is>
          <t>REQ-00954</t>
        </is>
      </c>
      <c r="B889" s="13" t="inlineStr">
        <is>
          <t>5.2.11 The Contractor shall coordinate and support the execution of various cybersecurity 
analyses to include both hands-on vulnerability tests as well as passive cyber analyses.</t>
        </is>
      </c>
      <c r="C889" t="inlineStr">
        <is>
          <t>C</t>
        </is>
      </c>
      <c r="D889" t="inlineStr"/>
      <c r="E889" t="inlineStr"/>
      <c r="F889" t="inlineStr">
        <is>
          <t>Technical Requirement</t>
        </is>
      </c>
      <c r="G889" s="8" t="inlineStr">
        <is>
          <t>Mandatory</t>
        </is>
      </c>
      <c r="H889" s="5" t="inlineStr">
        <is>
          <t>High</t>
        </is>
      </c>
      <c r="I889" t="inlineStr"/>
      <c r="J889" t="inlineStr">
        <is>
          <t>Not Started</t>
        </is>
      </c>
      <c r="K889" t="inlineStr"/>
      <c r="L889" t="inlineStr"/>
      <c r="M889" t="inlineStr"/>
      <c r="N889" t="inlineStr"/>
      <c r="O889" t="inlineStr"/>
      <c r="P889" t="inlineStr"/>
      <c r="Q889" t="inlineStr"/>
      <c r="R889" t="inlineStr"/>
      <c r="S889" t="inlineStr"/>
    </row>
    <row r="890">
      <c r="A890" t="inlineStr">
        <is>
          <t>REQ-00955</t>
        </is>
      </c>
      <c r="B890" s="13" t="inlineStr">
        <is>
          <t>5.2.12 The Contractor shall maintain appropriate on-prem expertise to complete all urgent and 
non-urgent tasking to include on-boarding and training new members of the team.</t>
        </is>
      </c>
      <c r="C890" t="inlineStr">
        <is>
          <t>C</t>
        </is>
      </c>
      <c r="D890" t="inlineStr"/>
      <c r="E890" t="inlineStr"/>
      <c r="F890" t="inlineStr">
        <is>
          <t>Technical Requirement</t>
        </is>
      </c>
      <c r="G890" s="8" t="inlineStr">
        <is>
          <t>Mandatory</t>
        </is>
      </c>
      <c r="H890" s="5" t="inlineStr">
        <is>
          <t>High</t>
        </is>
      </c>
      <c r="I890" t="inlineStr"/>
      <c r="J890" t="inlineStr">
        <is>
          <t>Not Started</t>
        </is>
      </c>
      <c r="K890" t="inlineStr"/>
      <c r="L890" t="inlineStr"/>
      <c r="M890" t="inlineStr"/>
      <c r="N890" t="inlineStr"/>
      <c r="O890" t="inlineStr"/>
      <c r="P890" t="inlineStr"/>
      <c r="Q890" t="inlineStr"/>
      <c r="R890" t="inlineStr"/>
      <c r="S890" t="inlineStr"/>
    </row>
    <row r="891">
      <c r="A891" t="inlineStr">
        <is>
          <t>REQ-00956</t>
        </is>
      </c>
      <c r="B891" s="13" t="inlineStr">
        <is>
          <t>5.2.13 The Contractor shall work with the SPO and HaaS teams to determine and prioritize 
tasking.</t>
        </is>
      </c>
      <c r="C891" t="inlineStr">
        <is>
          <t>C</t>
        </is>
      </c>
      <c r="D891" t="inlineStr"/>
      <c r="E891" t="inlineStr"/>
      <c r="F891" t="inlineStr">
        <is>
          <t>Technical Requirement</t>
        </is>
      </c>
      <c r="G891" s="8" t="inlineStr">
        <is>
          <t>Mandatory</t>
        </is>
      </c>
      <c r="H891" s="5" t="inlineStr">
        <is>
          <t>High</t>
        </is>
      </c>
      <c r="I891" t="inlineStr"/>
      <c r="J891" t="inlineStr">
        <is>
          <t>Not Started</t>
        </is>
      </c>
      <c r="K891" t="inlineStr"/>
      <c r="L891" t="inlineStr"/>
      <c r="M891" t="inlineStr"/>
      <c r="N891" t="inlineStr"/>
      <c r="O891" t="inlineStr"/>
      <c r="P891" t="inlineStr"/>
      <c r="Q891" t="inlineStr"/>
      <c r="R891" t="inlineStr"/>
      <c r="S891" t="inlineStr"/>
    </row>
    <row r="892">
      <c r="A892" t="inlineStr">
        <is>
          <t>REQ-00957</t>
        </is>
      </c>
      <c r="B892" s="13" t="inlineStr">
        <is>
          <t>5.2.14 The Contractor shall inform the SPO and HaaS teams in a timely manner for high-risk 
tasks or those to which the on-prem team does not have the full scope or skills required 
to complete the task safely and efficiently.</t>
        </is>
      </c>
      <c r="C892" t="inlineStr">
        <is>
          <t>C</t>
        </is>
      </c>
      <c r="D892" t="inlineStr"/>
      <c r="E892" t="inlineStr"/>
      <c r="F892" t="inlineStr">
        <is>
          <t>Technical Requirement</t>
        </is>
      </c>
      <c r="G892" s="8" t="inlineStr">
        <is>
          <t>Mandatory</t>
        </is>
      </c>
      <c r="H892" s="5" t="inlineStr">
        <is>
          <t>High</t>
        </is>
      </c>
      <c r="I892" t="inlineStr"/>
      <c r="J892" t="inlineStr">
        <is>
          <t>Not Started</t>
        </is>
      </c>
      <c r="K892" t="inlineStr"/>
      <c r="L892" t="inlineStr"/>
      <c r="M892" t="inlineStr"/>
      <c r="N892" t="inlineStr"/>
      <c r="O892" t="inlineStr"/>
      <c r="P892" t="inlineStr"/>
      <c r="Q892" t="inlineStr"/>
      <c r="R892" t="inlineStr"/>
      <c r="S892" t="inlineStr"/>
    </row>
    <row r="893">
      <c r="A893" t="inlineStr">
        <is>
          <t>REQ-00958</t>
        </is>
      </c>
      <c r="B893" s="13" t="inlineStr">
        <is>
          <t>5.3.1 The Contractor shall serve as an extension of Space C2 teams, acting as a standalone 
service desk to users during regular hours.</t>
        </is>
      </c>
      <c r="C893" t="inlineStr">
        <is>
          <t>C</t>
        </is>
      </c>
      <c r="D893" t="inlineStr"/>
      <c r="E893" t="inlineStr"/>
      <c r="F893" t="inlineStr">
        <is>
          <t>Technical Requirement</t>
        </is>
      </c>
      <c r="G893" s="8" t="inlineStr">
        <is>
          <t>Mandatory</t>
        </is>
      </c>
      <c r="H893" s="5" t="inlineStr">
        <is>
          <t>High</t>
        </is>
      </c>
      <c r="I893" t="inlineStr"/>
      <c r="J893" t="inlineStr">
        <is>
          <t>Not Started</t>
        </is>
      </c>
      <c r="K893" t="inlineStr"/>
      <c r="L893" t="inlineStr"/>
      <c r="M893" t="inlineStr"/>
      <c r="N893" t="inlineStr"/>
      <c r="O893" t="inlineStr"/>
      <c r="P893" t="inlineStr"/>
      <c r="Q893" t="inlineStr"/>
      <c r="R893" t="inlineStr"/>
      <c r="S893" t="inlineStr"/>
    </row>
    <row r="894">
      <c r="A894" t="inlineStr">
        <is>
          <t>REQ-00959</t>
        </is>
      </c>
      <c r="B894" s="13" t="inlineStr">
        <is>
          <t>5.3.2 The Contractor shall assist with access and visit requests to the facility with Government 
coordination and approval.</t>
        </is>
      </c>
      <c r="C894" t="inlineStr">
        <is>
          <t>C</t>
        </is>
      </c>
      <c r="D894" t="inlineStr"/>
      <c r="E894" t="inlineStr"/>
      <c r="F894" t="inlineStr">
        <is>
          <t>Technical Requirement</t>
        </is>
      </c>
      <c r="G894" s="8" t="inlineStr">
        <is>
          <t>Mandatory</t>
        </is>
      </c>
      <c r="H894" s="5" t="inlineStr">
        <is>
          <t>High</t>
        </is>
      </c>
      <c r="I894" t="inlineStr"/>
      <c r="J894" t="inlineStr">
        <is>
          <t>Not Started</t>
        </is>
      </c>
      <c r="K894" t="inlineStr"/>
      <c r="L894" t="inlineStr"/>
      <c r="M894" t="inlineStr"/>
      <c r="N894" t="inlineStr"/>
      <c r="O894" t="inlineStr"/>
      <c r="P894" t="inlineStr"/>
      <c r="Q894" t="inlineStr"/>
      <c r="R894" t="inlineStr"/>
      <c r="S894" t="inlineStr"/>
    </row>
    <row r="895">
      <c r="A895" t="inlineStr">
        <is>
          <t>REQ-00960</t>
        </is>
      </c>
      <c r="B895" s="13" t="inlineStr">
        <is>
          <t>5.3.3 The Contractor shall perform file transfers from low to high side to support tests and/or 
operations with Government approval.</t>
        </is>
      </c>
      <c r="C895" t="inlineStr">
        <is>
          <t>C</t>
        </is>
      </c>
      <c r="D895" t="inlineStr"/>
      <c r="E895" t="inlineStr"/>
      <c r="F895" t="inlineStr">
        <is>
          <t>Technical Requirement</t>
        </is>
      </c>
      <c r="G895" s="8" t="inlineStr">
        <is>
          <t>Mandatory</t>
        </is>
      </c>
      <c r="H895" s="5" t="inlineStr">
        <is>
          <t>High</t>
        </is>
      </c>
      <c r="I895" t="inlineStr"/>
      <c r="J895" t="inlineStr">
        <is>
          <t>Not Started</t>
        </is>
      </c>
      <c r="K895" t="inlineStr"/>
      <c r="L895" t="inlineStr"/>
      <c r="M895" t="inlineStr"/>
      <c r="N895" t="inlineStr"/>
      <c r="O895" t="inlineStr"/>
      <c r="P895" t="inlineStr"/>
      <c r="Q895" t="inlineStr"/>
      <c r="R895" t="inlineStr"/>
      <c r="S895" t="inlineStr"/>
    </row>
    <row r="896">
      <c r="A896" t="inlineStr">
        <is>
          <t>REQ-00961</t>
        </is>
      </c>
      <c r="B896" s="13" t="inlineStr">
        <is>
          <t>5.3.4 The Contractor shall establish and maintain user accounts and role-based access controls 
(RBAC).</t>
        </is>
      </c>
      <c r="C896" t="inlineStr">
        <is>
          <t>C</t>
        </is>
      </c>
      <c r="D896" t="inlineStr"/>
      <c r="E896" t="inlineStr"/>
      <c r="F896" t="inlineStr">
        <is>
          <t>Technical Requirement</t>
        </is>
      </c>
      <c r="G896" s="8" t="inlineStr">
        <is>
          <t>Mandatory</t>
        </is>
      </c>
      <c r="H896" s="5" t="inlineStr">
        <is>
          <t>High</t>
        </is>
      </c>
      <c r="I896" t="inlineStr"/>
      <c r="J896" t="inlineStr">
        <is>
          <t>Not Started</t>
        </is>
      </c>
      <c r="K896" t="inlineStr"/>
      <c r="L896" t="inlineStr"/>
      <c r="M896" t="inlineStr"/>
      <c r="N896" t="inlineStr"/>
      <c r="O896" t="inlineStr"/>
      <c r="P896" t="inlineStr"/>
      <c r="Q896" t="inlineStr"/>
      <c r="R896" t="inlineStr"/>
      <c r="S896" t="inlineStr"/>
    </row>
    <row r="897">
      <c r="A897" t="inlineStr">
        <is>
          <t>REQ-00962</t>
        </is>
      </c>
      <c r="B897" s="13" t="inlineStr">
        <is>
          <t>5.3.5 The Contractor shall assign, renew, and change account passwords (also discussed in 
Section 4.2). 
6 Placeholder – any MOSSAIC Scope</t>
        </is>
      </c>
      <c r="C897" t="inlineStr">
        <is>
          <t>C</t>
        </is>
      </c>
      <c r="D897" t="inlineStr"/>
      <c r="E897" t="inlineStr"/>
      <c r="F897" t="inlineStr">
        <is>
          <t>Technical Requirement</t>
        </is>
      </c>
      <c r="G897" s="8" t="inlineStr">
        <is>
          <t>Mandatory</t>
        </is>
      </c>
      <c r="H897" s="5" t="inlineStr">
        <is>
          <t>High</t>
        </is>
      </c>
      <c r="I897" t="inlineStr"/>
      <c r="J897" t="inlineStr">
        <is>
          <t>Not Started</t>
        </is>
      </c>
      <c r="K897" t="inlineStr"/>
      <c r="L897" t="inlineStr"/>
      <c r="M897" t="inlineStr"/>
      <c r="N897" t="inlineStr"/>
      <c r="O897" t="inlineStr"/>
      <c r="P897" t="inlineStr"/>
      <c r="Q897" t="inlineStr"/>
      <c r="R897" t="inlineStr"/>
      <c r="S897" t="inlineStr"/>
    </row>
    <row r="898">
      <c r="A898" t="inlineStr">
        <is>
          <t>REQ-00963</t>
        </is>
      </c>
      <c r="B898" s="13" t="inlineStr">
        <is>
          <t>7.1.1 The Contractor shall develop and ensure the successful implementation of a transition-in 
plan and identify dependencies which will require government acceptance.</t>
        </is>
      </c>
      <c r="C898" t="inlineStr">
        <is>
          <t>C</t>
        </is>
      </c>
      <c r="D898" t="inlineStr"/>
      <c r="E898" t="inlineStr"/>
      <c r="F898" t="inlineStr">
        <is>
          <t>Technical Requirement</t>
        </is>
      </c>
      <c r="G898" s="8" t="inlineStr">
        <is>
          <t>Mandatory</t>
        </is>
      </c>
      <c r="H898" s="5" t="inlineStr">
        <is>
          <t>High</t>
        </is>
      </c>
      <c r="I898" t="inlineStr"/>
      <c r="J898" t="inlineStr">
        <is>
          <t>Not Started</t>
        </is>
      </c>
      <c r="K898" t="inlineStr"/>
      <c r="L898" t="inlineStr"/>
      <c r="M898" t="inlineStr"/>
      <c r="N898" t="inlineStr"/>
      <c r="O898" t="inlineStr"/>
      <c r="P898" t="inlineStr"/>
      <c r="Q898" t="inlineStr"/>
      <c r="R898" t="inlineStr"/>
      <c r="S898" t="inlineStr"/>
    </row>
    <row r="899">
      <c r="A899" t="inlineStr">
        <is>
          <t>REQ-00964</t>
        </is>
      </c>
      <c r="B899" s="13" t="inlineStr">
        <is>
          <t>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C899" t="inlineStr">
        <is>
          <t>C</t>
        </is>
      </c>
      <c r="D899" t="inlineStr"/>
      <c r="E899" t="inlineStr"/>
      <c r="F899" t="inlineStr">
        <is>
          <t>Technical Requirement</t>
        </is>
      </c>
      <c r="G899" s="8" t="inlineStr">
        <is>
          <t>Mandatory</t>
        </is>
      </c>
      <c r="H899" s="5" t="inlineStr">
        <is>
          <t>High</t>
        </is>
      </c>
      <c r="I899" t="inlineStr"/>
      <c r="J899" t="inlineStr">
        <is>
          <t>Not Started</t>
        </is>
      </c>
      <c r="K899" t="inlineStr"/>
      <c r="L899" t="inlineStr"/>
      <c r="M899" t="inlineStr"/>
      <c r="N899" t="inlineStr"/>
      <c r="O899" t="inlineStr"/>
      <c r="P899" t="inlineStr"/>
      <c r="Q899" t="inlineStr"/>
      <c r="R899" t="inlineStr"/>
      <c r="S899" t="inlineStr"/>
    </row>
    <row r="900">
      <c r="A900" t="inlineStr">
        <is>
          <t>REQ-00965</t>
        </is>
      </c>
      <c r="B900" s="13" t="inlineStr">
        <is>
          <t>7.1.3 The on-ramp plan shall include how the Contractor shall successfully integrate services 
and products and their respective environments. This includes, but is not limited to 
SDANet, SPARTAN, C2Ops on-prem, and the Space C2 software (i.e., ATLAS, Iris, 
Hyperion clusters).</t>
        </is>
      </c>
      <c r="C900" t="inlineStr">
        <is>
          <t>C</t>
        </is>
      </c>
      <c r="D900" t="inlineStr"/>
      <c r="E900" t="inlineStr"/>
      <c r="F900" t="inlineStr">
        <is>
          <t>Technical Requirement</t>
        </is>
      </c>
      <c r="G900" s="8" t="inlineStr">
        <is>
          <t>Mandatory</t>
        </is>
      </c>
      <c r="H900" s="5" t="inlineStr">
        <is>
          <t>High</t>
        </is>
      </c>
      <c r="I900" t="inlineStr"/>
      <c r="J900" t="inlineStr">
        <is>
          <t>Not Started</t>
        </is>
      </c>
      <c r="K900" t="inlineStr"/>
      <c r="L900" t="inlineStr"/>
      <c r="M900" t="inlineStr"/>
      <c r="N900" t="inlineStr"/>
      <c r="O900" t="inlineStr"/>
      <c r="P900" t="inlineStr"/>
      <c r="Q900" t="inlineStr"/>
      <c r="R900" t="inlineStr"/>
      <c r="S900" t="inlineStr"/>
    </row>
    <row r="901">
      <c r="A901" t="inlineStr">
        <is>
          <t>REQ-00966</t>
        </is>
      </c>
      <c r="B901" s="13" t="inlineStr">
        <is>
          <t>7.1.4 The on-ramp plan shall include the staffing required over time to complete the on-ramp 
and the Contractor’s plan for obtaining the associated staffing profile.</t>
        </is>
      </c>
      <c r="C901" t="inlineStr">
        <is>
          <t>C</t>
        </is>
      </c>
      <c r="D901" t="inlineStr"/>
      <c r="E901" t="inlineStr"/>
      <c r="F901" t="inlineStr">
        <is>
          <t>Technical Requirement</t>
        </is>
      </c>
      <c r="G901" s="8" t="inlineStr">
        <is>
          <t>Mandatory</t>
        </is>
      </c>
      <c r="H901" s="5" t="inlineStr">
        <is>
          <t>High</t>
        </is>
      </c>
      <c r="I901" t="inlineStr"/>
      <c r="J901" t="inlineStr">
        <is>
          <t>Not Started</t>
        </is>
      </c>
      <c r="K901" t="inlineStr"/>
      <c r="L901" t="inlineStr"/>
      <c r="M901" t="inlineStr"/>
      <c r="N901" t="inlineStr"/>
      <c r="O901" t="inlineStr"/>
      <c r="P901" t="inlineStr"/>
      <c r="Q901" t="inlineStr"/>
      <c r="R901" t="inlineStr"/>
      <c r="S901" t="inlineStr"/>
    </row>
    <row r="902">
      <c r="A902" t="inlineStr">
        <is>
          <t>REQ-00967</t>
        </is>
      </c>
      <c r="B902" s="13" t="inlineStr">
        <is>
          <t>7.1.5 The Contractor shall develop and maintain a checklist and schedule of actions that must 
be accomplished by the end of the on-ramp period, not to exceed a 60-day duration.</t>
        </is>
      </c>
      <c r="C902" t="inlineStr">
        <is>
          <t>C</t>
        </is>
      </c>
      <c r="D902" t="inlineStr"/>
      <c r="E902" t="inlineStr"/>
      <c r="F902" t="inlineStr">
        <is>
          <t>Technical Requirement</t>
        </is>
      </c>
      <c r="G902" s="8" t="inlineStr">
        <is>
          <t>Mandatory</t>
        </is>
      </c>
      <c r="H902" s="5" t="inlineStr">
        <is>
          <t>High</t>
        </is>
      </c>
      <c r="I902" t="inlineStr"/>
      <c r="J902" t="inlineStr">
        <is>
          <t>Not Started</t>
        </is>
      </c>
      <c r="K902" t="inlineStr"/>
      <c r="L902" t="inlineStr"/>
      <c r="M902" t="inlineStr"/>
      <c r="N902" t="inlineStr"/>
      <c r="O902" t="inlineStr"/>
      <c r="P902" t="inlineStr"/>
      <c r="Q902" t="inlineStr"/>
      <c r="R902" t="inlineStr"/>
      <c r="S902" t="inlineStr"/>
    </row>
    <row r="903">
      <c r="A903" t="inlineStr">
        <is>
          <t>REQ-00968</t>
        </is>
      </c>
      <c r="B903" s="13" t="inlineStr">
        <is>
          <t>7.1.6 The Contractor shall identify within the first 30 days of the on-ramp period all the 
government property, information, and/or data that the Contractor plans to transition for 
use on this effort.</t>
        </is>
      </c>
      <c r="C903" t="inlineStr">
        <is>
          <t>C</t>
        </is>
      </c>
      <c r="D903" t="inlineStr"/>
      <c r="E903" t="inlineStr"/>
      <c r="F903" t="inlineStr">
        <is>
          <t>Technical Requirement</t>
        </is>
      </c>
      <c r="G903" s="8" t="inlineStr">
        <is>
          <t>Mandatory</t>
        </is>
      </c>
      <c r="H903" s="5" t="inlineStr">
        <is>
          <t>High</t>
        </is>
      </c>
      <c r="I903" t="inlineStr"/>
      <c r="J903" t="inlineStr">
        <is>
          <t>Not Started</t>
        </is>
      </c>
      <c r="K903" t="inlineStr"/>
      <c r="L903" t="inlineStr"/>
      <c r="M903" t="inlineStr"/>
      <c r="N903" t="inlineStr"/>
      <c r="O903" t="inlineStr"/>
      <c r="P903" t="inlineStr"/>
      <c r="Q903" t="inlineStr"/>
      <c r="R903" t="inlineStr"/>
      <c r="S903" t="inlineStr"/>
    </row>
    <row r="904">
      <c r="A904" t="inlineStr">
        <is>
          <t>REQ-00969</t>
        </is>
      </c>
      <c r="B904" s="13" t="inlineStr">
        <is>
          <t>7.1.7 The Contractor shall manage and execute the on-ramp plan to support transition of 
sustainment responsibilities, ensuring mission requirements are met without interruption.</t>
        </is>
      </c>
      <c r="C904" t="inlineStr">
        <is>
          <t>C</t>
        </is>
      </c>
      <c r="D904" t="inlineStr"/>
      <c r="E904" t="inlineStr"/>
      <c r="F904" t="inlineStr">
        <is>
          <t>Technical Requirement</t>
        </is>
      </c>
      <c r="G904" s="8" t="inlineStr">
        <is>
          <t>Mandatory</t>
        </is>
      </c>
      <c r="H904" s="5" t="inlineStr">
        <is>
          <t>High</t>
        </is>
      </c>
      <c r="I904" t="inlineStr"/>
      <c r="J904" t="inlineStr">
        <is>
          <t>Not Started</t>
        </is>
      </c>
      <c r="K904" t="inlineStr"/>
      <c r="L904" t="inlineStr"/>
      <c r="M904" t="inlineStr"/>
      <c r="N904" t="inlineStr"/>
      <c r="O904" t="inlineStr"/>
      <c r="P904" t="inlineStr"/>
      <c r="Q904" t="inlineStr"/>
      <c r="R904" t="inlineStr"/>
      <c r="S904" t="inlineStr"/>
    </row>
    <row r="905">
      <c r="A905" t="inlineStr">
        <is>
          <t>REQ-00970</t>
        </is>
      </c>
      <c r="B905" s="13" t="inlineStr">
        <is>
          <t>7.1.8 The Contractor shall assume management responsibility for all government property, 
information, and/or data identified and approved by the SPO by the end of the on-ramp 
period.</t>
        </is>
      </c>
      <c r="C905" t="inlineStr">
        <is>
          <t>C</t>
        </is>
      </c>
      <c r="D905" t="inlineStr"/>
      <c r="E905" t="inlineStr"/>
      <c r="F905" t="inlineStr">
        <is>
          <t>Technical Requirement</t>
        </is>
      </c>
      <c r="G905" s="8" t="inlineStr">
        <is>
          <t>Mandatory</t>
        </is>
      </c>
      <c r="H905" s="5" t="inlineStr">
        <is>
          <t>High</t>
        </is>
      </c>
      <c r="I905" t="inlineStr"/>
      <c r="J905" t="inlineStr">
        <is>
          <t>Not Started</t>
        </is>
      </c>
      <c r="K905" t="inlineStr"/>
      <c r="L905" t="inlineStr"/>
      <c r="M905" t="inlineStr"/>
      <c r="N905" t="inlineStr"/>
      <c r="O905" t="inlineStr"/>
      <c r="P905" t="inlineStr"/>
      <c r="Q905" t="inlineStr"/>
      <c r="R905" t="inlineStr"/>
      <c r="S905" t="inlineStr"/>
    </row>
    <row r="906">
      <c r="A906" t="inlineStr">
        <is>
          <t>REQ-00971</t>
        </is>
      </c>
      <c r="B906" s="13" t="inlineStr">
        <is>
          <t>7.1.9 The Contractor shall perform an accounting inventory during the on-ramp period to 
transfer equipment accountability.</t>
        </is>
      </c>
      <c r="C906" t="inlineStr">
        <is>
          <t>C</t>
        </is>
      </c>
      <c r="D906" t="inlineStr"/>
      <c r="E906" t="inlineStr"/>
      <c r="F906" t="inlineStr">
        <is>
          <t>Technical Requirement</t>
        </is>
      </c>
      <c r="G906" s="8" t="inlineStr">
        <is>
          <t>Mandatory</t>
        </is>
      </c>
      <c r="H906" s="5" t="inlineStr">
        <is>
          <t>High</t>
        </is>
      </c>
      <c r="I906" t="inlineStr"/>
      <c r="J906" t="inlineStr">
        <is>
          <t>Not Started</t>
        </is>
      </c>
      <c r="K906" t="inlineStr"/>
      <c r="L906" t="inlineStr"/>
      <c r="M906" t="inlineStr"/>
      <c r="N906" t="inlineStr"/>
      <c r="O906" t="inlineStr"/>
      <c r="P906" t="inlineStr"/>
      <c r="Q906" t="inlineStr"/>
      <c r="R906" t="inlineStr"/>
      <c r="S906" t="inlineStr"/>
    </row>
    <row r="907">
      <c r="A907" t="inlineStr">
        <is>
          <t>REQ-00972</t>
        </is>
      </c>
      <c r="B907" s="13" t="inlineStr">
        <is>
          <t>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t>
        </is>
      </c>
      <c r="C907" t="inlineStr">
        <is>
          <t>C</t>
        </is>
      </c>
      <c r="D907" t="inlineStr"/>
      <c r="E907" t="inlineStr"/>
      <c r="F907" t="inlineStr">
        <is>
          <t>Technical Requirement</t>
        </is>
      </c>
      <c r="G907" s="8" t="inlineStr">
        <is>
          <t>Mandatory</t>
        </is>
      </c>
      <c r="H907" s="5" t="inlineStr">
        <is>
          <t>High</t>
        </is>
      </c>
      <c r="I907" t="inlineStr"/>
      <c r="J907" t="inlineStr">
        <is>
          <t>Not Started</t>
        </is>
      </c>
      <c r="K907" t="inlineStr"/>
      <c r="L907" t="inlineStr"/>
      <c r="M907" t="inlineStr"/>
      <c r="N907" t="inlineStr"/>
      <c r="O907" t="inlineStr"/>
      <c r="P907" t="inlineStr"/>
      <c r="Q907" t="inlineStr"/>
      <c r="R907" t="inlineStr"/>
      <c r="S907" t="inlineStr"/>
    </row>
    <row r="908">
      <c r="A908" t="inlineStr">
        <is>
          <t>REQ-00973</t>
        </is>
      </c>
      <c r="B908" s="13" t="inlineStr">
        <is>
          <t>7.1.11 The Contractor shall conduct an initial kick-off meeting and bi-weekly management 
reviews, during the on-ramp period, to provide status of the transition tasks, risks, and 
issues. The Contractor shall conduct more frequent reviews if needed to ensure 
successful completion of all transition tasks needed to support full transference from the 
various incumbents to the 24/7 NOC contract ...</t>
        </is>
      </c>
      <c r="C908" t="inlineStr">
        <is>
          <t>C</t>
        </is>
      </c>
      <c r="D908" t="inlineStr"/>
      <c r="E908" t="inlineStr"/>
      <c r="F908" t="inlineStr">
        <is>
          <t>Technical Requirement</t>
        </is>
      </c>
      <c r="G908" s="8" t="inlineStr">
        <is>
          <t>Mandatory</t>
        </is>
      </c>
      <c r="H908" s="5" t="inlineStr">
        <is>
          <t>High</t>
        </is>
      </c>
      <c r="I908" t="inlineStr"/>
      <c r="J908" t="inlineStr">
        <is>
          <t>Not Started</t>
        </is>
      </c>
      <c r="K908" t="inlineStr"/>
      <c r="L908" t="inlineStr"/>
      <c r="M908" t="inlineStr"/>
      <c r="N908" t="inlineStr"/>
      <c r="O908" t="inlineStr"/>
      <c r="P908" t="inlineStr"/>
      <c r="Q908" t="inlineStr"/>
      <c r="R908" t="inlineStr"/>
      <c r="S908" t="inlineStr"/>
    </row>
    <row r="909">
      <c r="A909" t="inlineStr">
        <is>
          <t>REQ-00974</t>
        </is>
      </c>
      <c r="B909" s="13" t="inlineStr">
        <is>
          <t>7.2.1 The Contractor shall support a transition to a new contract(s) and/or new contractor(s) 
upon period of performance completion. Transition support shall begin up to 6-months 
prior to contract end or as specified by the SPO.</t>
        </is>
      </c>
      <c r="C909" t="inlineStr">
        <is>
          <t>C</t>
        </is>
      </c>
      <c r="D909" t="inlineStr"/>
      <c r="E909" t="inlineStr"/>
      <c r="F909" t="inlineStr">
        <is>
          <t>Technical Requirement</t>
        </is>
      </c>
      <c r="G909" s="8" t="inlineStr">
        <is>
          <t>Mandatory</t>
        </is>
      </c>
      <c r="H909" s="5" t="inlineStr">
        <is>
          <t>High</t>
        </is>
      </c>
      <c r="I909" t="inlineStr"/>
      <c r="J909" t="inlineStr">
        <is>
          <t>Not Started</t>
        </is>
      </c>
      <c r="K909" t="inlineStr"/>
      <c r="L909" t="inlineStr"/>
      <c r="M909" t="inlineStr"/>
      <c r="N909" t="inlineStr"/>
      <c r="O909" t="inlineStr"/>
      <c r="P909" t="inlineStr"/>
      <c r="Q909" t="inlineStr"/>
      <c r="R909" t="inlineStr"/>
      <c r="S909" t="inlineStr"/>
    </row>
    <row r="910">
      <c r="A910" t="inlineStr">
        <is>
          <t>REQ-00975</t>
        </is>
      </c>
      <c r="B910" s="13" t="inlineStr">
        <is>
          <t>7.2.2 The Contractor shall ensure the successful implementation of a transition plan and 
identify dependencies which will require government acceptance.</t>
        </is>
      </c>
      <c r="C910" t="inlineStr">
        <is>
          <t>C</t>
        </is>
      </c>
      <c r="D910" t="inlineStr"/>
      <c r="E910" t="inlineStr"/>
      <c r="F910" t="inlineStr">
        <is>
          <t>Technical Requirement</t>
        </is>
      </c>
      <c r="G910" s="8" t="inlineStr">
        <is>
          <t>Mandatory</t>
        </is>
      </c>
      <c r="H910" s="5" t="inlineStr">
        <is>
          <t>High</t>
        </is>
      </c>
      <c r="I910" t="inlineStr"/>
      <c r="J910" t="inlineStr">
        <is>
          <t>Not Started</t>
        </is>
      </c>
      <c r="K910" t="inlineStr"/>
      <c r="L910" t="inlineStr"/>
      <c r="M910" t="inlineStr"/>
      <c r="N910" t="inlineStr"/>
      <c r="O910" t="inlineStr"/>
      <c r="P910" t="inlineStr"/>
      <c r="Q910" t="inlineStr"/>
      <c r="R910" t="inlineStr"/>
      <c r="S910" t="inlineStr"/>
    </row>
    <row r="911">
      <c r="A911" t="inlineStr">
        <is>
          <t>REQ-00976</t>
        </is>
      </c>
      <c r="B911" s="13" t="inlineStr">
        <is>
          <t>7.2.3 The transition plan shall ensure the successful transfer of responsibility for the total 
contract scope, or alternative sub-scope as specified by the SPO. Transfer of 
DRAFT</t>
        </is>
      </c>
      <c r="C911" t="inlineStr">
        <is>
          <t>C</t>
        </is>
      </c>
      <c r="D911" t="inlineStr"/>
      <c r="E911" t="inlineStr"/>
      <c r="F911" t="inlineStr">
        <is>
          <t>Technical Requirement</t>
        </is>
      </c>
      <c r="G911" s="8" t="inlineStr">
        <is>
          <t>Mandatory</t>
        </is>
      </c>
      <c r="H911" s="5" t="inlineStr">
        <is>
          <t>High</t>
        </is>
      </c>
      <c r="I911" t="inlineStr"/>
      <c r="J911" t="inlineStr">
        <is>
          <t>Not Started</t>
        </is>
      </c>
      <c r="K911" t="inlineStr"/>
      <c r="L911" t="inlineStr"/>
      <c r="M911" t="inlineStr"/>
      <c r="N911" t="inlineStr"/>
      <c r="O911" t="inlineStr"/>
      <c r="P911" t="inlineStr"/>
      <c r="Q911" t="inlineStr"/>
      <c r="R911" t="inlineStr"/>
      <c r="S911" t="inlineStr"/>
    </row>
    <row r="912">
      <c r="A912" t="inlineStr">
        <is>
          <t>REQ-00977</t>
        </is>
      </c>
      <c r="B912" s="13" t="inlineStr">
        <is>
          <t>CUI 
 CUI 21  
responsibility includes ensuring the successful integration of services and products and 
their respective environments.</t>
        </is>
      </c>
      <c r="C912" t="inlineStr">
        <is>
          <t>C</t>
        </is>
      </c>
      <c r="D912" t="inlineStr"/>
      <c r="E912" t="inlineStr"/>
      <c r="F912" t="inlineStr">
        <is>
          <t>Technical Requirement</t>
        </is>
      </c>
      <c r="G912" s="9" t="inlineStr">
        <is>
          <t>Desirable</t>
        </is>
      </c>
      <c r="H912" s="6" t="inlineStr">
        <is>
          <t>Medium</t>
        </is>
      </c>
      <c r="I912" t="inlineStr"/>
      <c r="J912" t="inlineStr">
        <is>
          <t>Not Started</t>
        </is>
      </c>
      <c r="K912" t="inlineStr"/>
      <c r="L912" t="inlineStr"/>
      <c r="M912" t="inlineStr"/>
      <c r="N912" t="inlineStr"/>
      <c r="O912" t="inlineStr"/>
      <c r="P912" t="inlineStr"/>
      <c r="Q912" t="inlineStr"/>
      <c r="R912" t="inlineStr"/>
      <c r="S912" t="inlineStr"/>
    </row>
    <row r="913">
      <c r="A913" t="inlineStr">
        <is>
          <t>REQ-00978</t>
        </is>
      </c>
      <c r="B913" s="13" t="inlineStr">
        <is>
          <t>7.2.4 The Contractor shall manage and execute the transition, ensuring mission requirements 
are met without interruption. 
DRAFT</t>
        </is>
      </c>
      <c r="C913" t="inlineStr">
        <is>
          <t>C</t>
        </is>
      </c>
      <c r="D913" t="inlineStr"/>
      <c r="E913" t="inlineStr"/>
      <c r="F913" t="inlineStr">
        <is>
          <t>Technical Requirement</t>
        </is>
      </c>
      <c r="G913" s="8" t="inlineStr">
        <is>
          <t>Mandatory</t>
        </is>
      </c>
      <c r="H913" s="5" t="inlineStr">
        <is>
          <t>High</t>
        </is>
      </c>
      <c r="I913" t="inlineStr"/>
      <c r="J913" t="inlineStr">
        <is>
          <t>Not Started</t>
        </is>
      </c>
      <c r="K913" t="inlineStr"/>
      <c r="L913" t="inlineStr"/>
      <c r="M913" t="inlineStr"/>
      <c r="N913" t="inlineStr"/>
      <c r="O913" t="inlineStr"/>
      <c r="P913" t="inlineStr"/>
      <c r="Q913" t="inlineStr"/>
      <c r="R913" t="inlineStr"/>
      <c r="S913" t="inlineStr"/>
    </row>
  </sheetData>
  <dataValidations count="3">
    <dataValidation sqref="J2:J913" showDropDown="0" showInputMessage="0" showErrorMessage="0" allowBlank="1" errorTitle="Invalid Status" error="Please select from the list" type="list">
      <formula1>"Not Started,In Progress,Fully Compliant,Partial,Non-Compliant,N/A - Clarification Needed,Needs Clarification"</formula1>
    </dataValidation>
    <dataValidation sqref="G2:G913" showDropDown="0" showInputMessage="0" showErrorMessage="0" allowBlank="1" type="list">
      <formula1>"Mandatory,Desirable"</formula1>
    </dataValidation>
    <dataValidation sqref="H2:H913" showDropDown="0" showInputMessage="0" showErrorMessage="0" allowBlank="1"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2" customWidth="1" min="3" max="3"/>
    <col width="12" customWidth="1" min="4" max="4"/>
    <col width="15" customWidth="1" min="5" max="5"/>
    <col width="15" customWidth="1" min="6" max="6"/>
    <col width="25" customWidth="1" min="7" max="7"/>
    <col width="25" customWidth="1" min="8" max="8"/>
    <col width="25" customWidth="1" min="9" max="9"/>
  </cols>
  <sheetData>
    <row r="1">
      <c r="A1" s="14" t="inlineStr">
        <is>
          <t>Req ID</t>
        </is>
      </c>
      <c r="B1" s="14" t="inlineStr">
        <is>
          <t>Requirement</t>
        </is>
      </c>
      <c r="C1" s="14" t="inlineStr">
        <is>
          <t>Section</t>
        </is>
      </c>
      <c r="D1" s="14" t="inlineStr">
        <is>
          <t>Mandatory?</t>
        </is>
      </c>
      <c r="E1" s="14" t="inlineStr">
        <is>
          <t>Status</t>
        </is>
      </c>
      <c r="F1" s="14" t="inlineStr">
        <is>
          <t>Owner</t>
        </is>
      </c>
      <c r="G1" s="14" t="inlineStr">
        <is>
          <t>Win Theme</t>
        </is>
      </c>
      <c r="H1" s="14" t="inlineStr">
        <is>
          <t>Proof Point</t>
        </is>
      </c>
      <c r="I1" s="14" t="inlineStr">
        <is>
          <t>Risk</t>
        </is>
      </c>
    </row>
    <row r="2">
      <c r="A2" t="inlineStr">
        <is>
          <t>REQ-00011</t>
        </is>
      </c>
      <c r="B2" t="inlineStr">
        <is>
          <t>3.4  Identification of corporate OCI-related policies and procedures (policies and 
procedures shall be attached to the OCI Plan).</t>
        </is>
      </c>
      <c r="C2" t="inlineStr">
        <is>
          <t>C</t>
        </is>
      </c>
      <c r="D2" s="8" t="inlineStr">
        <is>
          <t>Yes</t>
        </is>
      </c>
      <c r="E2" t="inlineStr">
        <is>
          <t>Not Started</t>
        </is>
      </c>
      <c r="F2" t="inlineStr"/>
      <c r="G2" t="inlineStr"/>
      <c r="H2" t="inlineStr"/>
      <c r="I2" t="inlineStr"/>
    </row>
    <row r="3">
      <c r="A3" t="inlineStr">
        <is>
          <t>REQ-00013</t>
        </is>
      </c>
      <c r="B3" t="inlineStr">
        <is>
          <t>3.6 Commitment to flow OCI Plan requirements down to all teammates and 
subcontractors.  Only those teammates and subcontractors who have committed to 
the Contractor’s OCI Plan in writing or provided an OCI Plan of their own shall 
be allowed to commence work on this contract.</t>
        </is>
      </c>
      <c r="C3" t="inlineStr">
        <is>
          <t>C</t>
        </is>
      </c>
      <c r="D3" s="8" t="inlineStr">
        <is>
          <t>Yes</t>
        </is>
      </c>
      <c r="E3" t="inlineStr">
        <is>
          <t>Not Started</t>
        </is>
      </c>
      <c r="F3" t="inlineStr"/>
      <c r="G3" t="inlineStr"/>
      <c r="H3" t="inlineStr"/>
      <c r="I3" t="inlineStr"/>
    </row>
    <row r="4">
      <c r="A4" t="inlineStr">
        <is>
          <t>REQ-00014</t>
        </is>
      </c>
      <c r="B4"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t>
        </is>
      </c>
      <c r="C4" t="inlineStr">
        <is>
          <t>C</t>
        </is>
      </c>
      <c r="D4" s="8" t="inlineStr">
        <is>
          <t>Yes</t>
        </is>
      </c>
      <c r="E4" t="inlineStr">
        <is>
          <t>Not Started</t>
        </is>
      </c>
      <c r="F4" t="inlineStr"/>
      <c r="G4" t="inlineStr"/>
      <c r="H4" t="inlineStr"/>
      <c r="I4" t="inlineStr"/>
    </row>
    <row r="5">
      <c r="A5" t="inlineStr">
        <is>
          <t>REQ-00015</t>
        </is>
      </c>
      <c r="B5"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t>
        </is>
      </c>
      <c r="C5" t="inlineStr">
        <is>
          <t>C</t>
        </is>
      </c>
      <c r="D5" s="8" t="inlineStr">
        <is>
          <t>Yes</t>
        </is>
      </c>
      <c r="E5" t="inlineStr">
        <is>
          <t>Not Started</t>
        </is>
      </c>
      <c r="F5" t="inlineStr"/>
      <c r="G5" t="inlineStr"/>
      <c r="H5" t="inlineStr"/>
      <c r="I5" t="inlineStr"/>
    </row>
    <row r="6">
      <c r="A6" t="inlineStr">
        <is>
          <t>REQ-00016</t>
        </is>
      </c>
      <c r="B6" t="inlineStr">
        <is>
          <t>2 
violation.  After conducting further inquiries and discussions as may be necessary, 
the Contracting Officer and the contractor shall agree on appropriate corrective 
action, if any. 
4 OCI Training</t>
        </is>
      </c>
      <c r="C6" t="inlineStr">
        <is>
          <t>C</t>
        </is>
      </c>
      <c r="D6" s="8" t="inlineStr">
        <is>
          <t>Yes</t>
        </is>
      </c>
      <c r="E6" t="inlineStr">
        <is>
          <t>Not Started</t>
        </is>
      </c>
      <c r="F6" t="inlineStr"/>
      <c r="G6" t="inlineStr"/>
      <c r="H6" t="inlineStr"/>
      <c r="I6" t="inlineStr"/>
    </row>
    <row r="7">
      <c r="A7" t="inlineStr">
        <is>
          <t>REQ-00034</t>
        </is>
      </c>
      <c r="B7" t="inlineStr">
        <is>
          <t>7.3 If OCI situation is one of biased ground rules or impaired objectivity, avoidance 
or mitigation techniques shall involve more than firewalls.</t>
        </is>
      </c>
      <c r="C7" t="inlineStr">
        <is>
          <t>C</t>
        </is>
      </c>
      <c r="D7" s="8" t="inlineStr">
        <is>
          <t>Yes</t>
        </is>
      </c>
      <c r="E7" t="inlineStr">
        <is>
          <t>Not Started</t>
        </is>
      </c>
      <c r="F7" t="inlineStr"/>
      <c r="G7" t="inlineStr"/>
      <c r="H7" t="inlineStr"/>
      <c r="I7" t="inlineStr"/>
    </row>
    <row r="8">
      <c r="A8" t="inlineStr">
        <is>
          <t>REQ-00045</t>
        </is>
      </c>
      <c r="B8"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t>
        </is>
      </c>
      <c r="C8" t="inlineStr">
        <is>
          <t>L</t>
        </is>
      </c>
      <c r="D8" s="8" t="inlineStr">
        <is>
          <t>Yes</t>
        </is>
      </c>
      <c r="E8" t="inlineStr">
        <is>
          <t>Not Started</t>
        </is>
      </c>
      <c r="F8" t="inlineStr"/>
      <c r="G8" t="inlineStr"/>
      <c r="H8" t="inlineStr"/>
      <c r="I8" t="inlineStr"/>
    </row>
    <row r="9">
      <c r="A9" t="inlineStr">
        <is>
          <t>REQ-00050</t>
        </is>
      </c>
      <c r="B9"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9" t="inlineStr">
        <is>
          <t>L</t>
        </is>
      </c>
      <c r="D9" s="8" t="inlineStr">
        <is>
          <t>Yes</t>
        </is>
      </c>
      <c r="E9" t="inlineStr">
        <is>
          <t>Not Started</t>
        </is>
      </c>
      <c r="F9" t="inlineStr"/>
      <c r="G9" t="inlineStr"/>
      <c r="H9" t="inlineStr"/>
      <c r="I9" t="inlineStr"/>
    </row>
    <row r="10">
      <c r="A10" t="inlineStr">
        <is>
          <t>REQ-00052</t>
        </is>
      </c>
      <c r="B10"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t>
        </is>
      </c>
      <c r="C10" t="inlineStr">
        <is>
          <t>L</t>
        </is>
      </c>
      <c r="D10" s="8" t="inlineStr">
        <is>
          <t>Yes</t>
        </is>
      </c>
      <c r="E10" t="inlineStr">
        <is>
          <t>Not Started</t>
        </is>
      </c>
      <c r="F10" t="inlineStr"/>
      <c r="G10" t="inlineStr"/>
      <c r="H10" t="inlineStr"/>
      <c r="I10" t="inlineStr"/>
    </row>
    <row r="11">
      <c r="A11" t="inlineStr">
        <is>
          <t>REQ-00053</t>
        </is>
      </c>
      <c r="B11"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t>
        </is>
      </c>
      <c r="C11" t="inlineStr">
        <is>
          <t>L</t>
        </is>
      </c>
      <c r="D11" t="inlineStr">
        <is>
          <t>No</t>
        </is>
      </c>
      <c r="E11" t="inlineStr">
        <is>
          <t>Not Started</t>
        </is>
      </c>
      <c r="F11" t="inlineStr"/>
      <c r="G11" t="inlineStr"/>
      <c r="H11" t="inlineStr"/>
      <c r="I11" t="inlineStr"/>
    </row>
    <row r="12">
      <c r="A12" t="inlineStr">
        <is>
          <t>REQ-00055</t>
        </is>
      </c>
      <c r="B12"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12" t="inlineStr">
        <is>
          <t>L</t>
        </is>
      </c>
      <c r="D12" s="8" t="inlineStr">
        <is>
          <t>Yes</t>
        </is>
      </c>
      <c r="E12" t="inlineStr">
        <is>
          <t>Not Started</t>
        </is>
      </c>
      <c r="F12" t="inlineStr"/>
      <c r="G12" t="inlineStr"/>
      <c r="H12" t="inlineStr"/>
      <c r="I12" t="inlineStr"/>
    </row>
    <row r="13">
      <c r="A13" t="inlineStr">
        <is>
          <t>REQ-00057</t>
        </is>
      </c>
      <c r="B13"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t>
        </is>
      </c>
      <c r="C13" t="inlineStr">
        <is>
          <t>C</t>
        </is>
      </c>
      <c r="D13" s="8" t="inlineStr">
        <is>
          <t>Yes</t>
        </is>
      </c>
      <c r="E13" t="inlineStr">
        <is>
          <t>Not Started</t>
        </is>
      </c>
      <c r="F13" t="inlineStr"/>
      <c r="G13" t="inlineStr"/>
      <c r="H13" t="inlineStr"/>
      <c r="I13" t="inlineStr"/>
    </row>
    <row r="14">
      <c r="A14" t="inlineStr">
        <is>
          <t>REQ-00059</t>
        </is>
      </c>
      <c r="B14" t="inlineStr">
        <is>
          <t>Proposal Format 
Proposals shall be submitted to the Government in separate volumes as set forth below.</t>
        </is>
      </c>
      <c r="C14" t="inlineStr">
        <is>
          <t>L</t>
        </is>
      </c>
      <c r="D14" s="8" t="inlineStr">
        <is>
          <t>Yes</t>
        </is>
      </c>
      <c r="E14" t="inlineStr">
        <is>
          <t>Not Started</t>
        </is>
      </c>
      <c r="F14" t="inlineStr"/>
      <c r="G14" t="inlineStr"/>
      <c r="H14" t="inlineStr"/>
      <c r="I14" t="inlineStr"/>
    </row>
    <row r="15">
      <c r="A15" t="inlineStr">
        <is>
          <t>REQ-00063</t>
        </is>
      </c>
      <c r="B15"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t>
        </is>
      </c>
      <c r="C15" t="inlineStr">
        <is>
          <t>L</t>
        </is>
      </c>
      <c r="D15" s="8" t="inlineStr">
        <is>
          <t>Yes</t>
        </is>
      </c>
      <c r="E15" t="inlineStr">
        <is>
          <t>Not Started</t>
        </is>
      </c>
      <c r="F15" t="inlineStr"/>
      <c r="G15" t="inlineStr"/>
      <c r="H15" t="inlineStr"/>
      <c r="I15" t="inlineStr"/>
    </row>
    <row r="16">
      <c r="A16" t="inlineStr">
        <is>
          <t>REQ-00064</t>
        </is>
      </c>
      <c r="B16"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t>
        </is>
      </c>
      <c r="C16" t="inlineStr">
        <is>
          <t>C</t>
        </is>
      </c>
      <c r="D16" s="8" t="inlineStr">
        <is>
          <t>Yes</t>
        </is>
      </c>
      <c r="E16" t="inlineStr">
        <is>
          <t>Not Started</t>
        </is>
      </c>
      <c r="F16" t="inlineStr"/>
      <c r="G16" t="inlineStr"/>
      <c r="H16" t="inlineStr"/>
      <c r="I16" t="inlineStr"/>
    </row>
    <row r="17">
      <c r="A17" t="inlineStr">
        <is>
          <t>REQ-00065</t>
        </is>
      </c>
      <c r="B17"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t>
        </is>
      </c>
      <c r="C17" t="inlineStr">
        <is>
          <t>C</t>
        </is>
      </c>
      <c r="D17" s="8" t="inlineStr">
        <is>
          <t>Yes</t>
        </is>
      </c>
      <c r="E17" t="inlineStr">
        <is>
          <t>Not Started</t>
        </is>
      </c>
      <c r="F17" t="inlineStr"/>
      <c r="G17" t="inlineStr"/>
      <c r="H17" t="inlineStr"/>
      <c r="I17" t="inlineStr"/>
    </row>
    <row r="18">
      <c r="A18" t="inlineStr">
        <is>
          <t>REQ-00066</t>
        </is>
      </c>
      <c r="B18" t="inlineStr">
        <is>
          <t>The Offeror shall apply all appropriate security markings and markings prescribed in accordance 
with FAR 3.104-4, Disclosure, Protection, and Marking of Offeror Bid or Proposal Information 
and Source Selection Information.</t>
        </is>
      </c>
      <c r="C18" t="inlineStr">
        <is>
          <t>L</t>
        </is>
      </c>
      <c r="D18" s="8" t="inlineStr">
        <is>
          <t>Yes</t>
        </is>
      </c>
      <c r="E18" t="inlineStr">
        <is>
          <t>Not Started</t>
        </is>
      </c>
      <c r="F18" t="inlineStr"/>
      <c r="G18" t="inlineStr"/>
      <c r="H18" t="inlineStr"/>
      <c r="I18" t="inlineStr"/>
    </row>
    <row r="19">
      <c r="A19" t="inlineStr">
        <is>
          <t>REQ-00067</t>
        </is>
      </c>
      <c r="B19"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
        </is>
      </c>
      <c r="C19" t="inlineStr">
        <is>
          <t>L</t>
        </is>
      </c>
      <c r="D19" s="8" t="inlineStr">
        <is>
          <t>Yes</t>
        </is>
      </c>
      <c r="E19" t="inlineStr">
        <is>
          <t>Not Started</t>
        </is>
      </c>
      <c r="F19" t="inlineStr"/>
      <c r="G19" t="inlineStr"/>
      <c r="H19" t="inlineStr"/>
      <c r="I19" t="inlineStr"/>
    </row>
    <row r="20">
      <c r="A20" t="inlineStr">
        <is>
          <t>REQ-00070</t>
        </is>
      </c>
      <c r="B20"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t>
        </is>
      </c>
      <c r="C20" t="inlineStr">
        <is>
          <t>L</t>
        </is>
      </c>
      <c r="D20" s="8" t="inlineStr">
        <is>
          <t>Yes</t>
        </is>
      </c>
      <c r="E20" t="inlineStr">
        <is>
          <t>Not Started</t>
        </is>
      </c>
      <c r="F20" t="inlineStr"/>
      <c r="G20" t="inlineStr"/>
      <c r="H20" t="inlineStr"/>
      <c r="I20" t="inlineStr"/>
    </row>
    <row r="21">
      <c r="A21" t="inlineStr">
        <is>
          <t>REQ-00072</t>
        </is>
      </c>
      <c r="B21"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t>
        </is>
      </c>
      <c r="C21" t="inlineStr">
        <is>
          <t>M</t>
        </is>
      </c>
      <c r="D21" s="8" t="inlineStr">
        <is>
          <t>Yes</t>
        </is>
      </c>
      <c r="E21" t="inlineStr">
        <is>
          <t>Not Started</t>
        </is>
      </c>
      <c r="F21" t="inlineStr"/>
      <c r="G21" t="inlineStr"/>
      <c r="H21" t="inlineStr"/>
      <c r="I21" t="inlineStr"/>
    </row>
    <row r="22">
      <c r="A22" t="inlineStr">
        <is>
          <t>REQ-00073</t>
        </is>
      </c>
      <c r="B22" t="inlineStr">
        <is>
          <t>The Government will evaluate proposals based on the technical sub factors identified 
below.  Offerors shall comply with all sub factor instructions.</t>
        </is>
      </c>
      <c r="C22" t="inlineStr">
        <is>
          <t>L</t>
        </is>
      </c>
      <c r="D22" s="8" t="inlineStr">
        <is>
          <t>Yes</t>
        </is>
      </c>
      <c r="E22" t="inlineStr">
        <is>
          <t>Not Started</t>
        </is>
      </c>
      <c r="F22" t="inlineStr"/>
      <c r="G22" t="inlineStr"/>
      <c r="H22" t="inlineStr"/>
      <c r="I22" t="inlineStr"/>
    </row>
    <row r="23">
      <c r="A23" t="inlineStr">
        <is>
          <t>REQ-00083</t>
        </is>
      </c>
      <c r="B23" t="inlineStr">
        <is>
          <t>Evaluation: Any summary material presented here shall not be considered as meeting the 
requirements for any portions of other volumes of the proposal.</t>
        </is>
      </c>
      <c r="C23" t="inlineStr">
        <is>
          <t>L</t>
        </is>
      </c>
      <c r="D23" s="8" t="inlineStr">
        <is>
          <t>Yes</t>
        </is>
      </c>
      <c r="E23" t="inlineStr">
        <is>
          <t>Not Started</t>
        </is>
      </c>
      <c r="F23" t="inlineStr"/>
      <c r="G23" t="inlineStr"/>
      <c r="H23" t="inlineStr"/>
      <c r="I23" t="inlineStr"/>
    </row>
    <row r="24">
      <c r="A24" t="inlineStr">
        <is>
          <t>REQ-00084</t>
        </is>
      </c>
      <c r="B24"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t>
        </is>
      </c>
      <c r="C24" t="inlineStr">
        <is>
          <t>L</t>
        </is>
      </c>
      <c r="D24" s="8" t="inlineStr">
        <is>
          <t>Yes</t>
        </is>
      </c>
      <c r="E24" t="inlineStr">
        <is>
          <t>Not Started</t>
        </is>
      </c>
      <c r="F24" t="inlineStr"/>
      <c r="G24" t="inlineStr"/>
      <c r="H24" t="inlineStr"/>
      <c r="I24" t="inlineStr"/>
    </row>
    <row r="25">
      <c r="A25" t="inlineStr">
        <is>
          <t>REQ-00087</t>
        </is>
      </c>
      <c r="B25"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
        </is>
      </c>
      <c r="C25" t="inlineStr">
        <is>
          <t>L</t>
        </is>
      </c>
      <c r="D25" s="8" t="inlineStr">
        <is>
          <t>Yes</t>
        </is>
      </c>
      <c r="E25" t="inlineStr">
        <is>
          <t>Not Started</t>
        </is>
      </c>
      <c r="F25" t="inlineStr"/>
      <c r="G25" t="inlineStr"/>
      <c r="H25" t="inlineStr"/>
      <c r="I25" t="inlineStr"/>
    </row>
    <row r="26">
      <c r="A26" t="inlineStr">
        <is>
          <t>REQ-00089</t>
        </is>
      </c>
      <c r="B26" t="inlineStr">
        <is>
          <t>2. 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t>
        </is>
      </c>
      <c r="C26" t="inlineStr">
        <is>
          <t>M</t>
        </is>
      </c>
      <c r="D26" t="inlineStr">
        <is>
          <t>No</t>
        </is>
      </c>
      <c r="E26" t="inlineStr">
        <is>
          <t>Not Started</t>
        </is>
      </c>
      <c r="F26" t="inlineStr"/>
      <c r="G26" t="inlineStr"/>
      <c r="H26" t="inlineStr"/>
      <c r="I26" t="inlineStr"/>
    </row>
    <row r="27">
      <c r="A27" t="inlineStr">
        <is>
          <t>REQ-00090</t>
        </is>
      </c>
      <c r="B27"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
        </is>
      </c>
      <c r="C27" t="inlineStr">
        <is>
          <t>L</t>
        </is>
      </c>
      <c r="D27" s="8" t="inlineStr">
        <is>
          <t>Yes</t>
        </is>
      </c>
      <c r="E27" t="inlineStr">
        <is>
          <t>Not Started</t>
        </is>
      </c>
      <c r="F27" t="inlineStr"/>
      <c r="G27" t="inlineStr"/>
      <c r="H27" t="inlineStr"/>
      <c r="I27" t="inlineStr"/>
    </row>
    <row r="28">
      <c r="A28" t="inlineStr">
        <is>
          <t>REQ-00096</t>
        </is>
      </c>
      <c r="B28"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t>
        </is>
      </c>
      <c r="C28" t="inlineStr">
        <is>
          <t>L</t>
        </is>
      </c>
      <c r="D28" s="8" t="inlineStr">
        <is>
          <t>Yes</t>
        </is>
      </c>
      <c r="E28" t="inlineStr">
        <is>
          <t>Not Started</t>
        </is>
      </c>
      <c r="F28" t="inlineStr"/>
      <c r="G28" t="inlineStr"/>
      <c r="H28" t="inlineStr"/>
      <c r="I28" t="inlineStr"/>
    </row>
    <row r="29">
      <c r="A29" t="inlineStr">
        <is>
          <t>REQ-00099</t>
        </is>
      </c>
      <c r="B29"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t>
        </is>
      </c>
      <c r="C29" t="inlineStr">
        <is>
          <t>L</t>
        </is>
      </c>
      <c r="D29" s="8" t="inlineStr">
        <is>
          <t>Yes</t>
        </is>
      </c>
      <c r="E29" t="inlineStr">
        <is>
          <t>Not Started</t>
        </is>
      </c>
      <c r="F29" t="inlineStr"/>
      <c r="G29" t="inlineStr"/>
      <c r="H29" t="inlineStr"/>
      <c r="I29" t="inlineStr"/>
    </row>
    <row r="30">
      <c r="A30" t="inlineStr">
        <is>
          <t>REQ-00102</t>
        </is>
      </c>
      <c r="B30"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t>
        </is>
      </c>
      <c r="C30" t="inlineStr">
        <is>
          <t>L</t>
        </is>
      </c>
      <c r="D30" s="8" t="inlineStr">
        <is>
          <t>Yes</t>
        </is>
      </c>
      <c r="E30" t="inlineStr">
        <is>
          <t>Not Started</t>
        </is>
      </c>
      <c r="F30" t="inlineStr"/>
      <c r="G30" t="inlineStr"/>
      <c r="H30" t="inlineStr"/>
      <c r="I30" t="inlineStr"/>
    </row>
    <row r="31">
      <c r="A31" t="inlineStr">
        <is>
          <t>REQ-00104</t>
        </is>
      </c>
      <c r="B31"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t>
        </is>
      </c>
      <c r="C31" t="inlineStr">
        <is>
          <t>L</t>
        </is>
      </c>
      <c r="D31" s="8" t="inlineStr">
        <is>
          <t>Yes</t>
        </is>
      </c>
      <c r="E31" t="inlineStr">
        <is>
          <t>Not Started</t>
        </is>
      </c>
      <c r="F31" t="inlineStr"/>
      <c r="G31" t="inlineStr"/>
      <c r="H31" t="inlineStr"/>
      <c r="I31" t="inlineStr"/>
    </row>
    <row r="32">
      <c r="A32" t="inlineStr">
        <is>
          <t>REQ-00108</t>
        </is>
      </c>
      <c r="B32" t="inlineStr">
        <is>
          <t>3. Contract Documentation Volume 
Offerors shall provide the following information identified below.</t>
        </is>
      </c>
      <c r="C32" t="inlineStr">
        <is>
          <t>L</t>
        </is>
      </c>
      <c r="D32" s="8" t="inlineStr">
        <is>
          <t>Yes</t>
        </is>
      </c>
      <c r="E32" t="inlineStr">
        <is>
          <t>Not Started</t>
        </is>
      </c>
      <c r="F32" t="inlineStr"/>
      <c r="G32" t="inlineStr"/>
      <c r="H32" t="inlineStr"/>
      <c r="I32" t="inlineStr"/>
    </row>
    <row r="33">
      <c r="A33" t="inlineStr">
        <is>
          <t>REQ-00112</t>
        </is>
      </c>
      <c r="B33"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t>
        </is>
      </c>
      <c r="C33" t="inlineStr">
        <is>
          <t>C</t>
        </is>
      </c>
      <c r="D33" s="8" t="inlineStr">
        <is>
          <t>Yes</t>
        </is>
      </c>
      <c r="E33" t="inlineStr">
        <is>
          <t>Not Started</t>
        </is>
      </c>
      <c r="F33" t="inlineStr"/>
      <c r="G33" t="inlineStr"/>
      <c r="H33" t="inlineStr"/>
      <c r="I33" t="inlineStr"/>
    </row>
    <row r="34">
      <c r="A34" t="inlineStr">
        <is>
          <t>REQ-00113</t>
        </is>
      </c>
      <c r="B34"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C34" t="inlineStr">
        <is>
          <t>K</t>
        </is>
      </c>
      <c r="D34" s="8" t="inlineStr">
        <is>
          <t>Yes</t>
        </is>
      </c>
      <c r="E34" t="inlineStr">
        <is>
          <t>Not Started</t>
        </is>
      </c>
      <c r="F34" t="inlineStr"/>
      <c r="G34" t="inlineStr"/>
      <c r="H34" t="inlineStr"/>
      <c r="I34" t="inlineStr"/>
    </row>
    <row r="35">
      <c r="A35" t="inlineStr">
        <is>
          <t>REQ-00114</t>
        </is>
      </c>
      <c r="B35" t="inlineStr">
        <is>
          <t>3.2 SF1449 
Offerors shall complete per the instructions included in the document.</t>
        </is>
      </c>
      <c r="C35" t="inlineStr">
        <is>
          <t>L</t>
        </is>
      </c>
      <c r="D35" s="8" t="inlineStr">
        <is>
          <t>Yes</t>
        </is>
      </c>
      <c r="E35" t="inlineStr">
        <is>
          <t>Not Started</t>
        </is>
      </c>
      <c r="F35" t="inlineStr"/>
      <c r="G35" t="inlineStr"/>
      <c r="H35" t="inlineStr"/>
      <c r="I35" t="inlineStr"/>
    </row>
    <row r="36">
      <c r="A36" t="inlineStr">
        <is>
          <t>REQ-00126</t>
        </is>
      </c>
      <c r="B36" t="inlineStr">
        <is>
          <t>This QASP is a “living document” and the Government may review and revise it on a regular basis.  However, the Government shall coordinate changes with the contractor.  Updates shall ensure that the QASP remains a valid, useful, and enforceable document.  Copies of the original QASP and revisions...</t>
        </is>
      </c>
      <c r="C36" t="inlineStr">
        <is>
          <t>C</t>
        </is>
      </c>
      <c r="D36" s="8" t="inlineStr">
        <is>
          <t>Yes</t>
        </is>
      </c>
      <c r="E36" t="inlineStr">
        <is>
          <t>Not Started</t>
        </is>
      </c>
      <c r="F36" t="inlineStr"/>
      <c r="G36" t="inlineStr"/>
      <c r="H36" t="inlineStr"/>
      <c r="I36" t="inlineStr"/>
    </row>
    <row r="37">
      <c r="A37" t="inlineStr">
        <is>
          <t>REQ-00127</t>
        </is>
      </c>
      <c r="B37" t="inlineStr">
        <is>
          <t>The following personnel shall oversee and coordinate surveillance activities.</t>
        </is>
      </c>
      <c r="C37" t="inlineStr">
        <is>
          <t>C</t>
        </is>
      </c>
      <c r="D37" s="8" t="inlineStr">
        <is>
          <t>Yes</t>
        </is>
      </c>
      <c r="E37" t="inlineStr">
        <is>
          <t>Not Started</t>
        </is>
      </c>
      <c r="F37" t="inlineStr"/>
      <c r="G37" t="inlineStr"/>
      <c r="H37" t="inlineStr"/>
      <c r="I37" t="inlineStr"/>
    </row>
    <row r="38">
      <c r="A38" t="inlineStr">
        <is>
          <t>REQ-00128</t>
        </is>
      </c>
      <c r="B38" t="inlineStr">
        <is>
          <t>a. Procuring Contracting Officer (PCO) - The PCO shall ensure performance of all necessary actions for effective contracting, ensure compliance with the contract terms, and shall safeguard the interests of the United States in the contractual relationship.  The PCO shall also assure that the cont...</t>
        </is>
      </c>
      <c r="C38" t="inlineStr">
        <is>
          <t>C</t>
        </is>
      </c>
      <c r="D38" s="8" t="inlineStr">
        <is>
          <t>Yes</t>
        </is>
      </c>
      <c r="E38" t="inlineStr">
        <is>
          <t>Not Started</t>
        </is>
      </c>
      <c r="F38" t="inlineStr"/>
      <c r="G38" t="inlineStr"/>
      <c r="H38" t="inlineStr"/>
      <c r="I38" t="inlineStr"/>
    </row>
    <row r="39">
      <c r="A39" t="inlineStr">
        <is>
          <t>REQ-00130</t>
        </is>
      </c>
      <c r="B39" t="inlineStr">
        <is>
          <t>b. Contracting Officer’s Representative (COR) - The COR is responsible for technical administration of the contract and shall assure proper Government surveillance of the contractor’s performance. The COR shall keep a quality assurance file.  At the conclusion of the contract or when requested by...</t>
        </is>
      </c>
      <c r="C39" t="inlineStr">
        <is>
          <t>C</t>
        </is>
      </c>
      <c r="D39" s="8" t="inlineStr">
        <is>
          <t>Yes</t>
        </is>
      </c>
      <c r="E39" t="inlineStr">
        <is>
          <t>Not Started</t>
        </is>
      </c>
      <c r="F39" t="inlineStr"/>
      <c r="G39" t="inlineStr"/>
      <c r="H39" t="inlineStr"/>
      <c r="I39" t="inlineStr"/>
    </row>
    <row r="40">
      <c r="A40" t="inlineStr">
        <is>
          <t>REQ-00138</t>
        </is>
      </c>
      <c r="B40" t="inlineStr">
        <is>
          <t>The Performance Requirements Summary Matrix, paragraph 4.1 in the Performance Work Statement includes performance standards.  The Government shall use these standards to determine contractor performance and shall compare contractor performance to the Acceptable Quality Level (AQL).</t>
        </is>
      </c>
      <c r="C40" t="inlineStr">
        <is>
          <t>C</t>
        </is>
      </c>
      <c r="D40" s="8" t="inlineStr">
        <is>
          <t>Yes</t>
        </is>
      </c>
      <c r="E40" t="inlineStr">
        <is>
          <t>Not Started</t>
        </is>
      </c>
      <c r="F40" t="inlineStr"/>
      <c r="G40" t="inlineStr"/>
      <c r="H40" t="inlineStr"/>
      <c r="I40" t="inlineStr"/>
    </row>
    <row r="41">
      <c r="A41" t="inlineStr">
        <is>
          <t>REQ-00139</t>
        </is>
      </c>
      <c r="B41" t="inlineStr">
        <is>
          <t>Various methods exist to monitor performance.  The COR shall use the surveillance methods listed below in the administration of this QASP.</t>
        </is>
      </c>
      <c r="C41" t="inlineStr">
        <is>
          <t>C</t>
        </is>
      </c>
      <c r="D41" s="8" t="inlineStr">
        <is>
          <t>Yes</t>
        </is>
      </c>
      <c r="E41" t="inlineStr">
        <is>
          <t>Not Started</t>
        </is>
      </c>
      <c r="F41" t="inlineStr"/>
      <c r="G41" t="inlineStr"/>
      <c r="H41" t="inlineStr"/>
      <c r="I41" t="inlineStr"/>
    </row>
    <row r="42">
      <c r="A42" t="inlineStr">
        <is>
          <t>REQ-00140</t>
        </is>
      </c>
      <c r="B42" t="inlineStr">
        <is>
          <t>Regardless of the surveillance method, the COR shall always contact the contractor's task manager or on-site representative when a defect is identified and inform the manager of the specifics of the problem.  The COR, with assistance from the contract specialist (CS), shall be responsible for mon...</t>
        </is>
      </c>
      <c r="C42" t="inlineStr">
        <is>
          <t>C</t>
        </is>
      </c>
      <c r="D42" s="8" t="inlineStr">
        <is>
          <t>Yes</t>
        </is>
      </c>
      <c r="E42" t="inlineStr">
        <is>
          <t>Not Started</t>
        </is>
      </c>
      <c r="F42" t="inlineStr"/>
      <c r="G42" t="inlineStr"/>
      <c r="H42" t="inlineStr"/>
      <c r="I42" t="inlineStr"/>
    </row>
    <row r="43">
      <c r="A43" t="inlineStr">
        <is>
          <t>REQ-00145</t>
        </is>
      </c>
      <c r="B43" t="inlineStr">
        <is>
          <t>Metrics and methods are designed to determine if performance exceeds, meets, or does not meet a given standard and acceptable quality level.  A rating scale shall be used to determine a positive, neutral, or negative outcome.  The following ratings shall be used:</t>
        </is>
      </c>
      <c r="C43" t="inlineStr">
        <is>
          <t>C</t>
        </is>
      </c>
      <c r="D43" s="8" t="inlineStr">
        <is>
          <t>Yes</t>
        </is>
      </c>
      <c r="E43" t="inlineStr">
        <is>
          <t>Not Started</t>
        </is>
      </c>
      <c r="F43" t="inlineStr"/>
      <c r="G43" t="inlineStr"/>
      <c r="H43" t="inlineStr"/>
      <c r="I43" t="inlineStr"/>
    </row>
    <row r="44">
      <c r="A44" t="inlineStr">
        <is>
          <t>REQ-00146</t>
        </is>
      </c>
      <c r="B44" t="inlineStr">
        <is>
          <t>The Government shall document positive performance.  A report template is attached.  Any report may become a</t>
        </is>
      </c>
      <c r="C44" t="inlineStr">
        <is>
          <t>C</t>
        </is>
      </c>
      <c r="D44" s="8" t="inlineStr">
        <is>
          <t>Yes</t>
        </is>
      </c>
      <c r="E44" t="inlineStr">
        <is>
          <t>Not Started</t>
        </is>
      </c>
      <c r="F44" t="inlineStr"/>
      <c r="G44" t="inlineStr"/>
      <c r="H44" t="inlineStr"/>
      <c r="I44" t="inlineStr"/>
    </row>
    <row r="45">
      <c r="A45" t="inlineStr">
        <is>
          <t>REQ-00148</t>
        </is>
      </c>
      <c r="B45" t="inlineStr">
        <is>
          <t>When unacceptable performance occurs, the COR shall inform the contractor.  This will normally be in writing unless circumstances necessitate verbal communication.  In any case the COR shall document the discussion and place it in the COR file.</t>
        </is>
      </c>
      <c r="C45" t="inlineStr">
        <is>
          <t>C</t>
        </is>
      </c>
      <c r="D45" s="8" t="inlineStr">
        <is>
          <t>Yes</t>
        </is>
      </c>
      <c r="E45" t="inlineStr">
        <is>
          <t>Not Started</t>
        </is>
      </c>
      <c r="F45" t="inlineStr"/>
      <c r="G45" t="inlineStr"/>
      <c r="H45" t="inlineStr"/>
      <c r="I45" t="inlineStr"/>
    </row>
    <row r="46">
      <c r="A46" t="inlineStr">
        <is>
          <t>REQ-00149</t>
        </is>
      </c>
      <c r="B46" t="inlineStr">
        <is>
          <t>When the COR determines formal written communication is required, the COR shall prepare a Contract Discrepancy Report (CDR), and present it to the contractor's task manager or on-site representative.  A CDR template is attached to this QASP.</t>
        </is>
      </c>
      <c r="C46" t="inlineStr">
        <is>
          <t>C</t>
        </is>
      </c>
      <c r="D46" s="8" t="inlineStr">
        <is>
          <t>Yes</t>
        </is>
      </c>
      <c r="E46" t="inlineStr">
        <is>
          <t>Not Started</t>
        </is>
      </c>
      <c r="F46" t="inlineStr"/>
      <c r="G46" t="inlineStr"/>
      <c r="H46" t="inlineStr"/>
      <c r="I46" t="inlineStr"/>
    </row>
    <row r="47">
      <c r="A47" t="inlineStr">
        <is>
          <t>REQ-00150</t>
        </is>
      </c>
      <c r="B47" t="inlineStr">
        <is>
          <t>The contractor shall acknowledge receipt of the CDR in writing.  The CDR will specify if the contractor is required to prepare a corrective action plan to document how the contractor shall correct the unacceptable performance and avoid a recurrence.  The CDR will also state how long after receipt...</t>
        </is>
      </c>
      <c r="C47" t="inlineStr">
        <is>
          <t>C</t>
        </is>
      </c>
      <c r="D47" s="8" t="inlineStr">
        <is>
          <t>Yes</t>
        </is>
      </c>
      <c r="E47" t="inlineStr">
        <is>
          <t>Not Started</t>
        </is>
      </c>
      <c r="F47" t="inlineStr"/>
      <c r="G47" t="inlineStr"/>
      <c r="H47" t="inlineStr"/>
      <c r="I47" t="inlineStr"/>
    </row>
    <row r="48">
      <c r="A48" t="inlineStr">
        <is>
          <t>REQ-00152</t>
        </is>
      </c>
      <c r="B48" t="inlineStr">
        <is>
          <t>During contract/order performance, the COR shall take periodic measurements, quarterly as specified in the AQL column of the Performance Standards Summary Matrix, and shall analyze whether the negotiated frequency of measurement is appropriate for the work being performed.</t>
        </is>
      </c>
      <c r="C48" t="inlineStr">
        <is>
          <t>C</t>
        </is>
      </c>
      <c r="D48" s="8" t="inlineStr">
        <is>
          <t>Yes</t>
        </is>
      </c>
      <c r="E48" t="inlineStr">
        <is>
          <t>Not Started</t>
        </is>
      </c>
      <c r="F48" t="inlineStr"/>
      <c r="G48" t="inlineStr"/>
      <c r="H48" t="inlineStr"/>
      <c r="I48" t="inlineStr"/>
    </row>
    <row r="49">
      <c r="A49" t="inlineStr">
        <is>
          <t>REQ-00154</t>
        </is>
      </c>
      <c r="B49" t="inlineStr">
        <is>
          <t>The COR shall meet with the contractor quarterly to assess performance and shall provide a written assessment.</t>
        </is>
      </c>
      <c r="C49" t="inlineStr">
        <is>
          <t>C</t>
        </is>
      </c>
      <c r="D49" s="8" t="inlineStr">
        <is>
          <t>Yes</t>
        </is>
      </c>
      <c r="E49" t="inlineStr">
        <is>
          <t>Not Started</t>
        </is>
      </c>
      <c r="F49" t="inlineStr"/>
      <c r="G49" t="inlineStr"/>
      <c r="H49" t="inlineStr"/>
      <c r="I49" t="inlineStr"/>
    </row>
    <row r="50">
      <c r="A50" t="inlineStr">
        <is>
          <t>REQ-00170</t>
        </is>
      </c>
      <c r="B50" t="inlineStr">
        <is>
          <t>2.  Companies, within the General Services Administration (GSA) One Acquisition Solution for 
Integrated Services (OASIS) + Total Small Business Indefinite Delivery Indefinite Quantity 
(IDIQ) contract, are being provided a fair opportunity to compete on this requirement. Only 
those companies wi...</t>
        </is>
      </c>
      <c r="C50" t="inlineStr">
        <is>
          <t>C</t>
        </is>
      </c>
      <c r="D50" t="inlineStr">
        <is>
          <t>No</t>
        </is>
      </c>
      <c r="E50" t="inlineStr">
        <is>
          <t>Not Started</t>
        </is>
      </c>
      <c r="F50" t="inlineStr"/>
      <c r="G50" t="inlineStr"/>
      <c r="H50" t="inlineStr"/>
      <c r="I50" t="inlineStr"/>
    </row>
    <row r="51">
      <c r="A51" t="inlineStr">
        <is>
          <t>REQ-00171</t>
        </is>
      </c>
      <c r="B51" t="inlineStr">
        <is>
          <t>3.  The government intends to award a single Cost Plus Fixed Fee Delivery Order consisting of a 
five (5)-year period of performance to acquire manning power for the creation and maintenance 
of a 24x7 Network Operations Center for the Space Systems Command / Operational Space C2 
Acquisition Del...</t>
        </is>
      </c>
      <c r="C51" t="inlineStr">
        <is>
          <t>C</t>
        </is>
      </c>
      <c r="D51" t="inlineStr">
        <is>
          <t>No</t>
        </is>
      </c>
      <c r="E51" t="inlineStr">
        <is>
          <t>Not Started</t>
        </is>
      </c>
      <c r="F51" t="inlineStr"/>
      <c r="G51" t="inlineStr"/>
      <c r="H51" t="inlineStr"/>
      <c r="I51" t="inlineStr"/>
    </row>
    <row r="52">
      <c r="A52" t="inlineStr">
        <is>
          <t>REQ-00173</t>
        </is>
      </c>
      <c r="B52" t="inlineStr">
        <is>
          <t>4.  The Government requests a formal negative or positive response on the company’s interest to 
be included in future correspondence on this requirement. This formal response must be emailed 
to the Government Contracting Team: Contracting Officer, Capt Rodrigo E. Laguna at 
rodrigo.laguna_lagos...</t>
        </is>
      </c>
      <c r="C52" t="inlineStr">
        <is>
          <t>C</t>
        </is>
      </c>
      <c r="D52" s="8" t="inlineStr">
        <is>
          <t>Yes</t>
        </is>
      </c>
      <c r="E52" t="inlineStr">
        <is>
          <t>Not Started</t>
        </is>
      </c>
      <c r="F52" t="inlineStr"/>
      <c r="G52" t="inlineStr"/>
      <c r="H52" t="inlineStr"/>
      <c r="I52" t="inlineStr"/>
    </row>
    <row r="53">
      <c r="A53" t="inlineStr">
        <is>
          <t>REQ-00183</t>
        </is>
      </c>
      <c r="B53" t="inlineStr">
        <is>
          <t>The Contractor shall grant the Government Purpose Rights in all technical data, deliverables and supply performed under this contract, including rights to use, duplicate, modify, release, perform, display, or disclose technical data for this supply within the Government. This includes any supply ...</t>
        </is>
      </c>
      <c r="C53" t="inlineStr">
        <is>
          <t>C</t>
        </is>
      </c>
      <c r="D53" s="8" t="inlineStr">
        <is>
          <t>Yes</t>
        </is>
      </c>
      <c r="E53" t="inlineStr">
        <is>
          <t>Not Started</t>
        </is>
      </c>
      <c r="F53" t="inlineStr"/>
      <c r="G53" t="inlineStr"/>
      <c r="H53" t="inlineStr"/>
      <c r="I53" t="inlineStr"/>
    </row>
    <row r="54">
      <c r="A54" t="inlineStr">
        <is>
          <t>REQ-00185</t>
        </is>
      </c>
      <c r="B54" t="inlineStr">
        <is>
          <t>The designation "D" in Block 9 of the Contract Data Requirements List indicates that the following distribution statement shall be annotated on each data item in accordance with DoDD 5230.24.</t>
        </is>
      </c>
      <c r="C54" t="inlineStr">
        <is>
          <t>C</t>
        </is>
      </c>
      <c r="D54" s="8" t="inlineStr">
        <is>
          <t>Yes</t>
        </is>
      </c>
      <c r="E54" t="inlineStr">
        <is>
          <t>Not Started</t>
        </is>
      </c>
      <c r="F54" t="inlineStr"/>
      <c r="G54" t="inlineStr"/>
      <c r="H54" t="inlineStr"/>
      <c r="I54" t="inlineStr"/>
    </row>
    <row r="55">
      <c r="A55" t="inlineStr">
        <is>
          <t>REQ-00187</t>
        </is>
      </c>
      <c r="B55" t="inlineStr">
        <is>
          <t>Other requests for this document shall be referred to the Contracting Officer's Representative. Unclassified deliverables may be destroyed by any method that will prevent disclosure of contents or reconstruction of material.</t>
        </is>
      </c>
      <c r="C55" t="inlineStr">
        <is>
          <t>C</t>
        </is>
      </c>
      <c r="D55" s="8" t="inlineStr">
        <is>
          <t>Yes</t>
        </is>
      </c>
      <c r="E55" t="inlineStr">
        <is>
          <t>Not Started</t>
        </is>
      </c>
      <c r="F55" t="inlineStr"/>
      <c r="G55" t="inlineStr"/>
      <c r="H55" t="inlineStr"/>
      <c r="I55" t="inlineStr"/>
    </row>
    <row r="56">
      <c r="A56" t="inlineStr">
        <is>
          <t>REQ-00188</t>
        </is>
      </c>
      <c r="B56" t="inlineStr">
        <is>
          <t>Classified Distribution Statement D: Distribution authorized to DoD and US DoD contractors only, due to the sensitive information (as defined in DoD 5200.1-R) associated with the One Acquisition Solution for Integrated Services effort. Other requests for this document shall be referred to the Con...</t>
        </is>
      </c>
      <c r="C56" t="inlineStr">
        <is>
          <t>C</t>
        </is>
      </c>
      <c r="D56" s="8" t="inlineStr">
        <is>
          <t>Yes</t>
        </is>
      </c>
      <c r="E56" t="inlineStr">
        <is>
          <t>Not Started</t>
        </is>
      </c>
      <c r="F56" t="inlineStr"/>
      <c r="G56" t="inlineStr"/>
      <c r="H56" t="inlineStr"/>
      <c r="I56" t="inlineStr"/>
    </row>
    <row r="57">
      <c r="A57" t="inlineStr">
        <is>
          <t>REQ-00191</t>
        </is>
      </c>
      <c r="B57" t="inlineStr">
        <is>
          <t>Letters of Transmittal (Block 7) - Delivery of contract data requirements list items shall be a physical hard copy and electronic format to the Contracting Officer's Representative. The Contractor shall provide notification to the applicable government counterpart and the Contracting Officer's Re...</t>
        </is>
      </c>
      <c r="C57" t="inlineStr">
        <is>
          <t>C</t>
        </is>
      </c>
      <c r="D57" s="8" t="inlineStr">
        <is>
          <t>Yes</t>
        </is>
      </c>
      <c r="E57" t="inlineStr">
        <is>
          <t>Not Started</t>
        </is>
      </c>
      <c r="F57" t="inlineStr"/>
      <c r="G57" t="inlineStr"/>
      <c r="H57" t="inlineStr"/>
      <c r="I57" t="inlineStr"/>
    </row>
    <row r="58">
      <c r="A58" t="inlineStr">
        <is>
          <t>REQ-00192</t>
        </is>
      </c>
      <c r="B58" t="inlineStr">
        <is>
          <t>All data delivered with the Letter of Transmittal shall be collectively accounted for under the Material Inspection and Receiving Report (DD Form 250). The period of performance shall reflect the duration of the task order. The DD Form 250 shall be prepared and submitted by the Contractor to the ...</t>
        </is>
      </c>
      <c r="C58" t="inlineStr">
        <is>
          <t>C</t>
        </is>
      </c>
      <c r="D58" s="8" t="inlineStr">
        <is>
          <t>Yes</t>
        </is>
      </c>
      <c r="E58" t="inlineStr">
        <is>
          <t>Not Started</t>
        </is>
      </c>
      <c r="F58" t="inlineStr"/>
      <c r="G58" t="inlineStr"/>
      <c r="H58" t="inlineStr"/>
      <c r="I58" t="inlineStr"/>
    </row>
    <row r="59">
      <c r="A59" t="inlineStr">
        <is>
          <t>REQ-00193</t>
        </is>
      </c>
      <c r="B59" t="inlineStr">
        <is>
          <t>The DD Form 250 shall list and account for all data delivered to the Government during contractual period of performance. Do not list Data items that were not previously accepted by the Contracting Officer's Representative during the period of performance.</t>
        </is>
      </c>
      <c r="C59" t="inlineStr">
        <is>
          <t>C</t>
        </is>
      </c>
      <c r="D59" s="8" t="inlineStr">
        <is>
          <t>Yes</t>
        </is>
      </c>
      <c r="E59" t="inlineStr">
        <is>
          <t>Not Started</t>
        </is>
      </c>
      <c r="F59" t="inlineStr"/>
      <c r="G59" t="inlineStr"/>
      <c r="H59" t="inlineStr"/>
      <c r="I59" t="inlineStr"/>
    </row>
    <row r="60">
      <c r="A60" t="inlineStr">
        <is>
          <t>REQ-00194</t>
        </is>
      </c>
      <c r="B60" t="inlineStr">
        <is>
          <t>The DD Form 250 list shall identify Contract Data Requirements List sequence number, document title, document number, contractor transmittal letter number, date of delivery, acceptance method and disposition for each delivery item. The Contractor's computerized printout may be used in lieu of a D...</t>
        </is>
      </c>
      <c r="C60" t="inlineStr">
        <is>
          <t>C</t>
        </is>
      </c>
      <c r="D60" s="8" t="inlineStr">
        <is>
          <t>Yes</t>
        </is>
      </c>
      <c r="E60" t="inlineStr">
        <is>
          <t>Not Started</t>
        </is>
      </c>
      <c r="F60" t="inlineStr"/>
      <c r="G60" t="inlineStr"/>
      <c r="H60" t="inlineStr"/>
      <c r="I60" t="inlineStr"/>
    </row>
    <row r="61">
      <c r="A61" t="inlineStr">
        <is>
          <t>REQ-00195</t>
        </is>
      </c>
      <c r="B61" t="inlineStr">
        <is>
          <t>The contractor shall immediately notify the Government Contracting Officer of any request that the contractor feels increases the contract price and will not comply with the request until directed by the contracting officer.</t>
        </is>
      </c>
      <c r="C61" t="inlineStr">
        <is>
          <t>C</t>
        </is>
      </c>
      <c r="D61" s="8" t="inlineStr">
        <is>
          <t>Yes</t>
        </is>
      </c>
      <c r="E61" t="inlineStr">
        <is>
          <t>Not Started</t>
        </is>
      </c>
      <c r="F61" t="inlineStr"/>
      <c r="G61" t="inlineStr"/>
      <c r="H61" t="inlineStr"/>
      <c r="I61" t="inlineStr"/>
    </row>
    <row r="62">
      <c r="A62" t="inlineStr">
        <is>
          <t>REQ-00196</t>
        </is>
      </c>
      <c r="B62" t="inlineStr">
        <is>
          <t>Deliverable acceptance is at the discretion of the Contracting Officer's Representative. Acceptance indicates agreement or concurrence with the contractor's furnished data only and shall not be construed as changing any of the terms or conditions of the subject contract.</t>
        </is>
      </c>
      <c r="C62" t="inlineStr">
        <is>
          <t>C</t>
        </is>
      </c>
      <c r="D62" s="8" t="inlineStr">
        <is>
          <t>Yes</t>
        </is>
      </c>
      <c r="E62" t="inlineStr">
        <is>
          <t>Not Started</t>
        </is>
      </c>
      <c r="F62" t="inlineStr"/>
      <c r="G62" t="inlineStr"/>
      <c r="H62" t="inlineStr"/>
      <c r="I62" t="inlineStr"/>
    </row>
    <row r="63">
      <c r="A63" t="inlineStr">
        <is>
          <t>REQ-00198</t>
        </is>
      </c>
      <c r="B63" t="inlineStr">
        <is>
          <t>Accepted with comments - The contractor shall revise</t>
        </is>
      </c>
      <c r="C63" t="inlineStr">
        <is>
          <t>C</t>
        </is>
      </c>
      <c r="D63" s="8" t="inlineStr">
        <is>
          <t>Yes</t>
        </is>
      </c>
      <c r="E63" t="inlineStr">
        <is>
          <t>Not Started</t>
        </is>
      </c>
      <c r="F63" t="inlineStr"/>
      <c r="G63" t="inlineStr"/>
      <c r="H63" t="inlineStr"/>
      <c r="I63" t="inlineStr"/>
    </row>
    <row r="64">
      <c r="A64" t="inlineStr">
        <is>
          <t>REQ-00200</t>
        </is>
      </c>
      <c r="B64" t="inlineStr">
        <is>
          <t>All data shall be delivered/deposited no later than 1730 at the end of the business day for specified due date. The contractor is considered delinquent when a Letter of Transmittal is not received by the Contracting Officer's Representative before the dates specified in blocks 12, 13, and/or 16 o...</t>
        </is>
      </c>
      <c r="C64" t="inlineStr">
        <is>
          <t>C</t>
        </is>
      </c>
      <c r="D64" s="8" t="inlineStr">
        <is>
          <t>Yes</t>
        </is>
      </c>
      <c r="E64" t="inlineStr">
        <is>
          <t>Not Started</t>
        </is>
      </c>
      <c r="F64" t="inlineStr"/>
      <c r="G64" t="inlineStr"/>
      <c r="H64" t="inlineStr"/>
      <c r="I64" t="inlineStr"/>
    </row>
    <row r="65">
      <c r="A65" t="inlineStr">
        <is>
          <t>REQ-00201</t>
        </is>
      </c>
      <c r="B65" t="inlineStr">
        <is>
          <t>Management, administrative and product descriptive data shall be developed in a Government usable format. The contractor may not construe acceptance of a document by the Government as relief from contractual requirements should the document not meet those requirements. The Government does not ass...</t>
        </is>
      </c>
      <c r="C65" t="inlineStr">
        <is>
          <t>C</t>
        </is>
      </c>
      <c r="D65" s="8" t="inlineStr">
        <is>
          <t>Yes</t>
        </is>
      </c>
      <c r="E65" t="inlineStr">
        <is>
          <t>Not Started</t>
        </is>
      </c>
      <c r="F65" t="inlineStr"/>
      <c r="G65" t="inlineStr"/>
      <c r="H65" t="inlineStr"/>
      <c r="I65" t="inlineStr"/>
    </row>
    <row r="66">
      <c r="A66" t="inlineStr">
        <is>
          <t>REQ-00202</t>
        </is>
      </c>
      <c r="B66" t="inlineStr">
        <is>
          <t>Updates and/or Changes to data items may require a complete reissuance of the data items in entirety, or change pages, when the use of the change pages does not affect the readability and understanding of the data item. Change pages shall have the revised information identified and shall be accom...</t>
        </is>
      </c>
      <c r="C66" t="inlineStr">
        <is>
          <t>C</t>
        </is>
      </c>
      <c r="D66" s="8" t="inlineStr">
        <is>
          <t>Yes</t>
        </is>
      </c>
      <c r="E66" t="inlineStr">
        <is>
          <t>Not Started</t>
        </is>
      </c>
      <c r="F66" t="inlineStr"/>
      <c r="G66" t="inlineStr"/>
      <c r="H66" t="inlineStr"/>
      <c r="I66" t="inlineStr"/>
    </row>
    <row r="67">
      <c r="A67" t="inlineStr">
        <is>
          <t>REQ-00309</t>
        </is>
      </c>
      <c r="B67" t="inlineStr">
        <is>
          <t>(2)  For items that are serialized within the original part, lot, or batch number, the linking                     
together of the unique identifier data elements in order of the issuing agency code; enterprise identifier; 
original part, lot, or batch number; and serial number within the origin...</t>
        </is>
      </c>
      <c r="C67" t="inlineStr">
        <is>
          <t>C</t>
        </is>
      </c>
      <c r="D67" t="inlineStr">
        <is>
          <t>No</t>
        </is>
      </c>
      <c r="E67" t="inlineStr">
        <is>
          <t>Not Started</t>
        </is>
      </c>
      <c r="F67" t="inlineStr"/>
      <c r="G67" t="inlineStr"/>
      <c r="H67" t="inlineStr"/>
      <c r="I67" t="inlineStr"/>
    </row>
    <row r="68">
      <c r="A68" t="inlineStr">
        <is>
          <t>REQ-00315</t>
        </is>
      </c>
      <c r="B68" t="inlineStr">
        <is>
          <t>(b) The Contractor shall deliver all items under a contract line, subline, or exhibit line item.</t>
        </is>
      </c>
      <c r="C68" t="inlineStr">
        <is>
          <t>B</t>
        </is>
      </c>
      <c r="D68" s="8" t="inlineStr">
        <is>
          <t>Yes</t>
        </is>
      </c>
      <c r="E68" t="inlineStr">
        <is>
          <t>Not Started</t>
        </is>
      </c>
      <c r="F68" t="inlineStr"/>
      <c r="G68" t="inlineStr"/>
      <c r="H68" t="inlineStr"/>
      <c r="I68" t="inlineStr"/>
    </row>
    <row r="69">
      <c r="A69" t="inlineStr">
        <is>
          <t>REQ-00316</t>
        </is>
      </c>
      <c r="B69" t="inlineStr">
        <is>
          <t>(1) The Contractor shall provide a unique item identifier for the following:</t>
        </is>
      </c>
      <c r="C69" t="inlineStr">
        <is>
          <t>C</t>
        </is>
      </c>
      <c r="D69" s="8" t="inlineStr">
        <is>
          <t>Yes</t>
        </is>
      </c>
      <c r="E69" t="inlineStr">
        <is>
          <t>Not Started</t>
        </is>
      </c>
      <c r="F69" t="inlineStr"/>
      <c r="G69" t="inlineStr"/>
      <c r="H69" t="inlineStr"/>
      <c r="I69" t="inlineStr"/>
    </row>
    <row r="70">
      <c r="A70" t="inlineStr">
        <is>
          <t>REQ-00319</t>
        </is>
      </c>
      <c r="B70" t="inlineStr">
        <is>
          <t>(2) The unique item identifier assignment and its component data element combination shall                 
not be duplicated on any other item marked or registered in the DoD Item Unique Identification Registry 
by the contractor.</t>
        </is>
      </c>
      <c r="C70" t="inlineStr">
        <is>
          <t>C</t>
        </is>
      </c>
      <c r="D70" s="8" t="inlineStr">
        <is>
          <t>Yes</t>
        </is>
      </c>
      <c r="E70" t="inlineStr">
        <is>
          <t>Not Started</t>
        </is>
      </c>
      <c r="F70" t="inlineStr"/>
      <c r="G70" t="inlineStr"/>
      <c r="H70" t="inlineStr"/>
      <c r="I70" t="inlineStr"/>
    </row>
    <row r="71">
      <c r="A71" t="inlineStr">
        <is>
          <t>REQ-00320</t>
        </is>
      </c>
      <c r="B71" t="inlineStr">
        <is>
          <t>(3) The unique item identifier component data elements shall be marked on an item using                 
two dimensional data matrix symbology that complies with ISO/IEC International Standard 16022, 
Information technology - International symbology specification - Data matrix; ECC200 data matrix...</t>
        </is>
      </c>
      <c r="C71" t="inlineStr">
        <is>
          <t>L</t>
        </is>
      </c>
      <c r="D71" s="8" t="inlineStr">
        <is>
          <t>Yes</t>
        </is>
      </c>
      <c r="E71" t="inlineStr">
        <is>
          <t>Not Started</t>
        </is>
      </c>
      <c r="F71" t="inlineStr"/>
      <c r="G71" t="inlineStr"/>
      <c r="H71" t="inlineStr"/>
      <c r="I71" t="inlineStr"/>
    </row>
    <row r="72">
      <c r="A72" t="inlineStr">
        <is>
          <t>REQ-00321</t>
        </is>
      </c>
      <c r="B72" t="inlineStr">
        <is>
          <t>(4) The Contractor shall ensure that-                
Data syntax and semantics of unique item identifiers.</t>
        </is>
      </c>
      <c r="C72" t="inlineStr">
        <is>
          <t>C</t>
        </is>
      </c>
      <c r="D72" s="8" t="inlineStr">
        <is>
          <t>Yes</t>
        </is>
      </c>
      <c r="E72" t="inlineStr">
        <is>
          <t>Not Started</t>
        </is>
      </c>
      <c r="F72" t="inlineStr"/>
      <c r="G72" t="inlineStr"/>
      <c r="H72" t="inlineStr"/>
      <c r="I72" t="inlineStr"/>
    </row>
    <row r="73">
      <c r="A73" t="inlineStr">
        <is>
          <t>REQ-00324</t>
        </is>
      </c>
      <c r="B73" t="inlineStr">
        <is>
          <t>(i) The Contractor shall-                      
(A) Determine whether to-                              
Serialize within the enterprise identifier;                                    (1)   
DRAFT</t>
        </is>
      </c>
      <c r="C73" t="inlineStr">
        <is>
          <t>I</t>
        </is>
      </c>
      <c r="D73" s="8" t="inlineStr">
        <is>
          <t>Yes</t>
        </is>
      </c>
      <c r="E73" t="inlineStr">
        <is>
          <t>Not Started</t>
        </is>
      </c>
      <c r="F73" t="inlineStr"/>
      <c r="G73" t="inlineStr"/>
      <c r="H73" t="inlineStr"/>
      <c r="I73" t="inlineStr"/>
    </row>
    <row r="74">
      <c r="A74" t="inlineStr">
        <is>
          <t>REQ-00326</t>
        </is>
      </c>
      <c r="B74" t="inlineStr">
        <is>
          <t>(d) For each item that requires item unique identification under paragraph (c)(1)(i), (ii), or (iv) of         
this clause or when item unique identification is provided under paragraph (c)(1)(v), in addition to the 
information provided as part of the Material Inspection and Receiving Report sp...</t>
        </is>
      </c>
      <c r="C74" t="inlineStr">
        <is>
          <t>D</t>
        </is>
      </c>
      <c r="D74" t="inlineStr">
        <is>
          <t>No</t>
        </is>
      </c>
      <c r="E74" t="inlineStr">
        <is>
          <t>Not Started</t>
        </is>
      </c>
      <c r="F74" t="inlineStr"/>
      <c r="G74" t="inlineStr"/>
      <c r="H74" t="inlineStr"/>
      <c r="I74" t="inlineStr"/>
    </row>
    <row r="75">
      <c r="A75" t="inlineStr">
        <is>
          <t>REQ-00338</t>
        </is>
      </c>
      <c r="B75" t="inlineStr">
        <is>
          <t>(e) For embedded subassemblies, components, and parts that require DoD item unique         
identification under paragraph (c)(1)(iii) of this clause or when item unique identification is provided 
under paragraph (c)(1)(v), the Contractor shall report as part of the Material Inspection and Recei...</t>
        </is>
      </c>
      <c r="C75" t="inlineStr">
        <is>
          <t>E</t>
        </is>
      </c>
      <c r="D75" s="8" t="inlineStr">
        <is>
          <t>Yes</t>
        </is>
      </c>
      <c r="E75" t="inlineStr">
        <is>
          <t>Not Started</t>
        </is>
      </c>
      <c r="F75" t="inlineStr"/>
      <c r="G75" t="inlineStr"/>
      <c r="H75" t="inlineStr"/>
      <c r="I75" t="inlineStr"/>
    </row>
    <row r="76">
      <c r="A76" t="inlineStr">
        <is>
          <t>REQ-00349</t>
        </is>
      </c>
      <c r="B76" t="inlineStr">
        <is>
          <t>(f) The Contractor shall submit the information required by paragraphs (d) and (e) of this clause as         
follows:</t>
        </is>
      </c>
      <c r="C76" t="inlineStr">
        <is>
          <t>F</t>
        </is>
      </c>
      <c r="D76" s="8" t="inlineStr">
        <is>
          <t>Yes</t>
        </is>
      </c>
      <c r="E76" t="inlineStr">
        <is>
          <t>Not Started</t>
        </is>
      </c>
      <c r="F76" t="inlineStr"/>
      <c r="G76" t="inlineStr"/>
      <c r="H76" t="inlineStr"/>
      <c r="I76" t="inlineStr"/>
    </row>
    <row r="77">
      <c r="A77" t="inlineStr">
        <is>
          <t>REQ-00350</t>
        </is>
      </c>
      <c r="B77" t="inlineStr">
        <is>
          <t>(1) End items shall be reported using the receiving report capability in Wide Area WorkFlow                 
(WAWF) in accordance with the clause at 252.232-7003. If WAWF is not required by this contract, and 
the contractor is not using WAWF, follow the procedures at http://dodprocurementtoolbox...</t>
        </is>
      </c>
      <c r="C77" t="inlineStr">
        <is>
          <t>C</t>
        </is>
      </c>
      <c r="D77" s="8" t="inlineStr">
        <is>
          <t>Yes</t>
        </is>
      </c>
      <c r="E77" t="inlineStr">
        <is>
          <t>Not Started</t>
        </is>
      </c>
      <c r="F77" t="inlineStr"/>
      <c r="G77" t="inlineStr"/>
      <c r="H77" t="inlineStr"/>
      <c r="I77" t="inlineStr"/>
    </row>
    <row r="78">
      <c r="A78" t="inlineStr">
        <is>
          <t>REQ-00351</t>
        </is>
      </c>
      <c r="B78" t="inlineStr">
        <is>
          <t>(2) Embedded items shall be reported by one of the following methods-</t>
        </is>
      </c>
      <c r="C78" t="inlineStr">
        <is>
          <t>C</t>
        </is>
      </c>
      <c r="D78" s="8" t="inlineStr">
        <is>
          <t>Yes</t>
        </is>
      </c>
      <c r="E78" t="inlineStr">
        <is>
          <t>Not Started</t>
        </is>
      </c>
      <c r="F78" t="inlineStr"/>
      <c r="G78" t="inlineStr"/>
      <c r="H78" t="inlineStr"/>
      <c r="I78" t="inlineStr"/>
    </row>
    <row r="79">
      <c r="A79" t="inlineStr">
        <is>
          <t>REQ-00353</t>
        </is>
      </c>
      <c r="B79" t="inlineStr">
        <is>
          <t>(g) . If the Contractor acquires by subcontract, any item(s) for which item unique         Subcontracts   
identification is required in accordance with paragraph (c)(1) of this clause, the Contractor shall include 
this clause, including this paragraph (g), in the applicable subcontract(s), incl...</t>
        </is>
      </c>
      <c r="C79" t="inlineStr">
        <is>
          <t>G</t>
        </is>
      </c>
      <c r="D79" s="8" t="inlineStr">
        <is>
          <t>Yes</t>
        </is>
      </c>
      <c r="E79" t="inlineStr">
        <is>
          <t>Not Started</t>
        </is>
      </c>
      <c r="F79" t="inlineStr"/>
      <c r="G79" t="inlineStr"/>
      <c r="H79" t="inlineStr"/>
      <c r="I79" t="inlineStr"/>
    </row>
    <row r="80">
      <c r="A80" t="inlineStr">
        <is>
          <t>REQ-00358</t>
        </is>
      </c>
      <c r="B80" t="inlineStr">
        <is>
          <t>(b)  .  If the Offeror is the Canadian Commercial Corporation, Canadian Commercial Corporation
certified cost or pricing data are not required. If the Contracting Officer notifies the Canadian 
Commercial Corporation that additional data other than certified cost or pricing data are required in 
...</t>
        </is>
      </c>
      <c r="C80" t="inlineStr">
        <is>
          <t>B</t>
        </is>
      </c>
      <c r="D80" s="8" t="inlineStr">
        <is>
          <t>Yes</t>
        </is>
      </c>
      <c r="E80" t="inlineStr">
        <is>
          <t>Not Started</t>
        </is>
      </c>
      <c r="F80" t="inlineStr"/>
      <c r="G80" t="inlineStr"/>
      <c r="H80" t="inlineStr"/>
      <c r="I80" t="inlineStr"/>
    </row>
    <row r="81">
      <c r="A81" t="inlineStr">
        <is>
          <t>REQ-00363</t>
        </is>
      </c>
      <c r="B81" t="inlineStr">
        <is>
          <t>(c)  .  Unless the Offeror is the Canadian Commercial Corporation, the Offeror shall Subcontracts
insert the substance of this provision, including this paragraph (c), in all subcontracts exceeding the 
simplified acquisition threshold defined in FAR part 2.
(End of provision)</t>
        </is>
      </c>
      <c r="C81" t="inlineStr">
        <is>
          <t>C</t>
        </is>
      </c>
      <c r="D81" s="8" t="inlineStr">
        <is>
          <t>Yes</t>
        </is>
      </c>
      <c r="E81" t="inlineStr">
        <is>
          <t>Not Started</t>
        </is>
      </c>
      <c r="F81" t="inlineStr"/>
      <c r="G81" t="inlineStr"/>
      <c r="H81" t="inlineStr"/>
      <c r="I81" t="inlineStr"/>
    </row>
    <row r="82">
      <c r="A82" t="inlineStr">
        <is>
          <t>REQ-00370</t>
        </is>
      </c>
      <c r="B82" t="inlineStr">
        <is>
          <t>(i)                      
Exception for price set by law or regulation - Identification of the law or regulation 
. If the price is controlled under law by periodic rulings, reviews, or similar establishing the price offered
actions of a governmental body, attach a copy of the controlling documen...</t>
        </is>
      </c>
      <c r="C82" t="inlineStr">
        <is>
          <t>I</t>
        </is>
      </c>
      <c r="D82" t="inlineStr">
        <is>
          <t>No</t>
        </is>
      </c>
      <c r="E82" t="inlineStr">
        <is>
          <t>Not Started</t>
        </is>
      </c>
      <c r="F82" t="inlineStr"/>
      <c r="G82" t="inlineStr"/>
      <c r="H82" t="inlineStr"/>
      <c r="I82" t="inlineStr"/>
    </row>
    <row r="83">
      <c r="A83" t="inlineStr">
        <is>
          <t>REQ-00375</t>
        </is>
      </c>
      <c r="B83" t="inlineStr">
        <is>
          <t>(1) The Offeror shall submit certified cost or pricing data and supporting attachments in the                 
following format:  [Insert description of the data and format that are required, and include access ____
to records necessary to permit an adequate evaluation of the proposed price in ac...</t>
        </is>
      </c>
      <c r="C83" t="inlineStr">
        <is>
          <t>L</t>
        </is>
      </c>
      <c r="D83" s="8" t="inlineStr">
        <is>
          <t>Yes</t>
        </is>
      </c>
      <c r="E83" t="inlineStr">
        <is>
          <t>Not Started</t>
        </is>
      </c>
      <c r="F83" t="inlineStr"/>
      <c r="G83" t="inlineStr"/>
      <c r="H83" t="inlineStr"/>
      <c r="I83" t="inlineStr"/>
    </row>
    <row r="84">
      <c r="A84" t="inlineStr">
        <is>
          <t>REQ-00376</t>
        </is>
      </c>
      <c r="B84" t="inlineStr">
        <is>
          <t>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t>
        </is>
      </c>
      <c r="C84" t="inlineStr">
        <is>
          <t>M</t>
        </is>
      </c>
      <c r="D84" s="8" t="inlineStr">
        <is>
          <t>Yes</t>
        </is>
      </c>
      <c r="E84" t="inlineStr">
        <is>
          <t>Not Started</t>
        </is>
      </c>
      <c r="F84" t="inlineStr"/>
      <c r="G84" t="inlineStr"/>
      <c r="H84" t="inlineStr"/>
      <c r="I84" t="inlineStr"/>
    </row>
    <row r="85">
      <c r="A85" t="inlineStr">
        <is>
          <t>REQ-00377</t>
        </is>
      </c>
      <c r="B85" t="inlineStr">
        <is>
          <t>(2) As soon as practicable after agreement on price, but before contract award (except for                 
unpriced actions such as letter contracts), the Offeror shall submit a Certificate of Current Cost or Pricing 
Data, as prescribed by FAR 15.406-2.</t>
        </is>
      </c>
      <c r="C85" t="inlineStr">
        <is>
          <t>L</t>
        </is>
      </c>
      <c r="D85" s="8" t="inlineStr">
        <is>
          <t>Yes</t>
        </is>
      </c>
      <c r="E85" t="inlineStr">
        <is>
          <t>Not Started</t>
        </is>
      </c>
      <c r="F85" t="inlineStr"/>
      <c r="G85" t="inlineStr"/>
      <c r="H85" t="inlineStr"/>
      <c r="I85" t="inlineStr"/>
    </row>
    <row r="86">
      <c r="A86" t="inlineStr">
        <is>
          <t>REQ-00380</t>
        </is>
      </c>
      <c r="B86" t="inlineStr">
        <is>
          <t>(1) Data other than certified cost or pricing data submitted in accordance with this provision                 
shall include all data necessary to permit a determination that the proposed price is fair and reasonable, 
to include the requirements in Defense Federal Acquisition Regulation Supplem...</t>
        </is>
      </c>
      <c r="C86" t="inlineStr">
        <is>
          <t>L</t>
        </is>
      </c>
      <c r="D86" s="8" t="inlineStr">
        <is>
          <t>Yes</t>
        </is>
      </c>
      <c r="E86" t="inlineStr">
        <is>
          <t>Not Started</t>
        </is>
      </c>
      <c r="F86" t="inlineStr"/>
      <c r="G86" t="inlineStr"/>
      <c r="H86" t="inlineStr"/>
      <c r="I86" t="inlineStr"/>
    </row>
    <row r="87">
      <c r="A87" t="inlineStr">
        <is>
          <t>REQ-00381</t>
        </is>
      </c>
      <c r="B87" t="inlineStr">
        <is>
          <t>(2) In cases in which uncertified cost data is required, the information shall be provided in                 
the form in which it is regularly maintained by the Offeror or prospective subcontractor in its business 
operations.</t>
        </is>
      </c>
      <c r="C87" t="inlineStr">
        <is>
          <t>C</t>
        </is>
      </c>
      <c r="D87" s="8" t="inlineStr">
        <is>
          <t>Yes</t>
        </is>
      </c>
      <c r="E87" t="inlineStr">
        <is>
          <t>Not Started</t>
        </is>
      </c>
      <c r="F87" t="inlineStr"/>
      <c r="G87" t="inlineStr"/>
      <c r="H87" t="inlineStr"/>
      <c r="I87" t="inlineStr"/>
    </row>
    <row r="88">
      <c r="A88" t="inlineStr">
        <is>
          <t>REQ-00382</t>
        </is>
      </c>
      <c r="B88" t="inlineStr">
        <is>
          <t>(3) If the Offeror redacts data that identifies the customer (see DFARS 234.7002(e)(2)), then                 
the Offeror shall include, for each sale, the following signed statement with the data submitted:
"By submission of this data, the Offeror  certifies that the [Offeror insert company nam...</t>
        </is>
      </c>
      <c r="C88" t="inlineStr">
        <is>
          <t>L</t>
        </is>
      </c>
      <c r="D88" s="8" t="inlineStr">
        <is>
          <t>Yes</t>
        </is>
      </c>
      <c r="E88" t="inlineStr">
        <is>
          <t>Not Started</t>
        </is>
      </c>
      <c r="F88" t="inlineStr"/>
      <c r="G88" t="inlineStr"/>
      <c r="H88" t="inlineStr"/>
      <c r="I88" t="inlineStr"/>
    </row>
    <row r="89">
      <c r="A89" t="inlineStr">
        <is>
          <t>REQ-00384</t>
        </is>
      </c>
      <c r="B89" t="inlineStr">
        <is>
          <t>(4) The Offeror shall provide information described as follows:                [Insert description of the   
data and the format that are required, including access to records necessary to permit an adequate 
.evaluation of the proposed price in accordance with FAR 15.403-3 or DFARS 234.7002(e)]</t>
        </is>
      </c>
      <c r="C89" t="inlineStr">
        <is>
          <t>L</t>
        </is>
      </c>
      <c r="D89" s="8" t="inlineStr">
        <is>
          <t>Yes</t>
        </is>
      </c>
      <c r="E89" t="inlineStr">
        <is>
          <t>Not Started</t>
        </is>
      </c>
      <c r="F89" t="inlineStr"/>
      <c r="G89" t="inlineStr"/>
      <c r="H89" t="inlineStr"/>
      <c r="I89" t="inlineStr"/>
    </row>
    <row r="90">
      <c r="A90" t="inlineStr">
        <is>
          <t>REQ-00385</t>
        </is>
      </c>
      <c r="B90" t="inlineStr">
        <is>
          <t>(5) Within 10 days of a written request from the Contracting Officer for additional                 
information to support proposal analysis, the Offeror shall provide either the requested information, or a 
written explanation for the inability to fully comply.</t>
        </is>
      </c>
      <c r="C90" t="inlineStr">
        <is>
          <t>L</t>
        </is>
      </c>
      <c r="D90" s="8" t="inlineStr">
        <is>
          <t>Yes</t>
        </is>
      </c>
      <c r="E90" t="inlineStr">
        <is>
          <t>Not Started</t>
        </is>
      </c>
      <c r="F90" t="inlineStr"/>
      <c r="G90" t="inlineStr"/>
      <c r="H90" t="inlineStr"/>
      <c r="I90" t="inlineStr"/>
    </row>
    <row r="91">
      <c r="A91" t="inlineStr">
        <is>
          <t>REQ-00387</t>
        </is>
      </c>
      <c r="B91" t="inlineStr">
        <is>
          <t>(i) Offerors shall obtain from subcontractors the information necessary to support a                       
determination of price reasonableness, as described in FAR part 15 and DFARS part 215.
(ii) No cost information may be required from a prospective subcontractor in any case in              ...</t>
        </is>
      </c>
      <c r="C91" t="inlineStr">
        <is>
          <t>I</t>
        </is>
      </c>
      <c r="D91" s="8" t="inlineStr">
        <is>
          <t>Yes</t>
        </is>
      </c>
      <c r="E91" t="inlineStr">
        <is>
          <t>Not Started</t>
        </is>
      </c>
      <c r="F91" t="inlineStr"/>
      <c r="G91" t="inlineStr"/>
      <c r="H91" t="inlineStr"/>
      <c r="I91" t="inlineStr"/>
    </row>
    <row r="92">
      <c r="A92" t="inlineStr">
        <is>
          <t>REQ-00388</t>
        </is>
      </c>
      <c r="B92" t="inlineStr">
        <is>
          <t>(e) . The Offeror shall insert the substance of this provision, including this paragraph         Subcontracts</t>
        </is>
      </c>
      <c r="C92" t="inlineStr">
        <is>
          <t>E</t>
        </is>
      </c>
      <c r="D92" s="8" t="inlineStr">
        <is>
          <t>Yes</t>
        </is>
      </c>
      <c r="E92" t="inlineStr">
        <is>
          <t>Not Started</t>
        </is>
      </c>
      <c r="F92" t="inlineStr"/>
      <c r="G92" t="inlineStr"/>
      <c r="H92" t="inlineStr"/>
      <c r="I92" t="inlineStr"/>
    </row>
    <row r="93">
      <c r="A93" t="inlineStr">
        <is>
          <t>REQ-00389</t>
        </is>
      </c>
      <c r="B93" t="inlineStr">
        <is>
          <t>(e), in all subcontracts exceeding the simplified acquisition threshold defined in FAR part 2. The Offeror 
shall require prospective subcontractors to adhere to the requirements of-</t>
        </is>
      </c>
      <c r="C93" t="inlineStr">
        <is>
          <t>E</t>
        </is>
      </c>
      <c r="D93" s="8" t="inlineStr">
        <is>
          <t>Yes</t>
        </is>
      </c>
      <c r="E93" t="inlineStr">
        <is>
          <t>Not Started</t>
        </is>
      </c>
      <c r="F93" t="inlineStr"/>
      <c r="G93" t="inlineStr"/>
      <c r="H93" t="inlineStr"/>
      <c r="I93" t="inlineStr"/>
    </row>
    <row r="94">
      <c r="A94" t="inlineStr">
        <is>
          <t>REQ-00396</t>
        </is>
      </c>
      <c r="B94" t="inlineStr">
        <is>
          <t>(c) To access WAWF, the Contractor shall-        
WAWF access.</t>
        </is>
      </c>
      <c r="C94" t="inlineStr">
        <is>
          <t>C</t>
        </is>
      </c>
      <c r="D94" s="8" t="inlineStr">
        <is>
          <t>Yes</t>
        </is>
      </c>
      <c r="E94" t="inlineStr">
        <is>
          <t>Not Started</t>
        </is>
      </c>
      <c r="F94" t="inlineStr"/>
      <c r="G94" t="inlineStr"/>
      <c r="H94" t="inlineStr"/>
      <c r="I94" t="inlineStr"/>
    </row>
    <row r="95">
      <c r="A95" t="inlineStr">
        <is>
          <t>REQ-00401</t>
        </is>
      </c>
      <c r="B95" t="inlineStr">
        <is>
          <t>(f) The Contractor shall use the following information when         WAWF payment instructions.  
submitting payment requests and receiving reports in WAWF for this contract or task or delivery order:</t>
        </is>
      </c>
      <c r="C95" t="inlineStr">
        <is>
          <t>F</t>
        </is>
      </c>
      <c r="D95" s="8" t="inlineStr">
        <is>
          <t>Yes</t>
        </is>
      </c>
      <c r="E95" t="inlineStr">
        <is>
          <t>Not Started</t>
        </is>
      </c>
      <c r="F95" t="inlineStr"/>
      <c r="G95" t="inlineStr"/>
      <c r="H95" t="inlineStr"/>
      <c r="I95" t="inlineStr"/>
    </row>
    <row r="96">
      <c r="A96" t="inlineStr">
        <is>
          <t>REQ-00402</t>
        </is>
      </c>
      <c r="B96" t="inlineStr">
        <is>
          <t>(1) The Contractor shall submit payment requests using the following                 Document type.  
document type(s):</t>
        </is>
      </c>
      <c r="C96" t="inlineStr">
        <is>
          <t>C</t>
        </is>
      </c>
      <c r="D96" s="8" t="inlineStr">
        <is>
          <t>Yes</t>
        </is>
      </c>
      <c r="E96" t="inlineStr">
        <is>
          <t>Not Started</t>
        </is>
      </c>
      <c r="F96" t="inlineStr"/>
      <c r="G96" t="inlineStr"/>
      <c r="H96" t="inlineStr"/>
      <c r="I96" t="inlineStr"/>
    </row>
    <row r="97">
      <c r="A97" t="inlineStr">
        <is>
          <t>REQ-00408</t>
        </is>
      </c>
      <c r="B97" t="inlineStr">
        <is>
          <t>(3) The Contractor shall use the information in the Routing Data Table                 Document routing.  
below only to fill in applicable fields in WAWF when creating payment requests and receiving reports in 
the system.
Routing Data Table*                                                      ...</t>
        </is>
      </c>
      <c r="C97" t="inlineStr">
        <is>
          <t>C</t>
        </is>
      </c>
      <c r="D97" s="8" t="inlineStr">
        <is>
          <t>Yes</t>
        </is>
      </c>
      <c r="E97" t="inlineStr">
        <is>
          <t>Not Started</t>
        </is>
      </c>
      <c r="F97" t="inlineStr"/>
      <c r="G97" t="inlineStr"/>
      <c r="H97" t="inlineStr"/>
      <c r="I97" t="inlineStr"/>
    </row>
    <row r="98">
      <c r="A98" t="inlineStr">
        <is>
          <t>REQ-00410</t>
        </is>
      </c>
      <c r="B98" t="inlineStr">
        <is>
          <t>(4) The Contractor shall ensure a payment request includes documentation                 Payment request.  
appropriate to the type of payment request in accordance with the payment clause, contract financing 
clause, or Federal Acquisition Regulation 52.216-7, Allowable Cost and Payment, as appl...</t>
        </is>
      </c>
      <c r="C98" t="inlineStr">
        <is>
          <t>C</t>
        </is>
      </c>
      <c r="D98" s="8" t="inlineStr">
        <is>
          <t>Yes</t>
        </is>
      </c>
      <c r="E98" t="inlineStr">
        <is>
          <t>Not Started</t>
        </is>
      </c>
      <c r="F98" t="inlineStr"/>
      <c r="G98" t="inlineStr"/>
      <c r="H98" t="inlineStr"/>
      <c r="I98" t="inlineStr"/>
    </row>
    <row r="99">
      <c r="A99" t="inlineStr">
        <is>
          <t>REQ-00411</t>
        </is>
      </c>
      <c r="B99" t="inlineStr">
        <is>
          <t>(5) The Contractor shall ensure a receiving report meets the requirements                 Receiving report.  
of DFARS Appendix F.</t>
        </is>
      </c>
      <c r="C99" t="inlineStr">
        <is>
          <t>C</t>
        </is>
      </c>
      <c r="D99" s="8" t="inlineStr">
        <is>
          <t>Yes</t>
        </is>
      </c>
      <c r="E99" t="inlineStr">
        <is>
          <t>Not Started</t>
        </is>
      </c>
      <c r="F99" t="inlineStr"/>
      <c r="G99" t="inlineStr"/>
      <c r="H99" t="inlineStr"/>
      <c r="I99" t="inlineStr"/>
    </row>
    <row r="100">
      <c r="A100" t="inlineStr">
        <is>
          <t>REQ-00421</t>
        </is>
      </c>
      <c r="B100" t="inlineStr">
        <is>
          <t>(b) 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t>
        </is>
      </c>
      <c r="C100" t="inlineStr">
        <is>
          <t>B</t>
        </is>
      </c>
      <c r="D100" s="8" t="inlineStr">
        <is>
          <t>Yes</t>
        </is>
      </c>
      <c r="E100" t="inlineStr">
        <is>
          <t>Not Started</t>
        </is>
      </c>
      <c r="F100" t="inlineStr"/>
      <c r="G100" t="inlineStr"/>
      <c r="H100" t="inlineStr"/>
      <c r="I100" t="inlineStr"/>
    </row>
    <row r="101">
      <c r="A101" t="inlineStr">
        <is>
          <t>REQ-00422</t>
        </is>
      </c>
      <c r="B101" t="inlineStr">
        <is>
          <t>(c) 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C101" t="inlineStr">
        <is>
          <t>C</t>
        </is>
      </c>
      <c r="D101" s="8" t="inlineStr">
        <is>
          <t>Yes</t>
        </is>
      </c>
      <c r="E101" t="inlineStr">
        <is>
          <t>Not Started</t>
        </is>
      </c>
      <c r="F101" t="inlineStr"/>
      <c r="G101" t="inlineStr"/>
      <c r="H101" t="inlineStr"/>
      <c r="I101" t="inlineStr"/>
    </row>
    <row r="102">
      <c r="A102" t="inlineStr">
        <is>
          <t>REQ-00423</t>
        </is>
      </c>
      <c r="B102" t="inlineStr">
        <is>
          <t>(d) In the event of termination for the convenience of the Government, this clause shall not be         
construed as affecting the allowability of special termination costs in any manner other than limiting the 
maximum amount of the costs payable by the Government.</t>
        </is>
      </c>
      <c r="C102" t="inlineStr">
        <is>
          <t>D</t>
        </is>
      </c>
      <c r="D102" s="8" t="inlineStr">
        <is>
          <t>Yes</t>
        </is>
      </c>
      <c r="E102" t="inlineStr">
        <is>
          <t>Not Started</t>
        </is>
      </c>
      <c r="F102" t="inlineStr"/>
      <c r="G102" t="inlineStr"/>
      <c r="H102" t="inlineStr"/>
      <c r="I102" t="inlineStr"/>
    </row>
    <row r="103">
      <c r="A103" t="inlineStr">
        <is>
          <t>REQ-00424</t>
        </is>
      </c>
      <c r="B103" t="inlineStr">
        <is>
          <t>(e) This clause shall remain in full force and effect until this contract is fully funded.        
(End of clause)</t>
        </is>
      </c>
      <c r="C103" t="inlineStr">
        <is>
          <t>E</t>
        </is>
      </c>
      <c r="D103" s="8" t="inlineStr">
        <is>
          <t>Yes</t>
        </is>
      </c>
      <c r="E103" t="inlineStr">
        <is>
          <t>Not Started</t>
        </is>
      </c>
      <c r="F103" t="inlineStr"/>
      <c r="G103" t="inlineStr"/>
      <c r="H103" t="inlineStr"/>
      <c r="I103" t="inlineStr"/>
    </row>
    <row r="104">
      <c r="A104" t="inlineStr">
        <is>
          <t>REQ-00426</t>
        </is>
      </c>
      <c r="B104" t="inlineStr">
        <is>
          <t>(a)  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t>
        </is>
      </c>
      <c r="C104" t="inlineStr">
        <is>
          <t>A</t>
        </is>
      </c>
      <c r="D104" s="8" t="inlineStr">
        <is>
          <t>Yes</t>
        </is>
      </c>
      <c r="E104" t="inlineStr">
        <is>
          <t>Not Started</t>
        </is>
      </c>
      <c r="F104" t="inlineStr"/>
      <c r="G104" t="inlineStr"/>
      <c r="H104" t="inlineStr"/>
      <c r="I104" t="inlineStr"/>
    </row>
    <row r="105">
      <c r="A105" t="inlineStr">
        <is>
          <t>REQ-00427</t>
        </is>
      </c>
      <c r="B105" t="inlineStr">
        <is>
          <t>(b)  .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t>
        </is>
      </c>
      <c r="C105" t="inlineStr">
        <is>
          <t>B</t>
        </is>
      </c>
      <c r="D105" s="8" t="inlineStr">
        <is>
          <t>Yes</t>
        </is>
      </c>
      <c r="E105" t="inlineStr">
        <is>
          <t>Not Started</t>
        </is>
      </c>
      <c r="F105" t="inlineStr"/>
      <c r="G105" t="inlineStr"/>
      <c r="H105" t="inlineStr"/>
      <c r="I105" t="inlineStr"/>
    </row>
    <row r="106">
      <c r="A106" t="inlineStr">
        <is>
          <t>REQ-00428</t>
        </is>
      </c>
      <c r="B106" t="inlineStr">
        <is>
          <t>(c)  A written notice of award or acceptance of an offer, mailed or otherwise furnished to the 
successful offeror within the time for acceptance specified in the offer, shall result in a binding contract 
DRAFT</t>
        </is>
      </c>
      <c r="C106" t="inlineStr">
        <is>
          <t>C</t>
        </is>
      </c>
      <c r="D106" s="8" t="inlineStr">
        <is>
          <t>Yes</t>
        </is>
      </c>
      <c r="E106" t="inlineStr">
        <is>
          <t>Not Started</t>
        </is>
      </c>
      <c r="F106" t="inlineStr"/>
      <c r="G106" t="inlineStr"/>
      <c r="H106" t="inlineStr"/>
      <c r="I106" t="inlineStr"/>
    </row>
    <row r="107">
      <c r="A107" t="inlineStr">
        <is>
          <t>REQ-00430</t>
        </is>
      </c>
      <c r="B107" t="inlineStr">
        <is>
          <t>52.212-3 Offeror Representations and Certifications-Commercial 
Products and Commercial Services. 2024-05
As prescribed in , insert the following provision:12.301(b)(2)
Offeror Representations and Certifications-Commercial Products and Commercial Services (May 
2024)
The Offeror shall complete on...</t>
        </is>
      </c>
      <c r="C107" t="inlineStr">
        <is>
          <t>K</t>
        </is>
      </c>
      <c r="D107" s="8" t="inlineStr">
        <is>
          <t>Yes</t>
        </is>
      </c>
      <c r="E107" t="inlineStr">
        <is>
          <t>Not Started</t>
        </is>
      </c>
      <c r="F107" t="inlineStr"/>
      <c r="G107" t="inlineStr"/>
      <c r="H107" t="inlineStr"/>
      <c r="I107" t="inlineStr"/>
    </row>
    <row r="108">
      <c r="A108" t="inlineStr">
        <is>
          <t>REQ-00474</t>
        </is>
      </c>
      <c r="B108" t="inlineStr">
        <is>
          <t>(c)  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t>
        </is>
      </c>
      <c r="C108" t="inlineStr">
        <is>
          <t>C</t>
        </is>
      </c>
      <c r="D108" s="8" t="inlineStr">
        <is>
          <t>Yes</t>
        </is>
      </c>
      <c r="E108" t="inlineStr">
        <is>
          <t>Not Started</t>
        </is>
      </c>
      <c r="F108" t="inlineStr"/>
      <c r="G108" t="inlineStr"/>
      <c r="H108" t="inlineStr"/>
      <c r="I108" t="inlineStr"/>
    </row>
    <row r="109">
      <c r="A109" t="inlineStr">
        <is>
          <t>REQ-00476</t>
        </is>
      </c>
      <c r="B109" t="inlineStr">
        <is>
          <t>(i)  It
is,
is not a small business concern; or
(ii)  It
is,
is not a small business joint venture that complies with the requirements of 13 CFR 121.103(h) and 13 
CFR 125.8(a) and (b). [ The offeror shall enter the name and unique entity identifier of each party to the 
 .]joint venture: _______...</t>
        </is>
      </c>
      <c r="C109" t="inlineStr">
        <is>
          <t>I</t>
        </is>
      </c>
      <c r="D109" s="8" t="inlineStr">
        <is>
          <t>Yes</t>
        </is>
      </c>
      <c r="E109" t="inlineStr">
        <is>
          <t>Not Started</t>
        </is>
      </c>
      <c r="F109" t="inlineStr"/>
      <c r="G109" t="inlineStr"/>
      <c r="H109" t="inlineStr"/>
      <c r="I109" t="inlineStr"/>
    </row>
    <row r="110">
      <c r="A110" t="inlineStr">
        <is>
          <t>REQ-00483</t>
        </is>
      </c>
      <c r="B110" t="inlineStr">
        <is>
          <t>(7)   The offeror represents that itWOSB joint venture eligible under the WOSB Program.
is,
is not a joint venture that complies with the requirements of 13 CFR 127.506(a) through (c). [ The 
 offeror shall enter the name and unique entity identifier of each party to the joint venture: __________...</t>
        </is>
      </c>
      <c r="C110" t="inlineStr">
        <is>
          <t>L</t>
        </is>
      </c>
      <c r="D110" s="8" t="inlineStr">
        <is>
          <t>Yes</t>
        </is>
      </c>
      <c r="E110" t="inlineStr">
        <is>
          <t>Not Started</t>
        </is>
      </c>
      <c r="F110" t="inlineStr"/>
      <c r="G110" t="inlineStr"/>
      <c r="H110" t="inlineStr"/>
      <c r="I110" t="inlineStr"/>
    </row>
    <row r="111">
      <c r="A111" t="inlineStr">
        <is>
          <t>REQ-00484</t>
        </is>
      </c>
      <c r="B111" t="inlineStr">
        <is>
          <t>(8)   The offeror Economically disadvantaged women-owned small business (EDWOSB) joint venture.
represents that it
 is,
is not a joint venture that complies with the requirements of 13 CFR 127.506(a) through (c). [The 
 offeror shall enter the name and unique entity identifier of each party to th...</t>
        </is>
      </c>
      <c r="C111" t="inlineStr">
        <is>
          <t>K</t>
        </is>
      </c>
      <c r="D111" s="8" t="inlineStr">
        <is>
          <t>Yes</t>
        </is>
      </c>
      <c r="E111" t="inlineStr">
        <is>
          <t>Not Started</t>
        </is>
      </c>
      <c r="F111" t="inlineStr"/>
      <c r="G111" t="inlineStr"/>
      <c r="H111" t="inlineStr"/>
      <c r="I111" t="inlineStr"/>
    </row>
    <row r="112">
      <c r="A112" t="inlineStr">
        <is>
          <t>REQ-00489</t>
        </is>
      </c>
      <c r="B112" t="inlineStr">
        <is>
          <t>(c). [  The offeror shall enter the name and unique entity identifier of each party to the joint venture: ____
.] Each HUBZone small business concern participating in the HUBZone joint venture shall provide 
representation of its HUBZone status.
 Representations required to implement provisions o...</t>
        </is>
      </c>
      <c r="C112" t="inlineStr">
        <is>
          <t>C</t>
        </is>
      </c>
      <c r="D112" s="8" t="inlineStr">
        <is>
          <t>Yes</t>
        </is>
      </c>
      <c r="E112" t="inlineStr">
        <is>
          <t>Not Started</t>
        </is>
      </c>
      <c r="F112" t="inlineStr"/>
      <c r="G112" t="inlineStr"/>
      <c r="H112" t="inlineStr"/>
      <c r="I112" t="inlineStr"/>
    </row>
    <row r="113">
      <c r="A113" t="inlineStr">
        <is>
          <t>REQ-00494</t>
        </is>
      </c>
      <c r="B113" t="inlineStr">
        <is>
          <t>(e)  Certification Regarding Payments to Influence Federal Transactions (31 http://uscode.house.gov/ 
. (Applies only if the contract is expected to exceed $150,000.) By submission of its offer, U.S.C. 1352)
the offeror certifies to the best of its knowledge and belief that no Federal appropriate...</t>
        </is>
      </c>
      <c r="C113" t="inlineStr">
        <is>
          <t>E</t>
        </is>
      </c>
      <c r="D113" t="inlineStr">
        <is>
          <t>No</t>
        </is>
      </c>
      <c r="E113" t="inlineStr">
        <is>
          <t>Not Started</t>
        </is>
      </c>
      <c r="F113" t="inlineStr"/>
      <c r="G113" t="inlineStr"/>
      <c r="H113" t="inlineStr"/>
      <c r="I113" t="inlineStr"/>
    </row>
    <row r="114">
      <c r="A114" t="inlineStr">
        <is>
          <t>REQ-00497</t>
        </is>
      </c>
      <c r="B114" t="inlineStr">
        <is>
          <t>(i)  The Offeror certifies that each end product, except those listed in paragraph (f)(2) of this provision, 
is a domestic end product and that each domestic end product listed in paragraph (f)(3) of this provision 
contains a critical component.
(ii)  The Offeror shall list as foreign end produ...</t>
        </is>
      </c>
      <c r="C114" t="inlineStr">
        <is>
          <t>I</t>
        </is>
      </c>
      <c r="D114" s="8" t="inlineStr">
        <is>
          <t>Yes</t>
        </is>
      </c>
      <c r="E114" t="inlineStr">
        <is>
          <t>Not Started</t>
        </is>
      </c>
      <c r="F114" t="inlineStr"/>
      <c r="G114" t="inlineStr"/>
      <c r="H114" t="inlineStr"/>
      <c r="I114" t="inlineStr"/>
    </row>
    <row r="115">
      <c r="A115" t="inlineStr">
        <is>
          <t>REQ-00512</t>
        </is>
      </c>
      <c r="B115" t="inlineStr">
        <is>
          <t>(i)  The offeror certifies that each end product, except those listed in paragraph (g)(4)(ii) of this 
provision, is a U.S.-made or designated country end product, as defined in the clause of this solicitation 
entitled "Trade Agreements."
(ii)  The offeror shall list as other end products those ...</t>
        </is>
      </c>
      <c r="C115" t="inlineStr">
        <is>
          <t>I</t>
        </is>
      </c>
      <c r="D115" s="8" t="inlineStr">
        <is>
          <t>Yes</t>
        </is>
      </c>
      <c r="E115" t="inlineStr">
        <is>
          <t>Not Started</t>
        </is>
      </c>
      <c r="F115" t="inlineStr"/>
      <c r="G115" t="inlineStr"/>
      <c r="H115" t="inlineStr"/>
      <c r="I115" t="inlineStr"/>
    </row>
    <row r="116">
      <c r="A116" t="inlineStr">
        <is>
          <t>REQ-00520</t>
        </is>
      </c>
      <c r="B116" t="inlineStr">
        <is>
          <t>(i)  Certification Regarding Knowledge of Child Labor for Listed End Products (Executive Order 
13126). [The Contracting Officer must list in paragraph (i)(1) any end products being acquired under 
this solicitation that are included in the List of Products Requiring Contractor Certification as t...</t>
        </is>
      </c>
      <c r="C116" t="inlineStr">
        <is>
          <t>I</t>
        </is>
      </c>
      <c r="D116" s="8" t="inlineStr">
        <is>
          <t>Yes</t>
        </is>
      </c>
      <c r="E116" t="inlineStr">
        <is>
          <t>Not Started</t>
        </is>
      </c>
      <c r="F116" t="inlineStr"/>
      <c r="G116" t="inlineStr"/>
      <c r="H116" t="inlineStr"/>
      <c r="I116" t="inlineStr"/>
    </row>
    <row r="117">
      <c r="A117" t="inlineStr">
        <is>
          <t>REQ-00522</t>
        </is>
      </c>
      <c r="B117" t="inlineStr">
        <is>
          <t>(2)  Certification. [If the Contracting Officer has identified end products and countries of origin in 
paragraph (i)(1) of this provision, then the offeror must certify to either (i)(2)(i) or (i)(2)(ii) by checking 
the appropriate block.]
 # (i) 
 # (ii)</t>
        </is>
      </c>
      <c r="C117" t="inlineStr">
        <is>
          <t>K</t>
        </is>
      </c>
      <c r="D117" s="8" t="inlineStr">
        <is>
          <t>Yes</t>
        </is>
      </c>
      <c r="E117" t="inlineStr">
        <is>
          <t>Not Started</t>
        </is>
      </c>
      <c r="F117" t="inlineStr"/>
      <c r="G117" t="inlineStr"/>
      <c r="H117" t="inlineStr"/>
      <c r="I117" t="inlineStr"/>
    </row>
    <row r="118">
      <c r="A118" t="inlineStr">
        <is>
          <t>REQ-00523</t>
        </is>
      </c>
      <c r="B118" t="inlineStr">
        <is>
          <t>(j)   (Does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t>
        </is>
      </c>
      <c r="C118" t="inlineStr">
        <is>
          <t>J</t>
        </is>
      </c>
      <c r="D118" s="8" t="inlineStr">
        <is>
          <t>Yes</t>
        </is>
      </c>
      <c r="E118" t="inlineStr">
        <is>
          <t>Not Started</t>
        </is>
      </c>
      <c r="F118" t="inlineStr"/>
      <c r="G118" t="inlineStr"/>
      <c r="H118" t="inlineStr"/>
      <c r="I118" t="inlineStr"/>
    </row>
    <row r="119">
      <c r="A119" t="inlineStr">
        <is>
          <t>REQ-00531</t>
        </is>
      </c>
      <c r="B119" t="inlineStr">
        <is>
          <t>(i)  If the offeror does not certify to the conditions in paragraph (k)(1) or (k)(2) and the Contracting 
Officer did not attach a Service Contract Labor Standards wage determination to the solicitation, the 
offeror shall notify the Contracting Officer as soon as possible; and
(ii)  The Contract...</t>
        </is>
      </c>
      <c r="C119" t="inlineStr">
        <is>
          <t>I</t>
        </is>
      </c>
      <c r="D119" s="8" t="inlineStr">
        <is>
          <t>Yes</t>
        </is>
      </c>
      <c r="E119" t="inlineStr">
        <is>
          <t>Not Started</t>
        </is>
      </c>
      <c r="F119" t="inlineStr"/>
      <c r="G119" t="inlineStr"/>
      <c r="H119" t="inlineStr"/>
      <c r="I119" t="inlineStr"/>
    </row>
    <row r="120">
      <c r="A120" t="inlineStr">
        <is>
          <t>REQ-00532</t>
        </is>
      </c>
      <c r="B120" t="inlineStr">
        <is>
          <t>(l)   26 U.S.C. 6109, 31 U.S.C. 7701). (Not applicable if the Taxpayer Identification Number (TIN) (
offeror is required to provide this information to the SAM to be eligible for award.)</t>
        </is>
      </c>
      <c r="C120" t="inlineStr">
        <is>
          <t>L</t>
        </is>
      </c>
      <c r="D120" s="8" t="inlineStr">
        <is>
          <t>Yes</t>
        </is>
      </c>
      <c r="E120" t="inlineStr">
        <is>
          <t>Not Started</t>
        </is>
      </c>
      <c r="F120" t="inlineStr"/>
      <c r="G120" t="inlineStr"/>
      <c r="H120" t="inlineStr"/>
      <c r="I120" t="inlineStr"/>
    </row>
    <row r="121">
      <c r="A121" t="inlineStr">
        <is>
          <t>REQ-00533</t>
        </is>
      </c>
      <c r="B121" t="inlineStr">
        <is>
          <t>(1)  All offerors must submit the information required in paragraphs (l)(3) through (l)(5) of this 
provision to comply with debt collection requirements of 31 U.S.C. 7701(c) and 3325(d), reporting 
requirements of 26 U.S.C. 6041, 6041A, and 6050M, and implementing regulations issued by the 
Inte...</t>
        </is>
      </c>
      <c r="C121" t="inlineStr">
        <is>
          <t>L</t>
        </is>
      </c>
      <c r="D121" s="8" t="inlineStr">
        <is>
          <t>Yes</t>
        </is>
      </c>
      <c r="E121" t="inlineStr">
        <is>
          <t>Not Started</t>
        </is>
      </c>
      <c r="F121" t="inlineStr"/>
      <c r="G121" t="inlineStr"/>
      <c r="H121" t="inlineStr"/>
      <c r="I121" t="inlineStr"/>
    </row>
    <row r="122">
      <c r="A122" t="inlineStr">
        <is>
          <t>REQ-00544</t>
        </is>
      </c>
      <c r="B122" t="inlineStr">
        <is>
          <t>(1)  The offeror shall e-mail questions concerning sensitive technology to the Department of State at 
CISADA106@state.gov.</t>
        </is>
      </c>
      <c r="C122" t="inlineStr">
        <is>
          <t>L</t>
        </is>
      </c>
      <c r="D122" s="8" t="inlineStr">
        <is>
          <t>Yes</t>
        </is>
      </c>
      <c r="E122" t="inlineStr">
        <is>
          <t>Not Started</t>
        </is>
      </c>
      <c r="F122" t="inlineStr"/>
      <c r="G122" t="inlineStr"/>
      <c r="H122" t="inlineStr"/>
      <c r="I122" t="inlineStr"/>
    </row>
    <row r="123">
      <c r="A123" t="inlineStr">
        <is>
          <t>REQ-00550</t>
        </is>
      </c>
      <c r="B123" t="inlineStr">
        <is>
          <t>(1)  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C123" t="inlineStr">
        <is>
          <t>L</t>
        </is>
      </c>
      <c r="D123" s="8" t="inlineStr">
        <is>
          <t>Yes</t>
        </is>
      </c>
      <c r="E123" t="inlineStr">
        <is>
          <t>Not Started</t>
        </is>
      </c>
      <c r="F123" t="inlineStr"/>
      <c r="G123" t="inlineStr"/>
      <c r="H123" t="inlineStr"/>
      <c r="I123" t="inlineStr"/>
    </row>
    <row r="124">
      <c r="A124" t="inlineStr">
        <is>
          <t>REQ-00562</t>
        </is>
      </c>
      <c r="B124" t="inlineStr">
        <is>
          <t>(1)  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t>
        </is>
      </c>
      <c r="C124" t="inlineStr">
        <is>
          <t>K</t>
        </is>
      </c>
      <c r="D124" s="8" t="inlineStr">
        <is>
          <t>Yes</t>
        </is>
      </c>
      <c r="E124" t="inlineStr">
        <is>
          <t>Not Started</t>
        </is>
      </c>
      <c r="F124" t="inlineStr"/>
      <c r="G124" t="inlineStr"/>
      <c r="H124" t="inlineStr"/>
      <c r="I124" t="inlineStr"/>
    </row>
    <row r="125">
      <c r="A125" t="inlineStr">
        <is>
          <t>REQ-00564</t>
        </is>
      </c>
      <c r="B125" t="inlineStr">
        <is>
          <t>(3)  If the Offeror checked "does" in paragraphs (t)(2)(i) or (t)(2)(ii) of this provision, respectively, the 
Offeror shall provide the publicly accessible website(s) where greenhouse gas emissions and/or 
reduction goals are reported: .____</t>
        </is>
      </c>
      <c r="C125" t="inlineStr">
        <is>
          <t>L</t>
        </is>
      </c>
      <c r="D125" s="8" t="inlineStr">
        <is>
          <t>Yes</t>
        </is>
      </c>
      <c r="E125" t="inlineStr">
        <is>
          <t>Not Started</t>
        </is>
      </c>
      <c r="F125" t="inlineStr"/>
      <c r="G125" t="inlineStr"/>
      <c r="H125" t="inlineStr"/>
      <c r="I125" t="inlineStr"/>
    </row>
    <row r="126">
      <c r="A126" t="inlineStr">
        <is>
          <t>REQ-00569</t>
        </is>
      </c>
      <c r="B126" t="inlineStr">
        <is>
          <t>(1)  The Offeror shall review the list of excluded parties in the System for Award Management (SAM) 
(https://www.sam.gov) for entities excluded from receiving federal awards for "covered 
telecommunications equipment or services".</t>
        </is>
      </c>
      <c r="C126" t="inlineStr">
        <is>
          <t>K</t>
        </is>
      </c>
      <c r="D126" s="8" t="inlineStr">
        <is>
          <t>Yes</t>
        </is>
      </c>
      <c r="E126" t="inlineStr">
        <is>
          <t>Not Started</t>
        </is>
      </c>
      <c r="F126" t="inlineStr"/>
      <c r="G126" t="inlineStr"/>
      <c r="H126" t="inlineStr"/>
      <c r="I126" t="inlineStr"/>
    </row>
    <row r="127">
      <c r="A127" t="inlineStr">
        <is>
          <t>REQ-00576</t>
        </is>
      </c>
      <c r="B127" t="inlineStr">
        <is>
          <t>(2) If the Government performs inspection or tests on the premises of the Contractor or a 
subcontractor, the Contractor shall furnish and shall require subcontractors to furnish all reasonable 
facilities and assistance for the safe and convenient performance of these duties.</t>
        </is>
      </c>
      <c r="C127" t="inlineStr">
        <is>
          <t>C</t>
        </is>
      </c>
      <c r="D127" s="8" t="inlineStr">
        <is>
          <t>Yes</t>
        </is>
      </c>
      <c r="E127" t="inlineStr">
        <is>
          <t>Not Started</t>
        </is>
      </c>
      <c r="F127" t="inlineStr"/>
      <c r="G127" t="inlineStr"/>
      <c r="H127" t="inlineStr"/>
      <c r="I127" t="inlineStr"/>
    </row>
    <row r="128">
      <c r="A128" t="inlineStr">
        <is>
          <t>REQ-00578</t>
        </is>
      </c>
      <c r="B128" t="inlineStr">
        <is>
          <t>(4) 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t>
        </is>
      </c>
      <c r="C128" t="inlineStr">
        <is>
          <t>C</t>
        </is>
      </c>
      <c r="D128" t="inlineStr">
        <is>
          <t>No</t>
        </is>
      </c>
      <c r="E128" t="inlineStr">
        <is>
          <t>Not Started</t>
        </is>
      </c>
      <c r="F128" t="inlineStr"/>
      <c r="G128" t="inlineStr"/>
      <c r="H128" t="inlineStr"/>
      <c r="I128" t="inlineStr"/>
    </row>
    <row r="129">
      <c r="A129" t="inlineStr">
        <is>
          <t>REQ-00585</t>
        </is>
      </c>
      <c r="B129" t="inlineStr">
        <is>
          <t>(9) Unless otherwise specified in the contract, the Contractor's obligation to correct or replace 
Government-furnished property shall be governed by the clause pertaining to Government property.</t>
        </is>
      </c>
      <c r="C129" t="inlineStr">
        <is>
          <t>C</t>
        </is>
      </c>
      <c r="D129" s="8" t="inlineStr">
        <is>
          <t>Yes</t>
        </is>
      </c>
      <c r="E129" t="inlineStr">
        <is>
          <t>Not Started</t>
        </is>
      </c>
      <c r="F129" t="inlineStr"/>
      <c r="G129" t="inlineStr"/>
      <c r="H129" t="inlineStr"/>
      <c r="I129" t="inlineStr"/>
    </row>
    <row r="130">
      <c r="A130" t="inlineStr">
        <is>
          <t>REQ-00590</t>
        </is>
      </c>
      <c r="B130" t="inlineStr">
        <is>
          <t>(i) .Hourly rate
(A) The amounts shall be computed by multiplying the appropriate hourly rates 
prescribed in the contract by the number of direct labor hours performed. Fractional parts of an hour 
shall be payable on a prorated basis.
(B) The rates shall be paid for all labor performed on the c...</t>
        </is>
      </c>
      <c r="C130" t="inlineStr">
        <is>
          <t>I</t>
        </is>
      </c>
      <c r="D130" s="8" t="inlineStr">
        <is>
          <t>Yes</t>
        </is>
      </c>
      <c r="E130" t="inlineStr">
        <is>
          <t>Not Started</t>
        </is>
      </c>
      <c r="F130" t="inlineStr"/>
      <c r="G130" t="inlineStr"/>
      <c r="H130" t="inlineStr"/>
      <c r="I130" t="inlineStr"/>
    </row>
    <row r="131">
      <c r="A131" t="inlineStr">
        <is>
          <t>REQ-00593</t>
        </is>
      </c>
      <c r="B131" t="inlineStr">
        <is>
          <t>(2) Makes these payments within 30 days of the submission of the Contractor's payment 
request to the Government and such payment is in accordance with the terms and conditions of the 
agreement or invoice.
(C) To the extent able, the Contractor shall-</t>
        </is>
      </c>
      <c r="C131" t="inlineStr">
        <is>
          <t>C</t>
        </is>
      </c>
      <c r="D131" s="8" t="inlineStr">
        <is>
          <t>Yes</t>
        </is>
      </c>
      <c r="E131" t="inlineStr">
        <is>
          <t>Not Started</t>
        </is>
      </c>
      <c r="F131" t="inlineStr"/>
      <c r="G131" t="inlineStr"/>
      <c r="H131" t="inlineStr"/>
      <c r="I131" t="inlineStr"/>
    </row>
    <row r="132">
      <c r="A132" t="inlineStr">
        <is>
          <t>REQ-00596</t>
        </is>
      </c>
      <c r="B132" t="inlineStr">
        <is>
          <t>(1) . The Government will reimburse the Contractor on the basis of Other Direct Costs
actual cost for the following, provided such costs comply with the requirements in paragraph (i)(1)(ii)(B) 
of this clause: [Insert each element of other direct costs (e.g., travel, computer usage charges, etc. ...</t>
        </is>
      </c>
      <c r="C132" t="inlineStr">
        <is>
          <t>C</t>
        </is>
      </c>
      <c r="D132" t="inlineStr">
        <is>
          <t>No</t>
        </is>
      </c>
      <c r="E132" t="inlineStr">
        <is>
          <t>Not Started</t>
        </is>
      </c>
      <c r="F132" t="inlineStr"/>
      <c r="G132" t="inlineStr"/>
      <c r="H132" t="inlineStr"/>
      <c r="I132" t="inlineStr"/>
    </row>
    <row r="133">
      <c r="A133" t="inlineStr">
        <is>
          <t>REQ-00597</t>
        </is>
      </c>
      <c r="B133" t="inlineStr">
        <is>
          <t>(2) . The Indirect Costs (Material Handling, Subcontract Administration, etc.)
Government will reimburse the Contractor for indirect costs on a pro-rata basis over the period of 
contract performance at the following fixed price: [Insert a fixed amount for the indirect costs and 
____
payment sch...</t>
        </is>
      </c>
      <c r="C133" t="inlineStr">
        <is>
          <t>C</t>
        </is>
      </c>
      <c r="D133" t="inlineStr">
        <is>
          <t>No</t>
        </is>
      </c>
      <c r="E133" t="inlineStr">
        <is>
          <t>Not Started</t>
        </is>
      </c>
      <c r="F133" t="inlineStr"/>
      <c r="G133" t="inlineStr"/>
      <c r="H133" t="inlineStr"/>
      <c r="I133" t="inlineStr"/>
    </row>
    <row r="134">
      <c r="A134" t="inlineStr">
        <is>
          <t>REQ-00598</t>
        </is>
      </c>
      <c r="B134" t="inlineStr">
        <is>
          <t>(2) .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t>
        </is>
      </c>
      <c r="C134" t="inlineStr">
        <is>
          <t>C</t>
        </is>
      </c>
      <c r="D134" s="8" t="inlineStr">
        <is>
          <t>Yes</t>
        </is>
      </c>
      <c r="E134" t="inlineStr">
        <is>
          <t>Not Started</t>
        </is>
      </c>
      <c r="F134" t="inlineStr"/>
      <c r="G134" t="inlineStr"/>
      <c r="H134" t="inlineStr"/>
      <c r="I134" t="inlineStr"/>
    </row>
    <row r="135">
      <c r="A135" t="inlineStr">
        <is>
          <t>REQ-00599</t>
        </is>
      </c>
      <c r="B135" t="inlineStr">
        <is>
          <t>(3) . The Government will not be obligated to pay the Contractor any amount in Ceiling price
excess of the ceiling price in the Schedule, and the Contractor shall not be obligated to continue 
performance if to do so would exceed the ceiling price set forth in the Schedule, unless and until the 
...</t>
        </is>
      </c>
      <c r="C135" t="inlineStr">
        <is>
          <t>C</t>
        </is>
      </c>
      <c r="D135" s="8" t="inlineStr">
        <is>
          <t>Yes</t>
        </is>
      </c>
      <c r="E135" t="inlineStr">
        <is>
          <t>Not Started</t>
        </is>
      </c>
      <c r="F135" t="inlineStr"/>
      <c r="G135" t="inlineStr"/>
      <c r="H135" t="inlineStr"/>
      <c r="I135" t="inlineStr"/>
    </row>
    <row r="136">
      <c r="A136" t="inlineStr">
        <is>
          <t>REQ-00601</t>
        </is>
      </c>
      <c r="B136" t="inlineStr">
        <is>
          <t>(4) .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C136" t="inlineStr">
        <is>
          <t>C</t>
        </is>
      </c>
      <c r="D136" s="8" t="inlineStr">
        <is>
          <t>Yes</t>
        </is>
      </c>
      <c r="E136" t="inlineStr">
        <is>
          <t>Not Started</t>
        </is>
      </c>
      <c r="F136" t="inlineStr"/>
      <c r="G136" t="inlineStr"/>
      <c r="H136" t="inlineStr"/>
      <c r="I136" t="inlineStr"/>
    </row>
    <row r="137">
      <c r="A137" t="inlineStr">
        <is>
          <t>REQ-00603</t>
        </is>
      </c>
      <c r="B137" t="inlineStr">
        <is>
          <t>(5)  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 
und...</t>
        </is>
      </c>
      <c r="C137" t="inlineStr">
        <is>
          <t>C</t>
        </is>
      </c>
      <c r="D137" s="8" t="inlineStr">
        <is>
          <t>Yes</t>
        </is>
      </c>
      <c r="E137" t="inlineStr">
        <is>
          <t>Not Started</t>
        </is>
      </c>
      <c r="F137" t="inlineStr"/>
      <c r="G137" t="inlineStr"/>
      <c r="H137" t="inlineStr"/>
      <c r="I137" t="inlineStr"/>
    </row>
    <row r="138">
      <c r="A138" t="inlineStr">
        <is>
          <t>REQ-00605</t>
        </is>
      </c>
      <c r="B138" t="inlineStr">
        <is>
          <t>(6)(i) All amounts that become payable by the Contractor to the Government under this contract 
shall bear simple interest from the date due until paid unless paid within 30 days of becoming due. The 
DRAFT</t>
        </is>
      </c>
      <c r="C138" t="inlineStr">
        <is>
          <t>C</t>
        </is>
      </c>
      <c r="D138" s="8" t="inlineStr">
        <is>
          <t>Yes</t>
        </is>
      </c>
      <c r="E138" t="inlineStr">
        <is>
          <t>Not Started</t>
        </is>
      </c>
      <c r="F138" t="inlineStr"/>
      <c r="G138" t="inlineStr"/>
      <c r="H138" t="inlineStr"/>
      <c r="I138" t="inlineStr"/>
    </row>
    <row r="139">
      <c r="A139" t="inlineStr">
        <is>
          <t>REQ-00607</t>
        </is>
      </c>
      <c r="B139" t="inlineStr">
        <is>
          <t>C. 7109, which is applicable to the period in which the amount becomes due, and then at the rate 
applicable for each six month period as established by the Secretary until the amount is paid.
(ii) The Government may issue a demand for payment to the Contractor upon finding a debt 
is due under t...</t>
        </is>
      </c>
      <c r="C139" t="inlineStr">
        <is>
          <t>C</t>
        </is>
      </c>
      <c r="D139" t="inlineStr">
        <is>
          <t>No</t>
        </is>
      </c>
      <c r="E139" t="inlineStr">
        <is>
          <t>Not Started</t>
        </is>
      </c>
      <c r="F139" t="inlineStr"/>
      <c r="G139" t="inlineStr"/>
      <c r="H139" t="inlineStr"/>
      <c r="I139" t="inlineStr"/>
    </row>
    <row r="140">
      <c r="A140" t="inlineStr">
        <is>
          <t>REQ-00608</t>
        </is>
      </c>
      <c r="B140" t="inlineStr">
        <is>
          <t>(v) Amounts shall be due at the earliest of the following dates:
(A) The date fixed under this contract.
(B) The date of the first written demand for payment, including any demand for payment 
resulting from a default termination.
(vi) The interest charge shall be computed for the actual number o...</t>
        </is>
      </c>
      <c r="C140" t="inlineStr">
        <is>
          <t>M</t>
        </is>
      </c>
      <c r="D140" s="8" t="inlineStr">
        <is>
          <t>Yes</t>
        </is>
      </c>
      <c r="E140" t="inlineStr">
        <is>
          <t>Not Started</t>
        </is>
      </c>
      <c r="F140" t="inlineStr"/>
      <c r="G140" t="inlineStr"/>
      <c r="H140" t="inlineStr"/>
      <c r="I140" t="inlineStr"/>
    </row>
    <row r="141">
      <c r="A141" t="inlineStr">
        <is>
          <t>REQ-00609</t>
        </is>
      </c>
      <c r="B141" t="inlineStr">
        <is>
          <t>(7) . The Contractor, and each assignee under an assignment entered into under this Release of claims
contract and in effect at the time of final payment under this contract, shall execute and deliver, at the 
time of and as a condition precedent to final payment under this contract, a release di...</t>
        </is>
      </c>
      <c r="C141" t="inlineStr">
        <is>
          <t>C</t>
        </is>
      </c>
      <c r="D141" s="8" t="inlineStr">
        <is>
          <t>Yes</t>
        </is>
      </c>
      <c r="E141" t="inlineStr">
        <is>
          <t>Not Started</t>
        </is>
      </c>
      <c r="F141" t="inlineStr"/>
      <c r="G141" t="inlineStr"/>
      <c r="H141" t="inlineStr"/>
      <c r="I141" t="inlineStr"/>
    </row>
    <row r="142">
      <c r="A142" t="inlineStr">
        <is>
          <t>REQ-00613</t>
        </is>
      </c>
      <c r="B142" t="inlineStr">
        <is>
          <t>(10) .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t>
        </is>
      </c>
      <c r="C142" t="inlineStr">
        <is>
          <t>C</t>
        </is>
      </c>
      <c r="D142" s="8" t="inlineStr">
        <is>
          <t>Yes</t>
        </is>
      </c>
      <c r="E142" t="inlineStr">
        <is>
          <t>Not Started</t>
        </is>
      </c>
      <c r="F142" t="inlineStr"/>
      <c r="G142" t="inlineStr"/>
      <c r="H142" t="inlineStr"/>
      <c r="I142" t="inlineStr"/>
    </row>
    <row r="143">
      <c r="A143" t="inlineStr">
        <is>
          <t>REQ-00614</t>
        </is>
      </c>
      <c r="B143" t="inlineStr">
        <is>
          <t>(l) 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t>
        </is>
      </c>
      <c r="C143" t="inlineStr">
        <is>
          <t>L</t>
        </is>
      </c>
      <c r="D143" s="8" t="inlineStr">
        <is>
          <t>Yes</t>
        </is>
      </c>
      <c r="E143" t="inlineStr">
        <is>
          <t>Not Started</t>
        </is>
      </c>
      <c r="F143" t="inlineStr"/>
      <c r="G143" t="inlineStr"/>
      <c r="H143" t="inlineStr"/>
      <c r="I143" t="inlineStr"/>
    </row>
    <row r="144">
      <c r="A144" t="inlineStr">
        <is>
          <t>REQ-00615</t>
        </is>
      </c>
      <c r="B144" t="inlineStr">
        <is>
          <t>(m) 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t>
        </is>
      </c>
      <c r="C144" t="inlineStr">
        <is>
          <t>M</t>
        </is>
      </c>
      <c r="D144" t="inlineStr">
        <is>
          <t>No</t>
        </is>
      </c>
      <c r="E144" t="inlineStr">
        <is>
          <t>Not Started</t>
        </is>
      </c>
      <c r="F144" t="inlineStr"/>
      <c r="G144" t="inlineStr"/>
      <c r="H144" t="inlineStr"/>
      <c r="I144" t="inlineStr"/>
    </row>
    <row r="145">
      <c r="A145" t="inlineStr">
        <is>
          <t>REQ-00618</t>
        </is>
      </c>
      <c r="B145" t="inlineStr">
        <is>
          <t>(a)  The Contractor shall comply with the following Federal Acquisition Regulation (FAR) clauses, 
which are incorporated in this contract by reference, to implement provisions of law or Executive orders 
applicable to acquisitions of commercial products and commercial services:</t>
        </is>
      </c>
      <c r="C145" t="inlineStr">
        <is>
          <t>A</t>
        </is>
      </c>
      <c r="D145" s="8" t="inlineStr">
        <is>
          <t>Yes</t>
        </is>
      </c>
      <c r="E145" t="inlineStr">
        <is>
          <t>Not Started</t>
        </is>
      </c>
      <c r="F145" t="inlineStr"/>
      <c r="G145" t="inlineStr"/>
      <c r="H145" t="inlineStr"/>
      <c r="I145" t="inlineStr"/>
    </row>
    <row r="146">
      <c r="A146" t="inlineStr">
        <is>
          <t>REQ-00626</t>
        </is>
      </c>
      <c r="B146" t="inlineStr">
        <is>
          <t>(b)  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t>
        </is>
      </c>
      <c r="C146" t="inlineStr">
        <is>
          <t>B</t>
        </is>
      </c>
      <c r="D146" s="8" t="inlineStr">
        <is>
          <t>Yes</t>
        </is>
      </c>
      <c r="E146" t="inlineStr">
        <is>
          <t>Not Started</t>
        </is>
      </c>
      <c r="F146" t="inlineStr"/>
      <c r="G146" t="inlineStr"/>
      <c r="H146" t="inlineStr"/>
      <c r="I146" t="inlineStr"/>
    </row>
    <row r="147">
      <c r="A147" t="inlineStr">
        <is>
          <t>REQ-00642</t>
        </is>
      </c>
      <c r="B147" t="inlineStr">
        <is>
          <t>52.219-4, Notice of Price Evaluation Preference for HUBZone Small Business Concerns ((16) OCT 
) (if the offeror elects to waive the preference, it shall so indicate in its offer) (15 U.S.C. 657a).2022
 [Reserved](17)</t>
        </is>
      </c>
      <c r="C147" t="inlineStr">
        <is>
          <t>K</t>
        </is>
      </c>
      <c r="D147" s="8" t="inlineStr">
        <is>
          <t>Yes</t>
        </is>
      </c>
      <c r="E147" t="inlineStr">
        <is>
          <t>Not Started</t>
        </is>
      </c>
      <c r="F147" t="inlineStr"/>
      <c r="G147" t="inlineStr"/>
      <c r="H147" t="inlineStr"/>
      <c r="I147" t="inlineStr"/>
    </row>
    <row r="148">
      <c r="A148" t="inlineStr">
        <is>
          <t>REQ-00694</t>
        </is>
      </c>
      <c r="B148" t="inlineStr">
        <is>
          <t>(c)  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t>
        </is>
      </c>
      <c r="C148" t="inlineStr">
        <is>
          <t>C</t>
        </is>
      </c>
      <c r="D148" s="8" t="inlineStr">
        <is>
          <t>Yes</t>
        </is>
      </c>
      <c r="E148" t="inlineStr">
        <is>
          <t>Not Started</t>
        </is>
      </c>
      <c r="F148" t="inlineStr"/>
      <c r="G148" t="inlineStr"/>
      <c r="H148" t="inlineStr"/>
      <c r="I148" t="inlineStr"/>
    </row>
    <row r="149">
      <c r="A149" t="inlineStr">
        <is>
          <t>REQ-00704</t>
        </is>
      </c>
      <c r="B149" t="inlineStr">
        <is>
          <t>(d) 
 . The Contractor shall comply with the provisions of Comptroller General Examination of Record
this paragraph (d) if this contract was awarded using other than sealed bid, is in excess of the simplified 
acquisition threshold, as defined in FAR 2.101, on the date of award of this contract, ...</t>
        </is>
      </c>
      <c r="C149" t="inlineStr">
        <is>
          <t>D</t>
        </is>
      </c>
      <c r="D149" s="8" t="inlineStr">
        <is>
          <t>Yes</t>
        </is>
      </c>
      <c r="E149" t="inlineStr">
        <is>
          <t>Not Started</t>
        </is>
      </c>
      <c r="F149" t="inlineStr"/>
      <c r="G149" t="inlineStr"/>
      <c r="H149" t="inlineStr"/>
      <c r="I149" t="inlineStr"/>
    </row>
    <row r="150">
      <c r="A150" t="inlineStr">
        <is>
          <t>REQ-00705</t>
        </is>
      </c>
      <c r="B150" t="inlineStr">
        <is>
          <t>(1) 
 The Comptroller General of the United States, or an authorized representative of the Comptroller 
General, shall have access to and right to examine any of the Contractor's directly pertinent records 
involving transactions related to this contract.</t>
        </is>
      </c>
      <c r="C150" t="inlineStr">
        <is>
          <t>C</t>
        </is>
      </c>
      <c r="D150" s="8" t="inlineStr">
        <is>
          <t>Yes</t>
        </is>
      </c>
      <c r="E150" t="inlineStr">
        <is>
          <t>Not Started</t>
        </is>
      </c>
      <c r="F150" t="inlineStr"/>
      <c r="G150" t="inlineStr"/>
      <c r="H150" t="inlineStr"/>
      <c r="I150" t="inlineStr"/>
    </row>
    <row r="151">
      <c r="A151" t="inlineStr">
        <is>
          <t>REQ-00706</t>
        </is>
      </c>
      <c r="B151" t="inlineStr">
        <is>
          <t>(2)  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
        </is>
      </c>
      <c r="C151" t="inlineStr">
        <is>
          <t>C</t>
        </is>
      </c>
      <c r="D151" s="8" t="inlineStr">
        <is>
          <t>Yes</t>
        </is>
      </c>
      <c r="E151" t="inlineStr">
        <is>
          <t>Not Started</t>
        </is>
      </c>
      <c r="F151" t="inlineStr"/>
      <c r="G151" t="inlineStr"/>
      <c r="H151" t="inlineStr"/>
      <c r="I151" t="inlineStr"/>
    </row>
    <row r="152">
      <c r="A152" t="inlineStr">
        <is>
          <t>REQ-00708</t>
        </is>
      </c>
      <c r="B152" t="inlineStr">
        <is>
          <t>(1)  Notwithstanding the requirements of the clauses in paragraphs (a), (b), (c), and (d) of this clause, 
the Contractor is not required to flow down any FAR clause, other than those in this paragraph (e)(1), in 
a subcontract for commercial products or commercial services. Unless otherwise indi...</t>
        </is>
      </c>
      <c r="C152" t="inlineStr">
        <is>
          <t>C</t>
        </is>
      </c>
      <c r="D152" s="8" t="inlineStr">
        <is>
          <t>Yes</t>
        </is>
      </c>
      <c r="E152" t="inlineStr">
        <is>
          <t>Not Started</t>
        </is>
      </c>
      <c r="F152" t="inlineStr"/>
      <c r="G152" t="inlineStr"/>
      <c r="H152" t="inlineStr"/>
      <c r="I152" t="inlineStr"/>
    </row>
    <row r="153">
      <c r="A153" t="inlineStr">
        <is>
          <t>REQ-00712</t>
        </is>
      </c>
      <c r="B153" t="inlineStr">
        <is>
          <t>L. 115-390, title II).
(B)  Alternate I  of 52.204-30.(DEC 2023)
(viii)  52.219-8, Utilization of Small Business Concerns ( ) (15 U.S.C. 637(d)(2) and (3)), in FEB 2024
all subcontracts that offer further subcontracting opportunities. If the subcontract (except subcontracts to 
small business con...</t>
        </is>
      </c>
      <c r="C153" t="inlineStr">
        <is>
          <t>K</t>
        </is>
      </c>
      <c r="D153" t="inlineStr">
        <is>
          <t>No</t>
        </is>
      </c>
      <c r="E153" t="inlineStr">
        <is>
          <t>Not Started</t>
        </is>
      </c>
      <c r="F153" t="inlineStr"/>
      <c r="G153" t="inlineStr"/>
      <c r="H153" t="inlineStr"/>
      <c r="I153" t="inlineStr"/>
    </row>
    <row r="154">
      <c r="A154" t="inlineStr">
        <is>
          <t>REQ-00721</t>
        </is>
      </c>
      <c r="B154" t="inlineStr">
        <is>
          <t>52.217-6 Option for Increased Quantity. 1989-03
As prescribed in , insert a clause substantially the same as the following:17.208(d)
Option for Increased Quantity (MAR 1989)
The Government may increase the quantity of supplies called for in the Schedule at the unit price 
specified. The Contracti...</t>
        </is>
      </c>
      <c r="C154" t="inlineStr">
        <is>
          <t>C</t>
        </is>
      </c>
      <c r="D154" t="inlineStr">
        <is>
          <t>No</t>
        </is>
      </c>
      <c r="E154" t="inlineStr">
        <is>
          <t>Not Started</t>
        </is>
      </c>
      <c r="F154" t="inlineStr"/>
      <c r="G154" t="inlineStr"/>
      <c r="H154" t="inlineStr"/>
      <c r="I154" t="inlineStr"/>
    </row>
    <row r="155">
      <c r="A155" t="inlineStr">
        <is>
          <t>REQ-00722</t>
        </is>
      </c>
      <c r="B155" t="inlineStr">
        <is>
          <t>52.217-7 Option for Increased Quantity-Separately Priced Line Item. 1989-03
As prescribed in , insert a clause substantially the same as the following:17.208(e)
Option for Increased Quantity-Separately Priced Line Item (MAR 1989)
The Government may require the delivery of the numbered line item, ...</t>
        </is>
      </c>
      <c r="C155" t="inlineStr">
        <is>
          <t>C</t>
        </is>
      </c>
      <c r="D155" t="inlineStr">
        <is>
          <t>No</t>
        </is>
      </c>
      <c r="E155" t="inlineStr">
        <is>
          <t>Not Started</t>
        </is>
      </c>
      <c r="F155" t="inlineStr"/>
      <c r="G155" t="inlineStr"/>
      <c r="H155" t="inlineStr"/>
      <c r="I155" t="inlineStr"/>
    </row>
    <row r="156">
      <c r="A156" t="inlineStr">
        <is>
          <t>REQ-00723</t>
        </is>
      </c>
      <c r="B156" t="inlineStr">
        <is>
          <t>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t>
        </is>
      </c>
      <c r="C156" t="inlineStr">
        <is>
          <t>C</t>
        </is>
      </c>
      <c r="D156" t="inlineStr">
        <is>
          <t>No</t>
        </is>
      </c>
      <c r="E156" t="inlineStr">
        <is>
          <t>Not Started</t>
        </is>
      </c>
      <c r="F156" t="inlineStr"/>
      <c r="G156" t="inlineStr"/>
      <c r="H156" t="inlineStr"/>
      <c r="I156" t="inlineStr"/>
    </row>
    <row r="157">
      <c r="A157" t="inlineStr">
        <is>
          <t>REQ-00725</t>
        </is>
      </c>
      <c r="B157" t="inlineStr">
        <is>
          <t>(a) The         [insert the Contracting Officer or the name of the designated office, in accordance with 
 shall, on or before the sixtieth (60th) day next following the end of each yearly* agency procedures]
period ending  during which royalties have accrued under this license, deliver to the Co...</t>
        </is>
      </c>
      <c r="C157" t="inlineStr">
        <is>
          <t>A</t>
        </is>
      </c>
      <c r="D157" s="8" t="inlineStr">
        <is>
          <t>Yes</t>
        </is>
      </c>
      <c r="E157" t="inlineStr">
        <is>
          <t>Not Started</t>
        </is>
      </c>
      <c r="F157" t="inlineStr"/>
      <c r="G157" t="inlineStr"/>
      <c r="H157" t="inlineStr"/>
      <c r="I157" t="inlineStr"/>
    </row>
    <row r="158">
      <c r="A158" t="inlineStr">
        <is>
          <t>REQ-00726</t>
        </is>
      </c>
      <c r="B158" t="inlineStr">
        <is>
          <t>(b) Royalties which have accrued under this contract during the yearly* period ending  shall         ____
be paid to the Contractor (if appropriations therefor are available or become available) within sixty (60) 
days next following the receipt of a voucher from the Contractor submitted in accor...</t>
        </is>
      </c>
      <c r="C158" t="inlineStr">
        <is>
          <t>B</t>
        </is>
      </c>
      <c r="D158" s="8" t="inlineStr">
        <is>
          <t>Yes</t>
        </is>
      </c>
      <c r="E158" t="inlineStr">
        <is>
          <t>Not Started</t>
        </is>
      </c>
      <c r="F158" t="inlineStr"/>
      <c r="G158" t="inlineStr"/>
      <c r="H158" t="inlineStr"/>
      <c r="I158" t="inlineStr"/>
    </row>
    <row r="159">
      <c r="A159" t="inlineStr">
        <is>
          <t>REQ-00727</t>
        </is>
      </c>
      <c r="B159" t="inlineStr">
        <is>
          <t>CRITICAL -- Critical comments are major deficiencies that will result in a non-concur.  Detailed rationale must be provided. Comment must be resolved before final approval.</t>
        </is>
      </c>
      <c r="C159" t="inlineStr">
        <is>
          <t>C</t>
        </is>
      </c>
      <c r="D159" s="8" t="inlineStr">
        <is>
          <t>Yes</t>
        </is>
      </c>
      <c r="E159" t="inlineStr">
        <is>
          <t>Not Started</t>
        </is>
      </c>
      <c r="F159" t="inlineStr"/>
      <c r="G159" t="inlineStr"/>
      <c r="H159" t="inlineStr"/>
      <c r="I159" t="inlineStr"/>
    </row>
    <row r="160">
      <c r="A160" t="inlineStr">
        <is>
          <t>REQ-00737</t>
        </is>
      </c>
      <c r="B160" t="inlineStr">
        <is>
          <t>28. CONTRACTOR IS REQUIRED TO SIGN THIS DOCUMENT AND RETURN 
COPIES TO ISSUING OFFICE.  CONTRACTOR AGREES TO FURNISH
AND DELIVER ALL ITEMS SET FORTH OR OTHERWISE IDENTIFIED ABOVE AND 
ON ANY ADDITIONAL SHEETS SUBJECT TO THE TERMS AND CONDITIONS 
SPECIFIED</t>
        </is>
      </c>
      <c r="C160" t="inlineStr">
        <is>
          <t>C</t>
        </is>
      </c>
      <c r="D160" s="8" t="inlineStr">
        <is>
          <t>Yes</t>
        </is>
      </c>
      <c r="E160" t="inlineStr">
        <is>
          <t>Not Started</t>
        </is>
      </c>
      <c r="F160" t="inlineStr"/>
      <c r="G160" t="inlineStr"/>
      <c r="H160" t="inlineStr"/>
      <c r="I160" t="inlineStr"/>
    </row>
    <row r="161">
      <c r="A161" t="inlineStr">
        <is>
          <t>REQ-00742</t>
        </is>
      </c>
      <c r="B161" t="inlineStr">
        <is>
          <t>Supplies or Services &amp; Prices or Costs
 Additional Information/Notes
Item Supplies / Services Quantity Unit Unit Price Amount
0001
Delivery of 24/7 NOC support
Commercial and Government Entity (CAGE) Code: As applicable.
Product Service Code: 7H20
Claimant Program Code: A2
Pricing Arrangement: Co...</t>
        </is>
      </c>
      <c r="C161" t="inlineStr">
        <is>
          <t>C</t>
        </is>
      </c>
      <c r="D161" t="inlineStr">
        <is>
          <t>No</t>
        </is>
      </c>
      <c r="E161" t="inlineStr">
        <is>
          <t>Not Started</t>
        </is>
      </c>
      <c r="F161" t="inlineStr"/>
      <c r="G161" t="inlineStr"/>
      <c r="H161" t="inlineStr"/>
      <c r="I161" t="inlineStr"/>
    </row>
    <row r="162">
      <c r="A162" t="inlineStr">
        <is>
          <t>REQ-00743</t>
        </is>
      </c>
      <c r="B162" t="inlineStr">
        <is>
          <t>0.1% in response to all task order
solicitations as indicated by OASIS
Ordering Guide for the U.S. Air
Force. Contractors shall bill for
CAF on every invoice as a separate
Commercial and Government Entity (CAGE) Code: As applicable.
Product Service Code: 7H20
Claimant Program Code: A2
Pricing Arr...</t>
        </is>
      </c>
      <c r="C162" t="inlineStr">
        <is>
          <t>C</t>
        </is>
      </c>
      <c r="D162" s="8" t="inlineStr">
        <is>
          <t>Yes</t>
        </is>
      </c>
      <c r="E162" t="inlineStr">
        <is>
          <t>Not Started</t>
        </is>
      </c>
      <c r="F162" t="inlineStr"/>
      <c r="G162" t="inlineStr"/>
      <c r="H162" t="inlineStr"/>
      <c r="I162" t="inlineStr"/>
    </row>
    <row r="163">
      <c r="A163" t="inlineStr">
        <is>
          <t>REQ-00750</t>
        </is>
      </c>
      <c r="B163" t="inlineStr">
        <is>
          <t>(b) 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t>
        </is>
      </c>
      <c r="C163" t="inlineStr">
        <is>
          <t>C</t>
        </is>
      </c>
      <c r="D163" s="8" t="inlineStr">
        <is>
          <t>Yes</t>
        </is>
      </c>
      <c r="E163" t="inlineStr">
        <is>
          <t>Not Started</t>
        </is>
      </c>
      <c r="F163" t="inlineStr"/>
      <c r="G163" t="inlineStr"/>
      <c r="H163" t="inlineStr"/>
      <c r="I163" t="inlineStr"/>
    </row>
    <row r="164">
      <c r="A164" t="inlineStr">
        <is>
          <t>REQ-00753</t>
        </is>
      </c>
      <c r="B164" t="inlineStr">
        <is>
          <t>(e) Do not contact the ombudsman to request copies of the solicitation, verify offer due date, or clarify technical requirements. Such inquiries shall be 
directed to the contracting officer.
(End of clause)</t>
        </is>
      </c>
      <c r="C164" t="inlineStr">
        <is>
          <t>C</t>
        </is>
      </c>
      <c r="D164" s="8" t="inlineStr">
        <is>
          <t>Yes</t>
        </is>
      </c>
      <c r="E164" t="inlineStr">
        <is>
          <t>Not Started</t>
        </is>
      </c>
      <c r="F164" t="inlineStr"/>
      <c r="G164" t="inlineStr"/>
      <c r="H164" t="inlineStr"/>
      <c r="I164" t="inlineStr"/>
    </row>
    <row r="165">
      <c r="A165" t="inlineStr">
        <is>
          <t>REQ-00755</t>
        </is>
      </c>
      <c r="B165" t="inlineStr">
        <is>
          <t>U.S. or overseas. Prior to beginning operations involving classified information on an installation identified on the DD Form 254, the contractor shall 
take the following actions:</t>
        </is>
      </c>
      <c r="C165" t="inlineStr">
        <is>
          <t>C</t>
        </is>
      </c>
      <c r="D165" s="8" t="inlineStr">
        <is>
          <t>Yes</t>
        </is>
      </c>
      <c r="E165" t="inlineStr">
        <is>
          <t>Not Started</t>
        </is>
      </c>
      <c r="F165" t="inlineStr"/>
      <c r="G165" t="inlineStr"/>
      <c r="H165" t="inlineStr"/>
      <c r="I165" t="inlineStr"/>
    </row>
    <row r="166">
      <c r="A166" t="inlineStr">
        <is>
          <t>REQ-00767</t>
        </is>
      </c>
      <c r="B166" t="inlineStr">
        <is>
          <t>(2)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t>
        </is>
      </c>
      <c r="C166" t="inlineStr">
        <is>
          <t>C</t>
        </is>
      </c>
      <c r="D166" s="8" t="inlineStr">
        <is>
          <t>Yes</t>
        </is>
      </c>
      <c r="E166" t="inlineStr">
        <is>
          <t>Not Started</t>
        </is>
      </c>
      <c r="F166" t="inlineStr"/>
      <c r="G166" t="inlineStr"/>
      <c r="H166" t="inlineStr"/>
      <c r="I166" t="inlineStr"/>
    </row>
    <row r="167">
      <c r="A167" t="inlineStr">
        <is>
          <t>REQ-00768</t>
        </is>
      </c>
      <c r="B167" t="inlineStr">
        <is>
          <t>(b) The Contractor may gain access to proprietary information of other companies during contract performance. The Contractor agrees to enter into 
company-to-company agreements to: (1) protect another company's information from unauthorized use or disclosure for as long as it is considered 
propr...</t>
        </is>
      </c>
      <c r="C167" t="inlineStr">
        <is>
          <t>C</t>
        </is>
      </c>
      <c r="D167" t="inlineStr">
        <is>
          <t>No</t>
        </is>
      </c>
      <c r="E167" t="inlineStr">
        <is>
          <t>Not Started</t>
        </is>
      </c>
      <c r="F167" t="inlineStr"/>
      <c r="G167" t="inlineStr"/>
      <c r="H167" t="inlineStr"/>
      <c r="I167" t="inlineStr"/>
    </row>
    <row r="168">
      <c r="A168" t="inlineStr">
        <is>
          <t>REQ-00770</t>
        </is>
      </c>
      <c r="B168" t="inlineStr">
        <is>
          <t>(2)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t>
        </is>
      </c>
      <c r="C168" t="inlineStr">
        <is>
          <t>C</t>
        </is>
      </c>
      <c r="D168" s="8" t="inlineStr">
        <is>
          <t>Yes</t>
        </is>
      </c>
      <c r="E168" t="inlineStr">
        <is>
          <t>Not Started</t>
        </is>
      </c>
      <c r="F168" t="inlineStr"/>
      <c r="G168" t="inlineStr"/>
      <c r="H168" t="inlineStr"/>
      <c r="I168" t="inlineStr"/>
    </row>
    <row r="169">
      <c r="A169" t="inlineStr">
        <is>
          <t>REQ-00771</t>
        </is>
      </c>
      <c r="B169"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t>
        </is>
      </c>
      <c r="C169" t="inlineStr">
        <is>
          <t>C</t>
        </is>
      </c>
      <c r="D169" s="8" t="inlineStr">
        <is>
          <t>Yes</t>
        </is>
      </c>
      <c r="E169" t="inlineStr">
        <is>
          <t>Not Started</t>
        </is>
      </c>
      <c r="F169" t="inlineStr"/>
      <c r="G169" t="inlineStr"/>
      <c r="H169" t="inlineStr"/>
      <c r="I169" t="inlineStr"/>
    </row>
    <row r="170">
      <c r="A170" t="inlineStr">
        <is>
          <t>REQ-00774</t>
        </is>
      </c>
      <c r="B170" t="inlineStr">
        <is>
          <t>(2) 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t>
        </is>
      </c>
      <c r="C170" t="inlineStr">
        <is>
          <t>C</t>
        </is>
      </c>
      <c r="D170" s="8" t="inlineStr">
        <is>
          <t>Yes</t>
        </is>
      </c>
      <c r="E170" t="inlineStr">
        <is>
          <t>Not Started</t>
        </is>
      </c>
      <c r="F170" t="inlineStr"/>
      <c r="G170" t="inlineStr"/>
      <c r="H170" t="inlineStr"/>
      <c r="I170" t="inlineStr"/>
    </row>
    <row r="171">
      <c r="A171" t="inlineStr">
        <is>
          <t>REQ-00776</t>
        </is>
      </c>
      <c r="B171" t="inlineStr">
        <is>
          <t>(2) 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t>
        </is>
      </c>
      <c r="C171" t="inlineStr">
        <is>
          <t>C</t>
        </is>
      </c>
      <c r="D171" s="8" t="inlineStr">
        <is>
          <t>Yes</t>
        </is>
      </c>
      <c r="E171" t="inlineStr">
        <is>
          <t>Not Started</t>
        </is>
      </c>
      <c r="F171" t="inlineStr"/>
      <c r="G171" t="inlineStr"/>
      <c r="H171" t="inlineStr"/>
      <c r="I171" t="inlineStr"/>
    </row>
    <row r="172">
      <c r="A172" t="inlineStr">
        <is>
          <t>REQ-00777</t>
        </is>
      </c>
      <c r="B172"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t>
        </is>
      </c>
      <c r="C172" t="inlineStr">
        <is>
          <t>C</t>
        </is>
      </c>
      <c r="D172" s="8" t="inlineStr">
        <is>
          <t>Yes</t>
        </is>
      </c>
      <c r="E172" t="inlineStr">
        <is>
          <t>Not Started</t>
        </is>
      </c>
      <c r="F172" t="inlineStr"/>
      <c r="G172" t="inlineStr"/>
      <c r="H172" t="inlineStr"/>
      <c r="I172" t="inlineStr"/>
    </row>
    <row r="173">
      <c r="A173" t="inlineStr">
        <is>
          <t>REQ-00779</t>
        </is>
      </c>
      <c r="B173" t="inlineStr">
        <is>
          <t>(b) 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t>
        </is>
      </c>
      <c r="C173" t="inlineStr">
        <is>
          <t>C</t>
        </is>
      </c>
      <c r="D173" s="8" t="inlineStr">
        <is>
          <t>Yes</t>
        </is>
      </c>
      <c r="E173" t="inlineStr">
        <is>
          <t>Not Started</t>
        </is>
      </c>
      <c r="F173" t="inlineStr"/>
      <c r="G173" t="inlineStr"/>
      <c r="H173" t="inlineStr"/>
      <c r="I173" t="inlineStr"/>
    </row>
    <row r="174">
      <c r="A174" t="inlineStr">
        <is>
          <t>REQ-00788</t>
        </is>
      </c>
      <c r="B174" t="inlineStr">
        <is>
          <t>(a) In performing work under this contract on a Government installation, the contractor shall:</t>
        </is>
      </c>
      <c r="C174" t="inlineStr">
        <is>
          <t>C</t>
        </is>
      </c>
      <c r="D174" s="8" t="inlineStr">
        <is>
          <t>Yes</t>
        </is>
      </c>
      <c r="E174" t="inlineStr">
        <is>
          <t>Not Started</t>
        </is>
      </c>
      <c r="F174" t="inlineStr"/>
      <c r="G174" t="inlineStr"/>
      <c r="H174" t="inlineStr"/>
      <c r="I174" t="inlineStr"/>
    </row>
    <row r="175">
      <c r="A175" t="inlineStr">
        <is>
          <t>REQ-00792</t>
        </is>
      </c>
      <c r="B175" t="inlineStr">
        <is>
          <t>(c) Any violation of these health and safety rules and requirements, unless promptly corrected as directed by the contracting officer, shall be grounds 
for termination of this contract in accordance with the Default clause of this contract.
(End of clause)</t>
        </is>
      </c>
      <c r="C175" t="inlineStr">
        <is>
          <t>C</t>
        </is>
      </c>
      <c r="D175" s="8" t="inlineStr">
        <is>
          <t>Yes</t>
        </is>
      </c>
      <c r="E175" t="inlineStr">
        <is>
          <t>Not Started</t>
        </is>
      </c>
      <c r="F175" t="inlineStr"/>
      <c r="G175" t="inlineStr"/>
      <c r="H175" t="inlineStr"/>
      <c r="I175" t="inlineStr"/>
    </row>
    <row r="176">
      <c r="A176" t="inlineStr">
        <is>
          <t>REQ-00794</t>
        </is>
      </c>
      <c r="B176" t="inlineStr">
        <is>
          <t>(a) 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t>
        </is>
      </c>
      <c r="C176" t="inlineStr">
        <is>
          <t>C</t>
        </is>
      </c>
      <c r="D176" s="8" t="inlineStr">
        <is>
          <t>Yes</t>
        </is>
      </c>
      <c r="E176" t="inlineStr">
        <is>
          <t>Not Started</t>
        </is>
      </c>
      <c r="F176" t="inlineStr"/>
      <c r="G176" t="inlineStr"/>
      <c r="H176" t="inlineStr"/>
      <c r="I176" t="inlineStr"/>
    </row>
    <row r="177">
      <c r="A177" t="inlineStr">
        <is>
          <t>REQ-00795</t>
        </is>
      </c>
      <c r="B177" t="inlineStr">
        <is>
          <t>(b) 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t>
        </is>
      </c>
      <c r="C177" t="inlineStr">
        <is>
          <t>C</t>
        </is>
      </c>
      <c r="D177" s="8" t="inlineStr">
        <is>
          <t>Yes</t>
        </is>
      </c>
      <c r="E177" t="inlineStr">
        <is>
          <t>Not Started</t>
        </is>
      </c>
      <c r="F177" t="inlineStr"/>
      <c r="G177" t="inlineStr"/>
      <c r="H177" t="inlineStr"/>
      <c r="I177" t="inlineStr"/>
    </row>
    <row r="178">
      <c r="A178" t="inlineStr">
        <is>
          <t>REQ-00796</t>
        </is>
      </c>
      <c r="B178" t="inlineStr">
        <is>
          <t>(c) During performance of the contract, the contractor shall be responsible for obtaining required identification for newly assigned personnel and for 
prompt return of credentials and vehicle passes for any employee who no longer requires access to the work site.</t>
        </is>
      </c>
      <c r="C178" t="inlineStr">
        <is>
          <t>C</t>
        </is>
      </c>
      <c r="D178" s="8" t="inlineStr">
        <is>
          <t>Yes</t>
        </is>
      </c>
      <c r="E178" t="inlineStr">
        <is>
          <t>Not Started</t>
        </is>
      </c>
      <c r="F178" t="inlineStr"/>
      <c r="G178" t="inlineStr"/>
      <c r="H178" t="inlineStr"/>
      <c r="I178" t="inlineStr"/>
    </row>
    <row r="179">
      <c r="A179" t="inlineStr">
        <is>
          <t>REQ-00797</t>
        </is>
      </c>
      <c r="B179" t="inlineStr">
        <is>
          <t>(d) When work under this contract requires unescorted entry to controlled or restricted areas, the contractor shall comply with  citing the &lt;&lt;2&gt;&gt; 
appropriate paragraphs as applicable.</t>
        </is>
      </c>
      <c r="C179" t="inlineStr">
        <is>
          <t>C</t>
        </is>
      </c>
      <c r="D179" s="8" t="inlineStr">
        <is>
          <t>Yes</t>
        </is>
      </c>
      <c r="E179" t="inlineStr">
        <is>
          <t>Not Started</t>
        </is>
      </c>
      <c r="F179" t="inlineStr"/>
      <c r="G179" t="inlineStr"/>
      <c r="H179" t="inlineStr"/>
      <c r="I179" t="inlineStr"/>
    </row>
    <row r="180">
      <c r="A180" t="inlineStr">
        <is>
          <t>REQ-00798</t>
        </is>
      </c>
      <c r="B180" t="inlineStr">
        <is>
          <t>(e) Upon completion or termination of the contract or expiration of the identification passes, the prime contractor shall ensure that all base 
identification passes issued to employees and subcontractor employees are returned to the issuing office.</t>
        </is>
      </c>
      <c r="C180" t="inlineStr">
        <is>
          <t>C</t>
        </is>
      </c>
      <c r="D180" s="8" t="inlineStr">
        <is>
          <t>Yes</t>
        </is>
      </c>
      <c r="E180" t="inlineStr">
        <is>
          <t>Not Started</t>
        </is>
      </c>
      <c r="F180" t="inlineStr"/>
      <c r="G180" t="inlineStr"/>
      <c r="H180" t="inlineStr"/>
      <c r="I180" t="inlineStr"/>
    </row>
    <row r="181">
      <c r="A181" t="inlineStr">
        <is>
          <t>REQ-00799</t>
        </is>
      </c>
      <c r="B181" t="inlineStr">
        <is>
          <t>(f) The contractor shall provide an after-hours contact number or after-hours email in the Emergency Mass Notification System (EMNS) for each of 
their personnel, whose normal place of duty is on a DoD installation or within a DoD facility. The contractor shall comply with any additional 
FA88062...</t>
        </is>
      </c>
      <c r="C181" t="inlineStr">
        <is>
          <t>C</t>
        </is>
      </c>
      <c r="D181" s="8" t="inlineStr">
        <is>
          <t>Yes</t>
        </is>
      </c>
      <c r="E181" t="inlineStr">
        <is>
          <t>Not Started</t>
        </is>
      </c>
      <c r="F181" t="inlineStr"/>
      <c r="G181" t="inlineStr"/>
      <c r="H181" t="inlineStr"/>
      <c r="I181" t="inlineStr"/>
    </row>
    <row r="182">
      <c r="A182" t="inlineStr">
        <is>
          <t>REQ-00802</t>
        </is>
      </c>
      <c r="B182" t="inlineStr">
        <is>
          <t>(a) For installation(s)/location(s) cited in the contract, contractors shall ensure Common Access Cards (CACs) are obtained by all contract or 
subcontract personnel who meet one or both of the following criteria:</t>
        </is>
      </c>
      <c r="C182" t="inlineStr">
        <is>
          <t>C</t>
        </is>
      </c>
      <c r="D182" s="8" t="inlineStr">
        <is>
          <t>Yes</t>
        </is>
      </c>
      <c r="E182" t="inlineStr">
        <is>
          <t>Not Started</t>
        </is>
      </c>
      <c r="F182" t="inlineStr"/>
      <c r="G182" t="inlineStr"/>
      <c r="H182" t="inlineStr"/>
      <c r="I182" t="inlineStr"/>
    </row>
    <row r="183">
      <c r="A183" t="inlineStr">
        <is>
          <t>REQ-00806</t>
        </is>
      </c>
      <c r="B183" t="inlineStr">
        <is>
          <t>(b) Contractors and their personnel shall use the following procedures to obtain CACs:</t>
        </is>
      </c>
      <c r="C183" t="inlineStr">
        <is>
          <t>C</t>
        </is>
      </c>
      <c r="D183" s="8" t="inlineStr">
        <is>
          <t>Yes</t>
        </is>
      </c>
      <c r="E183" t="inlineStr">
        <is>
          <t>Not Started</t>
        </is>
      </c>
      <c r="F183" t="inlineStr"/>
      <c r="G183" t="inlineStr"/>
      <c r="H183" t="inlineStr"/>
      <c r="I183" t="inlineStr"/>
    </row>
    <row r="184">
      <c r="A184" t="inlineStr">
        <is>
          <t>REQ-00807</t>
        </is>
      </c>
      <c r="B184" t="inlineStr">
        <is>
          <t>(1) Contractors shall provide a listing of personnel who require a CAC to the contracting officer. The government will provide the contractor 
instruction on how to complete the Contractor Verification System (CVS) application and then notify the contractor when approved.</t>
        </is>
      </c>
      <c r="C184" t="inlineStr">
        <is>
          <t>C</t>
        </is>
      </c>
      <c r="D184" s="8" t="inlineStr">
        <is>
          <t>Yes</t>
        </is>
      </c>
      <c r="E184" t="inlineStr">
        <is>
          <t>Not Started</t>
        </is>
      </c>
      <c r="F184" t="inlineStr"/>
      <c r="G184" t="inlineStr"/>
      <c r="H184" t="inlineStr"/>
      <c r="I184" t="inlineStr"/>
    </row>
    <row r="185">
      <c r="A185" t="inlineStr">
        <is>
          <t>REQ-00808</t>
        </is>
      </c>
      <c r="B185" t="inlineStr">
        <is>
          <t>(2) Contractor personnel shall obtain a CAC from the nearest Real Time Automated Personnel Identification Documentation System (RAPIDS) 
Issuing Facility (typically the local Military Personnel Flight (MPF)).</t>
        </is>
      </c>
      <c r="C185" t="inlineStr">
        <is>
          <t>C</t>
        </is>
      </c>
      <c r="D185" s="8" t="inlineStr">
        <is>
          <t>Yes</t>
        </is>
      </c>
      <c r="E185" t="inlineStr">
        <is>
          <t>Not Started</t>
        </is>
      </c>
      <c r="F185" t="inlineStr"/>
      <c r="G185" t="inlineStr"/>
      <c r="H185" t="inlineStr"/>
      <c r="I185" t="inlineStr"/>
    </row>
    <row r="186">
      <c r="A186" t="inlineStr">
        <is>
          <t>REQ-00809</t>
        </is>
      </c>
      <c r="B186" t="inlineStr">
        <is>
          <t>(c) While visiting or performing work on installation(s)/location(s), contractor personnel shall wear or prominently display the CAC as required by 
the governing local policy.</t>
        </is>
      </c>
      <c r="C186" t="inlineStr">
        <is>
          <t>C</t>
        </is>
      </c>
      <c r="D186" s="8" t="inlineStr">
        <is>
          <t>Yes</t>
        </is>
      </c>
      <c r="E186" t="inlineStr">
        <is>
          <t>Not Started</t>
        </is>
      </c>
      <c r="F186" t="inlineStr"/>
      <c r="G186" t="inlineStr"/>
      <c r="H186" t="inlineStr"/>
      <c r="I186" t="inlineStr"/>
    </row>
    <row r="187">
      <c r="A187" t="inlineStr">
        <is>
          <t>REQ-00810</t>
        </is>
      </c>
      <c r="B187" t="inlineStr">
        <is>
          <t>(d) During the performance period of the contract, the contractor shall:</t>
        </is>
      </c>
      <c r="C187" t="inlineStr">
        <is>
          <t>C</t>
        </is>
      </c>
      <c r="D187" s="8" t="inlineStr">
        <is>
          <t>Yes</t>
        </is>
      </c>
      <c r="E187" t="inlineStr">
        <is>
          <t>Not Started</t>
        </is>
      </c>
      <c r="F187" t="inlineStr"/>
      <c r="G187" t="inlineStr"/>
      <c r="H187" t="inlineStr"/>
      <c r="I187" t="inlineStr"/>
    </row>
    <row r="188">
      <c r="A188" t="inlineStr">
        <is>
          <t>REQ-00815</t>
        </is>
      </c>
      <c r="B188" t="inlineStr">
        <is>
          <t>(e) Within 7 working days following completion/termination of the contract, the contractor shall return all CACs issued to their personnel to the 
issuing office or the location specified by local policy/directives.</t>
        </is>
      </c>
      <c r="C188" t="inlineStr">
        <is>
          <t>C</t>
        </is>
      </c>
      <c r="D188" s="8" t="inlineStr">
        <is>
          <t>Yes</t>
        </is>
      </c>
      <c r="E188" t="inlineStr">
        <is>
          <t>Not Started</t>
        </is>
      </c>
      <c r="F188" t="inlineStr"/>
      <c r="G188" t="inlineStr"/>
      <c r="H188" t="inlineStr"/>
      <c r="I188" t="inlineStr"/>
    </row>
    <row r="189">
      <c r="A189" t="inlineStr">
        <is>
          <t>REQ-00820</t>
        </is>
      </c>
      <c r="B189">
        <f>==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f>
        <v/>
      </c>
      <c r="C189" t="inlineStr">
        <is>
          <t>L</t>
        </is>
      </c>
      <c r="D189" t="inlineStr">
        <is>
          <t>No</t>
        </is>
      </c>
      <c r="E189" t="inlineStr">
        <is>
          <t>Not Started</t>
        </is>
      </c>
      <c r="F189" t="inlineStr"/>
      <c r="G189" t="inlineStr"/>
      <c r="H189" t="inlineStr"/>
      <c r="I189" t="inlineStr"/>
    </row>
    <row r="190">
      <c r="A190" t="inlineStr">
        <is>
          <t>REQ-00822</t>
        </is>
      </c>
      <c r="B190" t="inlineStr">
        <is>
          <t>Supply Payments shall not exceed once per month. |  |  |  |  |  |  |  |  |  |  |  |</t>
        </is>
      </c>
      <c r="C190" t="inlineStr">
        <is>
          <t>C</t>
        </is>
      </c>
      <c r="D190" s="8" t="inlineStr">
        <is>
          <t>Yes</t>
        </is>
      </c>
      <c r="E190" t="inlineStr">
        <is>
          <t>Not Started</t>
        </is>
      </c>
      <c r="F190" t="inlineStr"/>
      <c r="G190" t="inlineStr"/>
      <c r="H190" t="inlineStr"/>
      <c r="I190" t="inlineStr"/>
    </row>
    <row r="191">
      <c r="A191" t="inlineStr">
        <is>
          <t>REQ-00841</t>
        </is>
      </c>
      <c r="B191" t="inlineStr">
        <is>
          <t>Version (Ver).  A change that is administra tive in nature does not require the document to be re-
staffed. Changes that remove or add items peri odically assessed or affect items assessed in 
frequency of a ssessment or thresholds must be re-sta ffed for approval. Conso lidate changes 
when poss...</t>
        </is>
      </c>
      <c r="C191" t="inlineStr">
        <is>
          <t>C</t>
        </is>
      </c>
      <c r="D191" s="8" t="inlineStr">
        <is>
          <t>Yes</t>
        </is>
      </c>
      <c r="E191" t="inlineStr">
        <is>
          <t>Not Started</t>
        </is>
      </c>
      <c r="F191" t="inlineStr"/>
      <c r="G191" t="inlineStr"/>
      <c r="H191" t="inlineStr"/>
      <c r="I191" t="inlineStr"/>
    </row>
    <row r="192">
      <c r="A192" t="inlineStr">
        <is>
          <t>REQ-00845</t>
        </is>
      </c>
      <c r="B192" t="inlineStr">
        <is>
          <t>2.1.1 The Contractor shall provide program management and staffing resources necessary to 
plan, manage, direct, control, and report on all activities contributing to requirements 
identified herein.</t>
        </is>
      </c>
      <c r="C192" t="inlineStr">
        <is>
          <t>C</t>
        </is>
      </c>
      <c r="D192" s="8" t="inlineStr">
        <is>
          <t>Yes</t>
        </is>
      </c>
      <c r="E192" t="inlineStr">
        <is>
          <t>Not Started</t>
        </is>
      </c>
      <c r="F192" t="inlineStr"/>
      <c r="G192" t="inlineStr"/>
      <c r="H192" t="inlineStr"/>
      <c r="I192" t="inlineStr"/>
    </row>
    <row r="193">
      <c r="A193" t="inlineStr">
        <is>
          <t>REQ-00846</t>
        </is>
      </c>
      <c r="B193" t="inlineStr">
        <is>
          <t>2.1.2 The Contractor shall utilize government-furnished communication tools to include, but 
not limited to: Google Electronic Mail (e-mail) (Impact Level (IL)-4 e-mail), Microsoft 
(MS) Teams, Mattermost, Jira, Jira Align, and Confluence.</t>
        </is>
      </c>
      <c r="C193" t="inlineStr">
        <is>
          <t>C</t>
        </is>
      </c>
      <c r="D193" s="8" t="inlineStr">
        <is>
          <t>Yes</t>
        </is>
      </c>
      <c r="E193" t="inlineStr">
        <is>
          <t>Not Started</t>
        </is>
      </c>
      <c r="F193" t="inlineStr"/>
      <c r="G193" t="inlineStr"/>
      <c r="H193" t="inlineStr"/>
      <c r="I193" t="inlineStr"/>
    </row>
    <row r="194">
      <c r="A194" t="inlineStr">
        <is>
          <t>REQ-00847</t>
        </is>
      </c>
      <c r="B194" t="inlineStr">
        <is>
          <t>2.1.3 The Contractor shall utilize government-furnished common services identified within the 
current Service Description Document managed via the Space C2 Configuration 
Management Board (CMB). Exceptions to use of specified common services shall be 
approved by the Government.</t>
        </is>
      </c>
      <c r="C194" t="inlineStr">
        <is>
          <t>C</t>
        </is>
      </c>
      <c r="D194" s="8" t="inlineStr">
        <is>
          <t>Yes</t>
        </is>
      </c>
      <c r="E194" t="inlineStr">
        <is>
          <t>Not Started</t>
        </is>
      </c>
      <c r="F194" t="inlineStr"/>
      <c r="G194" t="inlineStr"/>
      <c r="H194" t="inlineStr"/>
      <c r="I194" t="inlineStr"/>
    </row>
    <row r="195">
      <c r="A195" t="inlineStr">
        <is>
          <t>REQ-00848</t>
        </is>
      </c>
      <c r="B195" t="inlineStr">
        <is>
          <t>2.1.4 The Contractor shall maintain awareness of the Space C2 Development Teams 
implementation of a Development, Security, and Operations (DevSecOps) approach as 
managed by the Space C2 CMB.</t>
        </is>
      </c>
      <c r="C195" t="inlineStr">
        <is>
          <t>C</t>
        </is>
      </c>
      <c r="D195" s="8" t="inlineStr">
        <is>
          <t>Yes</t>
        </is>
      </c>
      <c r="E195" t="inlineStr">
        <is>
          <t>Not Started</t>
        </is>
      </c>
      <c r="F195" t="inlineStr"/>
      <c r="G195" t="inlineStr"/>
      <c r="H195" t="inlineStr"/>
      <c r="I195" t="inlineStr"/>
    </row>
    <row r="196">
      <c r="A196" t="inlineStr">
        <is>
          <t>REQ-00849</t>
        </is>
      </c>
      <c r="B196" t="inlineStr">
        <is>
          <t>2.1.5 The Contractor shall proactively support collaborative root cause analysis and 
incorporate results in future processes, tooling, instrumentation, procedural changes, 
and/or software development to minimize reoccurrence of cyber, operational, and/or 
development disruptions.</t>
        </is>
      </c>
      <c r="C196" t="inlineStr">
        <is>
          <t>C</t>
        </is>
      </c>
      <c r="D196" s="8" t="inlineStr">
        <is>
          <t>Yes</t>
        </is>
      </c>
      <c r="E196" t="inlineStr">
        <is>
          <t>Not Started</t>
        </is>
      </c>
      <c r="F196" t="inlineStr"/>
      <c r="G196" t="inlineStr"/>
      <c r="H196" t="inlineStr"/>
      <c r="I196" t="inlineStr"/>
    </row>
    <row r="197">
      <c r="A197" t="inlineStr">
        <is>
          <t>REQ-00850</t>
        </is>
      </c>
      <c r="B197" t="inlineStr">
        <is>
          <t>2.1.6 The Contractor shall provide contract status information for SPO management purposes.  
This includes SPO level reviews, executive reviews, independent program reviews and 
assessments, inspections, milestone events, budget excursions, and user conferences.</t>
        </is>
      </c>
      <c r="C197" t="inlineStr">
        <is>
          <t>C</t>
        </is>
      </c>
      <c r="D197" s="8" t="inlineStr">
        <is>
          <t>Yes</t>
        </is>
      </c>
      <c r="E197" t="inlineStr">
        <is>
          <t>Not Started</t>
        </is>
      </c>
      <c r="F197" t="inlineStr"/>
      <c r="G197" t="inlineStr"/>
      <c r="H197" t="inlineStr"/>
      <c r="I197" t="inlineStr"/>
    </row>
    <row r="198">
      <c r="A198" t="inlineStr">
        <is>
          <t>REQ-00851</t>
        </is>
      </c>
      <c r="B198" t="inlineStr">
        <is>
          <t>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t>
        </is>
      </c>
      <c r="C198" t="inlineStr">
        <is>
          <t>C</t>
        </is>
      </c>
      <c r="D198" s="8" t="inlineStr">
        <is>
          <t>Yes</t>
        </is>
      </c>
      <c r="E198" t="inlineStr">
        <is>
          <t>Not Started</t>
        </is>
      </c>
      <c r="F198" t="inlineStr"/>
      <c r="G198" t="inlineStr"/>
      <c r="H198" t="inlineStr"/>
      <c r="I198" t="inlineStr"/>
    </row>
    <row r="199">
      <c r="A199" t="inlineStr">
        <is>
          <t>REQ-00852</t>
        </is>
      </c>
      <c r="B199" t="inlineStr">
        <is>
          <t>2.1.8 The Contractor shall notify the Government Lead, or their designee, of Government 
Senior Leadership or other stakeholder program visits as well as program media 
exposures. The contractor shall report events within 48 hours of identification or within 
24 hours of the event, whichever come...</t>
        </is>
      </c>
      <c r="C199" t="inlineStr">
        <is>
          <t>C</t>
        </is>
      </c>
      <c r="D199" s="8" t="inlineStr">
        <is>
          <t>Yes</t>
        </is>
      </c>
      <c r="E199" t="inlineStr">
        <is>
          <t>Not Started</t>
        </is>
      </c>
      <c r="F199" t="inlineStr"/>
      <c r="G199" t="inlineStr"/>
      <c r="H199" t="inlineStr"/>
      <c r="I199" t="inlineStr"/>
    </row>
    <row r="200">
      <c r="A200" t="inlineStr">
        <is>
          <t>REQ-00853</t>
        </is>
      </c>
      <c r="B200" t="inlineStr">
        <is>
          <t>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
        </is>
      </c>
      <c r="C200" t="inlineStr">
        <is>
          <t>C</t>
        </is>
      </c>
      <c r="D200" s="8" t="inlineStr">
        <is>
          <t>Yes</t>
        </is>
      </c>
      <c r="E200" t="inlineStr">
        <is>
          <t>Not Started</t>
        </is>
      </c>
      <c r="F200" t="inlineStr"/>
      <c r="G200" t="inlineStr"/>
      <c r="H200" t="inlineStr"/>
      <c r="I200" t="inlineStr"/>
    </row>
    <row r="201">
      <c r="A201" t="inlineStr">
        <is>
          <t>REQ-00854</t>
        </is>
      </c>
      <c r="B201" t="inlineStr">
        <is>
          <t>2.1.10 The Contractor shall maintain an Organizational Conflict of Interest (OCI) plan as 
applicable.</t>
        </is>
      </c>
      <c r="C201" t="inlineStr">
        <is>
          <t>C</t>
        </is>
      </c>
      <c r="D201" s="8" t="inlineStr">
        <is>
          <t>Yes</t>
        </is>
      </c>
      <c r="E201" t="inlineStr">
        <is>
          <t>Not Started</t>
        </is>
      </c>
      <c r="F201" t="inlineStr"/>
      <c r="G201" t="inlineStr"/>
      <c r="H201" t="inlineStr"/>
      <c r="I201" t="inlineStr"/>
    </row>
    <row r="202">
      <c r="A202" t="inlineStr">
        <is>
          <t>REQ-00855</t>
        </is>
      </c>
      <c r="B202" t="inlineStr">
        <is>
          <t>2.2.1 The Contractor shall support Agile team planning and provide input for dependencies 
between expected product support and software and development, as well as on-prem 
infrastructure impacts to external development.</t>
        </is>
      </c>
      <c r="C202" t="inlineStr">
        <is>
          <t>C</t>
        </is>
      </c>
      <c r="D202" s="8" t="inlineStr">
        <is>
          <t>Yes</t>
        </is>
      </c>
      <c r="E202" t="inlineStr">
        <is>
          <t>Not Started</t>
        </is>
      </c>
      <c r="F202" t="inlineStr"/>
      <c r="G202" t="inlineStr"/>
      <c r="H202" t="inlineStr"/>
      <c r="I202" t="inlineStr"/>
    </row>
    <row r="203">
      <c r="A203" t="inlineStr">
        <is>
          <t>REQ-00856</t>
        </is>
      </c>
      <c r="B203" t="inlineStr">
        <is>
          <t>2.2.2 The Contractor shall collect metrics to include, but not limited to, System uptime, Cost 
per incident, Mean time between critical failures and mean time to restore.</t>
        </is>
      </c>
      <c r="C203" t="inlineStr">
        <is>
          <t>C</t>
        </is>
      </c>
      <c r="D203" s="8" t="inlineStr">
        <is>
          <t>Yes</t>
        </is>
      </c>
      <c r="E203" t="inlineStr">
        <is>
          <t>Not Started</t>
        </is>
      </c>
      <c r="F203" t="inlineStr"/>
      <c r="G203" t="inlineStr"/>
      <c r="H203" t="inlineStr"/>
      <c r="I203" t="inlineStr"/>
    </row>
    <row r="204">
      <c r="A204" t="inlineStr">
        <is>
          <t>REQ-00857</t>
        </is>
      </c>
      <c r="B204" t="inlineStr">
        <is>
          <t>2.2.3 The Contractor shall maintain a quarterly, one-year, and five-year roadmap forecast 
within the SPO-provided Jira instance that includes at a minimum: major upgrades, 
technology changes, significant concept of operations changes, and product end-of-life.</t>
        </is>
      </c>
      <c r="C204" t="inlineStr">
        <is>
          <t>C</t>
        </is>
      </c>
      <c r="D204" s="8" t="inlineStr">
        <is>
          <t>Yes</t>
        </is>
      </c>
      <c r="E204" t="inlineStr">
        <is>
          <t>Not Started</t>
        </is>
      </c>
      <c r="F204" t="inlineStr"/>
      <c r="G204" t="inlineStr"/>
      <c r="H204" t="inlineStr"/>
      <c r="I204" t="inlineStr"/>
    </row>
    <row r="205">
      <c r="A205" t="inlineStr">
        <is>
          <t>REQ-00858</t>
        </is>
      </c>
      <c r="B205" t="inlineStr">
        <is>
          <t>2.2.4 The Contractor shall coordinate and gain approval of product technical baseline changes 
and the timing of any migration / adoption through the Space C2 CMB ahead of change 
implementation. This includes, but is not limited to, changes to product resourcing, 
security, interfaces (i.e., con...</t>
        </is>
      </c>
      <c r="C205" t="inlineStr">
        <is>
          <t>C</t>
        </is>
      </c>
      <c r="D205" s="8" t="inlineStr">
        <is>
          <t>Yes</t>
        </is>
      </c>
      <c r="E205" t="inlineStr">
        <is>
          <t>Not Started</t>
        </is>
      </c>
      <c r="F205" t="inlineStr"/>
      <c r="G205" t="inlineStr"/>
      <c r="H205" t="inlineStr"/>
      <c r="I205" t="inlineStr"/>
    </row>
    <row r="206">
      <c r="A206" t="inlineStr">
        <is>
          <t>REQ-00859</t>
        </is>
      </c>
      <c r="B206" t="inlineStr">
        <is>
          <t>2.2.5 The Contractor shall provide weekly activity reports summarizing key milestones, 
activities, and operational benefits (e.g., removed X-hours of manual tasks with 
automated function).</t>
        </is>
      </c>
      <c r="C206" t="inlineStr">
        <is>
          <t>C</t>
        </is>
      </c>
      <c r="D206" s="8" t="inlineStr">
        <is>
          <t>Yes</t>
        </is>
      </c>
      <c r="E206" t="inlineStr">
        <is>
          <t>Not Started</t>
        </is>
      </c>
      <c r="F206" t="inlineStr"/>
      <c r="G206" t="inlineStr"/>
      <c r="H206" t="inlineStr"/>
      <c r="I206" t="inlineStr"/>
    </row>
    <row r="207">
      <c r="A207" t="inlineStr">
        <is>
          <t>REQ-00860</t>
        </is>
      </c>
      <c r="B207" t="inlineStr">
        <is>
          <t>2.3.1 The Contractor shall conduct a Kick-off Meeting within 30 days of contract award to 
include, at a minimum: special topics, roadmap review, and risk and mitigation plans.  
Meeting read ahead materials shall be made available NLT 7 days prior to meeting.</t>
        </is>
      </c>
      <c r="C207" t="inlineStr">
        <is>
          <t>C</t>
        </is>
      </c>
      <c r="D207" s="8" t="inlineStr">
        <is>
          <t>Yes</t>
        </is>
      </c>
      <c r="E207" t="inlineStr">
        <is>
          <t>Not Started</t>
        </is>
      </c>
      <c r="F207" t="inlineStr"/>
      <c r="G207" t="inlineStr"/>
      <c r="H207" t="inlineStr"/>
      <c r="I207" t="inlineStr"/>
    </row>
    <row r="208">
      <c r="A208" t="inlineStr">
        <is>
          <t>REQ-00861</t>
        </is>
      </c>
      <c r="B208" t="inlineStr">
        <is>
          <t>2.3.2 The Contractor shall develop post-meeting minutes and respond to post-meeting action 
items as requested by the SPO within 24 hours of the meeting ending.</t>
        </is>
      </c>
      <c r="C208" t="inlineStr">
        <is>
          <t>C</t>
        </is>
      </c>
      <c r="D208" s="8" t="inlineStr">
        <is>
          <t>Yes</t>
        </is>
      </c>
      <c r="E208" t="inlineStr">
        <is>
          <t>Not Started</t>
        </is>
      </c>
      <c r="F208" t="inlineStr"/>
      <c r="G208" t="inlineStr"/>
      <c r="H208" t="inlineStr"/>
      <c r="I208" t="inlineStr"/>
    </row>
    <row r="209">
      <c r="A209" t="inlineStr">
        <is>
          <t>REQ-00862</t>
        </is>
      </c>
      <c r="B209" t="inlineStr">
        <is>
          <t>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t>
        </is>
      </c>
      <c r="C209" t="inlineStr">
        <is>
          <t>C</t>
        </is>
      </c>
      <c r="D209" s="8" t="inlineStr">
        <is>
          <t>Yes</t>
        </is>
      </c>
      <c r="E209" t="inlineStr">
        <is>
          <t>Not Started</t>
        </is>
      </c>
      <c r="F209" t="inlineStr"/>
      <c r="G209" t="inlineStr"/>
      <c r="H209" t="inlineStr"/>
      <c r="I209" t="inlineStr"/>
    </row>
    <row r="210">
      <c r="A210" t="inlineStr">
        <is>
          <t>REQ-00863</t>
        </is>
      </c>
      <c r="B210" t="inlineStr">
        <is>
          <t>2.3.4 The Contractor shall develop post-PMR minutes and respond to post-PMR action items.</t>
        </is>
      </c>
      <c r="C210" t="inlineStr">
        <is>
          <t>C</t>
        </is>
      </c>
      <c r="D210" s="8" t="inlineStr">
        <is>
          <t>Yes</t>
        </is>
      </c>
      <c r="E210" t="inlineStr">
        <is>
          <t>Not Started</t>
        </is>
      </c>
      <c r="F210" t="inlineStr"/>
      <c r="G210" t="inlineStr"/>
      <c r="H210" t="inlineStr"/>
      <c r="I210" t="inlineStr"/>
    </row>
    <row r="211">
      <c r="A211" t="inlineStr">
        <is>
          <t>REQ-00864</t>
        </is>
      </c>
      <c r="B211" t="inlineStr">
        <is>
          <t>2.3.5 The Contractor shall obtain written approval by the Government Lead, or their designee, 
ahead of travel that is already authorized in the contract. 
DRAFT</t>
        </is>
      </c>
      <c r="C211" t="inlineStr">
        <is>
          <t>C</t>
        </is>
      </c>
      <c r="D211" s="8" t="inlineStr">
        <is>
          <t>Yes</t>
        </is>
      </c>
      <c r="E211" t="inlineStr">
        <is>
          <t>Not Started</t>
        </is>
      </c>
      <c r="F211" t="inlineStr"/>
      <c r="G211" t="inlineStr"/>
      <c r="H211" t="inlineStr"/>
      <c r="I211" t="inlineStr"/>
    </row>
    <row r="212">
      <c r="A212" t="inlineStr">
        <is>
          <t>REQ-00865</t>
        </is>
      </c>
      <c r="B212" t="inlineStr">
        <is>
          <t>2.3.6 The Contractor shall support quarterly, multi-day (nominally three-day), in-person 
Program Increment events in Colorado Springs, Colorado. The location, duration, and 
frequency may change as requested by the SPO.</t>
        </is>
      </c>
      <c r="C212" t="inlineStr">
        <is>
          <t>C</t>
        </is>
      </c>
      <c r="D212" s="8" t="inlineStr">
        <is>
          <t>Yes</t>
        </is>
      </c>
      <c r="E212" t="inlineStr">
        <is>
          <t>Not Started</t>
        </is>
      </c>
      <c r="F212" t="inlineStr"/>
      <c r="G212" t="inlineStr"/>
      <c r="H212" t="inlineStr"/>
      <c r="I212" t="inlineStr"/>
    </row>
    <row r="213">
      <c r="A213" t="inlineStr">
        <is>
          <t>REQ-00866</t>
        </is>
      </c>
      <c r="B213" t="inlineStr">
        <is>
          <t>2.3.7 The Contractor shall support quarterly, two-week long, in-person test events at operator 
location(s). Initial operator location will be at Vandenberg Space Force Base, CA; 
alternative locations may include, but are not limited to, Dahlgren Naval Support 
Facility, VA and Schriever SFB, CO...</t>
        </is>
      </c>
      <c r="C213" t="inlineStr">
        <is>
          <t>C</t>
        </is>
      </c>
      <c r="D213" s="8" t="inlineStr">
        <is>
          <t>Yes</t>
        </is>
      </c>
      <c r="E213" t="inlineStr">
        <is>
          <t>Not Started</t>
        </is>
      </c>
      <c r="F213" t="inlineStr"/>
      <c r="G213" t="inlineStr"/>
      <c r="H213" t="inlineStr"/>
      <c r="I213" t="inlineStr"/>
    </row>
    <row r="214">
      <c r="A214" t="inlineStr">
        <is>
          <t>REQ-00867</t>
        </is>
      </c>
      <c r="B214" t="inlineStr">
        <is>
          <t>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t>
        </is>
      </c>
      <c r="C214" t="inlineStr">
        <is>
          <t>C</t>
        </is>
      </c>
      <c r="D214" s="8" t="inlineStr">
        <is>
          <t>Yes</t>
        </is>
      </c>
      <c r="E214" t="inlineStr">
        <is>
          <t>Not Started</t>
        </is>
      </c>
      <c r="F214" t="inlineStr"/>
      <c r="G214" t="inlineStr"/>
      <c r="H214" t="inlineStr"/>
      <c r="I214" t="inlineStr"/>
    </row>
    <row r="215">
      <c r="A215" t="inlineStr">
        <is>
          <t>REQ-00868</t>
        </is>
      </c>
      <c r="B215" t="inlineStr">
        <is>
          <t>2.3.9 The Contractor shall support meetings with mission partners and stakeholders as needed 
at required classification levels at a minimum Quarterly.</t>
        </is>
      </c>
      <c r="C215" t="inlineStr">
        <is>
          <t>C</t>
        </is>
      </c>
      <c r="D215" s="8" t="inlineStr">
        <is>
          <t>Yes</t>
        </is>
      </c>
      <c r="E215" t="inlineStr">
        <is>
          <t>Not Started</t>
        </is>
      </c>
      <c r="F215" t="inlineStr"/>
      <c r="G215" t="inlineStr"/>
      <c r="H215" t="inlineStr"/>
      <c r="I215" t="inlineStr"/>
    </row>
    <row r="216">
      <c r="A216" t="inlineStr">
        <is>
          <t>REQ-00870</t>
        </is>
      </c>
      <c r="B216" t="inlineStr">
        <is>
          <t>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t>
        </is>
      </c>
      <c r="C216" t="inlineStr">
        <is>
          <t>C</t>
        </is>
      </c>
      <c r="D216" s="8" t="inlineStr">
        <is>
          <t>Yes</t>
        </is>
      </c>
      <c r="E216" t="inlineStr">
        <is>
          <t>Not Started</t>
        </is>
      </c>
      <c r="F216" t="inlineStr"/>
      <c r="G216" t="inlineStr"/>
      <c r="H216" t="inlineStr"/>
      <c r="I216" t="inlineStr"/>
    </row>
    <row r="217">
      <c r="A217" t="inlineStr">
        <is>
          <t>REQ-00871</t>
        </is>
      </c>
      <c r="B217" t="inlineStr">
        <is>
          <t>2.4.2 A001 CFSR shall follow SPO-provided template.</t>
        </is>
      </c>
      <c r="C217" t="inlineStr">
        <is>
          <t>C</t>
        </is>
      </c>
      <c r="D217" s="8" t="inlineStr">
        <is>
          <t>Yes</t>
        </is>
      </c>
      <c r="E217" t="inlineStr">
        <is>
          <t>Not Started</t>
        </is>
      </c>
      <c r="F217" t="inlineStr"/>
      <c r="G217" t="inlineStr"/>
      <c r="H217" t="inlineStr"/>
      <c r="I217" t="inlineStr"/>
    </row>
    <row r="218">
      <c r="A218" t="inlineStr">
        <is>
          <t>REQ-00872</t>
        </is>
      </c>
      <c r="B218" t="inlineStr">
        <is>
          <t>2.4.3 A002 PPIP shall address the Government’s Program Protection Plan and follow the 
section formatting contained within</t>
        </is>
      </c>
      <c r="C218" t="inlineStr">
        <is>
          <t>C</t>
        </is>
      </c>
      <c r="D218" s="8" t="inlineStr">
        <is>
          <t>Yes</t>
        </is>
      </c>
      <c r="E218" t="inlineStr">
        <is>
          <t>Not Started</t>
        </is>
      </c>
      <c r="F218" t="inlineStr"/>
      <c r="G218" t="inlineStr"/>
      <c r="H218" t="inlineStr"/>
      <c r="I218" t="inlineStr"/>
    </row>
    <row r="219">
      <c r="A219" t="inlineStr">
        <is>
          <t>REQ-00873</t>
        </is>
      </c>
      <c r="B219" t="inlineStr">
        <is>
          <t>2.4.4 A003 DAL shall include the below items at a minimum. A003 DAL Submission shall 
include meeting minutes, briefing material, bill of materials, and other documentation as 
requested by the SPO. 
• Transition plan,  
• Small Business Contract Plan as applicable,  
• PMR material and meeting m...</t>
        </is>
      </c>
      <c r="C219" t="inlineStr">
        <is>
          <t>C</t>
        </is>
      </c>
      <c r="D219" s="8" t="inlineStr">
        <is>
          <t>Yes</t>
        </is>
      </c>
      <c r="E219" t="inlineStr">
        <is>
          <t>Not Started</t>
        </is>
      </c>
      <c r="F219" t="inlineStr"/>
      <c r="G219" t="inlineStr"/>
      <c r="H219" t="inlineStr"/>
      <c r="I219" t="inlineStr"/>
    </row>
    <row r="220">
      <c r="A220" t="inlineStr">
        <is>
          <t>REQ-00875</t>
        </is>
      </c>
      <c r="B220" t="inlineStr">
        <is>
          <t>2.4.5 A004 PMR shall include content provided within the SPO-provided template. This 
includes, but is not limited to: 
• Internal (execution) product risks,  
• External (dependency) product risks,  
• Metrics,  
• Organizational structure and projected staffing changes that spans a minimum of a...</t>
        </is>
      </c>
      <c r="C220" t="inlineStr">
        <is>
          <t>C</t>
        </is>
      </c>
      <c r="D220" s="8" t="inlineStr">
        <is>
          <t>Yes</t>
        </is>
      </c>
      <c r="E220" t="inlineStr">
        <is>
          <t>Not Started</t>
        </is>
      </c>
      <c r="F220" t="inlineStr"/>
      <c r="G220" t="inlineStr"/>
      <c r="H220" t="inlineStr"/>
      <c r="I220" t="inlineStr"/>
    </row>
    <row r="221">
      <c r="A221" t="inlineStr">
        <is>
          <t>REQ-00877</t>
        </is>
      </c>
      <c r="B221" t="inlineStr">
        <is>
          <t>2.4.6 The Contractor shall enter into ACAs with the contractors listed at Vandenberg Space 
Force Base (VSFB) to support cross-project integration for accomplishment of the SPO’s 
requirement. Additional contractors requiring ACAs may be identified by the SPO 
throughout the duration of the contr...</t>
        </is>
      </c>
      <c r="C221" t="inlineStr">
        <is>
          <t>C</t>
        </is>
      </c>
      <c r="D221" s="8" t="inlineStr">
        <is>
          <t>Yes</t>
        </is>
      </c>
      <c r="E221" t="inlineStr">
        <is>
          <t>Not Started</t>
        </is>
      </c>
      <c r="F221" t="inlineStr"/>
      <c r="G221" t="inlineStr"/>
      <c r="H221" t="inlineStr"/>
      <c r="I221" t="inlineStr"/>
    </row>
    <row r="222">
      <c r="A222" t="inlineStr">
        <is>
          <t>REQ-00878</t>
        </is>
      </c>
      <c r="B222" t="inlineStr">
        <is>
          <t>2.4.7 The Contractor shall establish ACAs with new vendors within 45 days of notification by 
the Government.</t>
        </is>
      </c>
      <c r="C222" t="inlineStr">
        <is>
          <t>C</t>
        </is>
      </c>
      <c r="D222" s="8" t="inlineStr">
        <is>
          <t>Yes</t>
        </is>
      </c>
      <c r="E222" t="inlineStr">
        <is>
          <t>Not Started</t>
        </is>
      </c>
      <c r="F222" t="inlineStr"/>
      <c r="G222" t="inlineStr"/>
      <c r="H222" t="inlineStr"/>
      <c r="I222" t="inlineStr"/>
    </row>
    <row r="223">
      <c r="A223" t="inlineStr">
        <is>
          <t>REQ-00879</t>
        </is>
      </c>
      <c r="B223" t="inlineStr">
        <is>
          <t>2.4.8 The ACA(s) shall include the basis for sharing information, data, technical knowledge, 
expertise and resources essential to integration, which shall ensure the greatest degree of 
cooperation for the development of the program to meet the terms of the contract.</t>
        </is>
      </c>
      <c r="C223" t="inlineStr">
        <is>
          <t>C</t>
        </is>
      </c>
      <c r="D223" s="8" t="inlineStr">
        <is>
          <t>Yes</t>
        </is>
      </c>
      <c r="E223" t="inlineStr">
        <is>
          <t>Not Started</t>
        </is>
      </c>
      <c r="F223" t="inlineStr"/>
      <c r="G223" t="inlineStr"/>
      <c r="H223" t="inlineStr"/>
      <c r="I223" t="inlineStr"/>
    </row>
    <row r="224">
      <c r="A224" t="inlineStr">
        <is>
          <t>REQ-00880</t>
        </is>
      </c>
      <c r="B224" t="inlineStr">
        <is>
          <t>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t>
        </is>
      </c>
      <c r="C224" t="inlineStr">
        <is>
          <t>C</t>
        </is>
      </c>
      <c r="D224" s="8" t="inlineStr">
        <is>
          <t>Yes</t>
        </is>
      </c>
      <c r="E224" t="inlineStr">
        <is>
          <t>Not Started</t>
        </is>
      </c>
      <c r="F224" t="inlineStr"/>
      <c r="G224" t="inlineStr"/>
      <c r="H224" t="inlineStr"/>
      <c r="I224" t="inlineStr"/>
    </row>
    <row r="225">
      <c r="A225" t="inlineStr">
        <is>
          <t>REQ-00882</t>
        </is>
      </c>
      <c r="B225" t="inlineStr">
        <is>
          <t>2.4.10 The Contractor shall provide a copy of the ACA(s) to the Contracting Officer(s) for 
review before execution of the document by the cooperating contractors.</t>
        </is>
      </c>
      <c r="C225" t="inlineStr">
        <is>
          <t>C</t>
        </is>
      </c>
      <c r="D225" s="8" t="inlineStr">
        <is>
          <t>Yes</t>
        </is>
      </c>
      <c r="E225" t="inlineStr">
        <is>
          <t>Not Started</t>
        </is>
      </c>
      <c r="F225" t="inlineStr"/>
      <c r="G225" t="inlineStr"/>
      <c r="H225" t="inlineStr"/>
      <c r="I225" t="inlineStr"/>
    </row>
    <row r="226">
      <c r="A226" t="inlineStr">
        <is>
          <t>REQ-00883</t>
        </is>
      </c>
      <c r="B226" t="inlineStr">
        <is>
          <t>2.4.11 The Contractor shall not be relieved of contract requirements or entitled to adjustments to 
the contract terms because of a failure to resolve a disagreement with an associate 
contractor.</t>
        </is>
      </c>
      <c r="C226" t="inlineStr">
        <is>
          <t>C</t>
        </is>
      </c>
      <c r="D226" s="8" t="inlineStr">
        <is>
          <t>Yes</t>
        </is>
      </c>
      <c r="E226" t="inlineStr">
        <is>
          <t>Not Started</t>
        </is>
      </c>
      <c r="F226" t="inlineStr"/>
      <c r="G226" t="inlineStr"/>
      <c r="H226" t="inlineStr"/>
      <c r="I226" t="inlineStr"/>
    </row>
    <row r="227">
      <c r="A227" t="inlineStr">
        <is>
          <t>REQ-00884</t>
        </is>
      </c>
      <c r="B227" t="inlineStr">
        <is>
          <t>2.4.12 Liability for the improper disclosure of proprietary data contained in or referenced by 
agreements shall rest with the parties to the agreement and not the Government.  If 
improper disclosure of proprietary data occurs, the Government shall be notified 
immediately.</t>
        </is>
      </c>
      <c r="C227" t="inlineStr">
        <is>
          <t>C</t>
        </is>
      </c>
      <c r="D227" s="8" t="inlineStr">
        <is>
          <t>Yes</t>
        </is>
      </c>
      <c r="E227" t="inlineStr">
        <is>
          <t>Not Started</t>
        </is>
      </c>
      <c r="F227" t="inlineStr"/>
      <c r="G227" t="inlineStr"/>
      <c r="H227" t="inlineStr"/>
      <c r="I227" t="inlineStr"/>
    </row>
    <row r="228">
      <c r="A228" t="inlineStr">
        <is>
          <t>REQ-00886</t>
        </is>
      </c>
      <c r="B228" t="inlineStr">
        <is>
          <t>2.4.14 The contractor shall cooperate with Federally Funded Research and Development Center 
(FFRDC) contracts, as identified within the Space C2 contractors list. 
3 Personnel &amp; Staffing</t>
        </is>
      </c>
      <c r="C228" t="inlineStr">
        <is>
          <t>C</t>
        </is>
      </c>
      <c r="D228" s="8" t="inlineStr">
        <is>
          <t>Yes</t>
        </is>
      </c>
      <c r="E228" t="inlineStr">
        <is>
          <t>Not Started</t>
        </is>
      </c>
      <c r="F228" t="inlineStr"/>
      <c r="G228" t="inlineStr"/>
      <c r="H228" t="inlineStr"/>
      <c r="I228" t="inlineStr"/>
    </row>
    <row r="229">
      <c r="A229" t="inlineStr">
        <is>
          <t>REQ-00887</t>
        </is>
      </c>
      <c r="B229" t="inlineStr">
        <is>
          <t>3.1.1 The Contractor direct support personnel shall be located on-site at VSFB.</t>
        </is>
      </c>
      <c r="C229" t="inlineStr">
        <is>
          <t>C</t>
        </is>
      </c>
      <c r="D229" s="8" t="inlineStr">
        <is>
          <t>Yes</t>
        </is>
      </c>
      <c r="E229" t="inlineStr">
        <is>
          <t>Not Started</t>
        </is>
      </c>
      <c r="F229" t="inlineStr"/>
      <c r="G229" t="inlineStr"/>
      <c r="H229" t="inlineStr"/>
      <c r="I229" t="inlineStr"/>
    </row>
    <row r="230">
      <c r="A230" t="inlineStr">
        <is>
          <t>REQ-00888</t>
        </is>
      </c>
      <c r="B230" t="inlineStr">
        <is>
          <t>3.1.2 The Contractor shall provide coverage to provide on-site 24/7 support.</t>
        </is>
      </c>
      <c r="C230" t="inlineStr">
        <is>
          <t>C</t>
        </is>
      </c>
      <c r="D230" s="8" t="inlineStr">
        <is>
          <t>Yes</t>
        </is>
      </c>
      <c r="E230" t="inlineStr">
        <is>
          <t>Not Started</t>
        </is>
      </c>
      <c r="F230" t="inlineStr"/>
      <c r="G230" t="inlineStr"/>
      <c r="H230" t="inlineStr"/>
      <c r="I230" t="inlineStr"/>
    </row>
    <row r="231">
      <c r="A231" t="inlineStr">
        <is>
          <t>REQ-00889</t>
        </is>
      </c>
      <c r="B231" t="inlineStr">
        <is>
          <t>3.1.3 The Contractor shall provide infrastructure support on a 5-days-a-week, 12-hours-a-day 
(5/12) basis, as well as limited weekend and late-night support during test events, with 
on-call support for non-duty hours and weekends. See Section 5.1 for further details.</t>
        </is>
      </c>
      <c r="C231" t="inlineStr">
        <is>
          <t>C</t>
        </is>
      </c>
      <c r="D231" s="8" t="inlineStr">
        <is>
          <t>Yes</t>
        </is>
      </c>
      <c r="E231" t="inlineStr">
        <is>
          <t>Not Started</t>
        </is>
      </c>
      <c r="F231" t="inlineStr"/>
      <c r="G231" t="inlineStr"/>
      <c r="H231" t="inlineStr"/>
      <c r="I231" t="inlineStr"/>
    </row>
    <row r="232">
      <c r="A232" t="inlineStr">
        <is>
          <t>REQ-00890</t>
        </is>
      </c>
      <c r="B232" t="inlineStr">
        <is>
          <t>3.2.1 The Contractor shall establish and maintain an organizational team structure possessing 
the knowledge, skills, and experience capable of performing all requirements.</t>
        </is>
      </c>
      <c r="C232" t="inlineStr">
        <is>
          <t>C</t>
        </is>
      </c>
      <c r="D232" s="8" t="inlineStr">
        <is>
          <t>Yes</t>
        </is>
      </c>
      <c r="E232" t="inlineStr">
        <is>
          <t>Not Started</t>
        </is>
      </c>
      <c r="F232" t="inlineStr"/>
      <c r="G232" t="inlineStr"/>
      <c r="H232" t="inlineStr"/>
      <c r="I232" t="inlineStr"/>
    </row>
    <row r="233">
      <c r="A233" t="inlineStr">
        <is>
          <t>REQ-00891</t>
        </is>
      </c>
      <c r="B233" t="inlineStr">
        <is>
          <t>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t>
        </is>
      </c>
      <c r="C233" t="inlineStr">
        <is>
          <t>C</t>
        </is>
      </c>
      <c r="D233" s="8" t="inlineStr">
        <is>
          <t>Yes</t>
        </is>
      </c>
      <c r="E233" t="inlineStr">
        <is>
          <t>Not Started</t>
        </is>
      </c>
      <c r="F233" t="inlineStr"/>
      <c r="G233" t="inlineStr"/>
      <c r="H233" t="inlineStr"/>
      <c r="I233" t="inlineStr"/>
    </row>
    <row r="234">
      <c r="A234" t="inlineStr">
        <is>
          <t>REQ-00892</t>
        </is>
      </c>
      <c r="B234" t="inlineStr">
        <is>
          <t>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t>
        </is>
      </c>
      <c r="C234" t="inlineStr">
        <is>
          <t>C</t>
        </is>
      </c>
      <c r="D234" s="8" t="inlineStr">
        <is>
          <t>Yes</t>
        </is>
      </c>
      <c r="E234" t="inlineStr">
        <is>
          <t>Not Started</t>
        </is>
      </c>
      <c r="F234" t="inlineStr"/>
      <c r="G234" t="inlineStr"/>
      <c r="H234" t="inlineStr"/>
      <c r="I234" t="inlineStr"/>
    </row>
    <row r="235">
      <c r="A235" t="inlineStr">
        <is>
          <t>REQ-00893</t>
        </is>
      </c>
      <c r="B235" t="inlineStr">
        <is>
          <t>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t>
        </is>
      </c>
      <c r="C235" t="inlineStr">
        <is>
          <t>C</t>
        </is>
      </c>
      <c r="D235" s="8" t="inlineStr">
        <is>
          <t>Yes</t>
        </is>
      </c>
      <c r="E235" t="inlineStr">
        <is>
          <t>Not Started</t>
        </is>
      </c>
      <c r="F235" t="inlineStr"/>
      <c r="G235" t="inlineStr"/>
      <c r="H235" t="inlineStr"/>
      <c r="I235" t="inlineStr"/>
    </row>
    <row r="236">
      <c r="A236" t="inlineStr">
        <is>
          <t>REQ-00894</t>
        </is>
      </c>
      <c r="B236" t="inlineStr">
        <is>
          <t>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t>
        </is>
      </c>
      <c r="C236" t="inlineStr">
        <is>
          <t>C</t>
        </is>
      </c>
      <c r="D236" s="8" t="inlineStr">
        <is>
          <t>Yes</t>
        </is>
      </c>
      <c r="E236" t="inlineStr">
        <is>
          <t>Not Started</t>
        </is>
      </c>
      <c r="F236" t="inlineStr"/>
      <c r="G236" t="inlineStr"/>
      <c r="H236" t="inlineStr"/>
      <c r="I236" t="inlineStr"/>
    </row>
    <row r="237">
      <c r="A237" t="inlineStr">
        <is>
          <t>REQ-00896</t>
        </is>
      </c>
      <c r="B237" t="inlineStr">
        <is>
          <t>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t>
        </is>
      </c>
      <c r="C237" t="inlineStr">
        <is>
          <t>C</t>
        </is>
      </c>
      <c r="D237" t="inlineStr">
        <is>
          <t>No</t>
        </is>
      </c>
      <c r="E237" t="inlineStr">
        <is>
          <t>Not Started</t>
        </is>
      </c>
      <c r="F237" t="inlineStr"/>
      <c r="G237" t="inlineStr"/>
      <c r="H237" t="inlineStr"/>
      <c r="I237" t="inlineStr"/>
    </row>
    <row r="238">
      <c r="A238" t="inlineStr">
        <is>
          <t>REQ-00900</t>
        </is>
      </c>
      <c r="B238" t="inlineStr">
        <is>
          <t>3.3.1 All Contractor direct support personnel shall be TS/SCI eligible.</t>
        </is>
      </c>
      <c r="C238" t="inlineStr">
        <is>
          <t>C</t>
        </is>
      </c>
      <c r="D238" s="8" t="inlineStr">
        <is>
          <t>Yes</t>
        </is>
      </c>
      <c r="E238" t="inlineStr">
        <is>
          <t>Not Started</t>
        </is>
      </c>
      <c r="F238" t="inlineStr"/>
      <c r="G238" t="inlineStr"/>
      <c r="H238" t="inlineStr"/>
      <c r="I238" t="inlineStr"/>
    </row>
    <row r="239">
      <c r="A239" t="inlineStr">
        <is>
          <t>REQ-00901</t>
        </is>
      </c>
      <c r="B239" t="inlineStr">
        <is>
          <t>3.3.2 All Contractor direct support personnel shall be US citizens and shall obtain and 
maintain a Common Access Card (CAC) (see DoD Manual (DoDM-1000.13-M-V1) for 
CAC issuance criteria).</t>
        </is>
      </c>
      <c r="C239" t="inlineStr">
        <is>
          <t>C</t>
        </is>
      </c>
      <c r="D239" s="8" t="inlineStr">
        <is>
          <t>Yes</t>
        </is>
      </c>
      <c r="E239" t="inlineStr">
        <is>
          <t>Not Started</t>
        </is>
      </c>
      <c r="F239" t="inlineStr"/>
      <c r="G239" t="inlineStr"/>
      <c r="H239" t="inlineStr"/>
      <c r="I239" t="inlineStr"/>
    </row>
    <row r="240">
      <c r="A240" t="inlineStr">
        <is>
          <t>REQ-00902</t>
        </is>
      </c>
      <c r="B240" t="inlineStr">
        <is>
          <t>3.3.3 All Contractor direct support personnel shall obtain and maintain Secret Internet Protocol 
Router Network (SIPRNet) access.</t>
        </is>
      </c>
      <c r="C240" t="inlineStr">
        <is>
          <t>C</t>
        </is>
      </c>
      <c r="D240" s="8" t="inlineStr">
        <is>
          <t>Yes</t>
        </is>
      </c>
      <c r="E240" t="inlineStr">
        <is>
          <t>Not Started</t>
        </is>
      </c>
      <c r="F240" t="inlineStr"/>
      <c r="G240" t="inlineStr"/>
      <c r="H240" t="inlineStr"/>
      <c r="I240" t="inlineStr"/>
    </row>
    <row r="241">
      <c r="A241" t="inlineStr">
        <is>
          <t>REQ-00903</t>
        </is>
      </c>
      <c r="B241" t="inlineStr">
        <is>
          <t>3.3.4 A minimum of 25% of contractor direct support personnel shall obtain and maintain Joint 
Worldwide Intelligence Communications System (JWICS) access. 
DRAFT</t>
        </is>
      </c>
      <c r="C241" t="inlineStr">
        <is>
          <t>C</t>
        </is>
      </c>
      <c r="D241" s="8" t="inlineStr">
        <is>
          <t>Yes</t>
        </is>
      </c>
      <c r="E241" t="inlineStr">
        <is>
          <t>Not Started</t>
        </is>
      </c>
      <c r="F241" t="inlineStr"/>
      <c r="G241" t="inlineStr"/>
      <c r="H241" t="inlineStr"/>
      <c r="I241" t="inlineStr"/>
    </row>
    <row r="242">
      <c r="A242" t="inlineStr">
        <is>
          <t>REQ-00906</t>
        </is>
      </c>
      <c r="B242" t="inlineStr">
        <is>
          <t>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t>
        </is>
      </c>
      <c r="C242" t="inlineStr">
        <is>
          <t>C</t>
        </is>
      </c>
      <c r="D242" s="8" t="inlineStr">
        <is>
          <t>Yes</t>
        </is>
      </c>
      <c r="E242" t="inlineStr">
        <is>
          <t>Not Started</t>
        </is>
      </c>
      <c r="F242" t="inlineStr"/>
      <c r="G242" t="inlineStr"/>
      <c r="H242" t="inlineStr"/>
      <c r="I242" t="inlineStr"/>
    </row>
    <row r="243">
      <c r="A243" t="inlineStr">
        <is>
          <t>REQ-00907</t>
        </is>
      </c>
      <c r="B243" t="inlineStr">
        <is>
          <t>4.1.1 The Contractor shall establish and maintain a 24/7 NOC at VSFB.</t>
        </is>
      </c>
      <c r="C243" t="inlineStr">
        <is>
          <t>C</t>
        </is>
      </c>
      <c r="D243" s="8" t="inlineStr">
        <is>
          <t>Yes</t>
        </is>
      </c>
      <c r="E243" t="inlineStr">
        <is>
          <t>Not Started</t>
        </is>
      </c>
      <c r="F243" t="inlineStr"/>
      <c r="G243" t="inlineStr"/>
      <c r="H243" t="inlineStr"/>
      <c r="I243" t="inlineStr"/>
    </row>
    <row r="244">
      <c r="A244" t="inlineStr">
        <is>
          <t>REQ-00908</t>
        </is>
      </c>
      <c r="B244" t="inlineStr">
        <is>
          <t>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t>
        </is>
      </c>
      <c r="C244" t="inlineStr">
        <is>
          <t>C</t>
        </is>
      </c>
      <c r="D244" s="8" t="inlineStr">
        <is>
          <t>Yes</t>
        </is>
      </c>
      <c r="E244" t="inlineStr">
        <is>
          <t>Not Started</t>
        </is>
      </c>
      <c r="F244" t="inlineStr"/>
      <c r="G244" t="inlineStr"/>
      <c r="H244" t="inlineStr"/>
      <c r="I244" t="inlineStr"/>
    </row>
    <row r="245">
      <c r="A245" t="inlineStr">
        <is>
          <t>REQ-00909</t>
        </is>
      </c>
      <c r="B245" t="inlineStr">
        <is>
          <t>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t>
        </is>
      </c>
      <c r="C245" t="inlineStr">
        <is>
          <t>C</t>
        </is>
      </c>
      <c r="D245" s="8" t="inlineStr">
        <is>
          <t>Yes</t>
        </is>
      </c>
      <c r="E245" t="inlineStr">
        <is>
          <t>Not Started</t>
        </is>
      </c>
      <c r="F245" t="inlineStr"/>
      <c r="G245" t="inlineStr"/>
      <c r="H245" t="inlineStr"/>
      <c r="I245" t="inlineStr"/>
    </row>
    <row r="246">
      <c r="A246" t="inlineStr">
        <is>
          <t>REQ-00910</t>
        </is>
      </c>
      <c r="B246" t="inlineStr">
        <is>
          <t>4.1.4 The Contractor shall develop a consolidated training plan for 24/7 NOC team member 
certification.</t>
        </is>
      </c>
      <c r="C246" t="inlineStr">
        <is>
          <t>C</t>
        </is>
      </c>
      <c r="D246" s="8" t="inlineStr">
        <is>
          <t>Yes</t>
        </is>
      </c>
      <c r="E246" t="inlineStr">
        <is>
          <t>Not Started</t>
        </is>
      </c>
      <c r="F246" t="inlineStr"/>
      <c r="G246" t="inlineStr"/>
      <c r="H246" t="inlineStr"/>
      <c r="I246" t="inlineStr"/>
    </row>
    <row r="247">
      <c r="A247" t="inlineStr">
        <is>
          <t>REQ-00911</t>
        </is>
      </c>
      <c r="B247" t="inlineStr">
        <is>
          <t>4.1.5 The Contractor shall develop and implement 24/7 NOC crew facility layout in 
coordination with 18 SDS, Space C2 platform teams, and other Contractor-identified 
units. Note: The SPO anticipates the 24/7 support team will sit on the TS/SCI operational 
floor in VSFB Building 8401.</t>
        </is>
      </c>
      <c r="C247" t="inlineStr">
        <is>
          <t>C</t>
        </is>
      </c>
      <c r="D247" s="8" t="inlineStr">
        <is>
          <t>Yes</t>
        </is>
      </c>
      <c r="E247" t="inlineStr">
        <is>
          <t>Not Started</t>
        </is>
      </c>
      <c r="F247" t="inlineStr"/>
      <c r="G247" t="inlineStr"/>
      <c r="H247" t="inlineStr"/>
      <c r="I247" t="inlineStr"/>
    </row>
    <row r="248">
      <c r="A248" t="inlineStr">
        <is>
          <t>REQ-00912</t>
        </is>
      </c>
      <c r="B248" t="inlineStr">
        <is>
          <t>4.1.5.1 A minimum of 50% of crew strength must be maintained as bench strength in the 
event of incapacitation.</t>
        </is>
      </c>
      <c r="C248" t="inlineStr">
        <is>
          <t>C</t>
        </is>
      </c>
      <c r="D248" s="8" t="inlineStr">
        <is>
          <t>Yes</t>
        </is>
      </c>
      <c r="E248" t="inlineStr">
        <is>
          <t>Not Started</t>
        </is>
      </c>
      <c r="F248" t="inlineStr"/>
      <c r="G248" t="inlineStr"/>
      <c r="H248" t="inlineStr"/>
      <c r="I248" t="inlineStr"/>
    </row>
    <row r="249">
      <c r="A249" t="inlineStr">
        <is>
          <t>REQ-00913</t>
        </is>
      </c>
      <c r="B249" t="inlineStr">
        <is>
          <t>4.2.1 The Contractor shall provide 24/7 Tier 1 support to Space C2 software products, network 
interfaces, network infrastructure, infrastructure, and platform services. Tier 1 support 
can be generally defined as:  
• Account/password resets  
• Simple restores  
• System response   
• Service r...</t>
        </is>
      </c>
      <c r="C249" t="inlineStr">
        <is>
          <t>C</t>
        </is>
      </c>
      <c r="D249" s="8" t="inlineStr">
        <is>
          <t>Yes</t>
        </is>
      </c>
      <c r="E249" t="inlineStr">
        <is>
          <t>Not Started</t>
        </is>
      </c>
      <c r="F249" t="inlineStr"/>
      <c r="G249" t="inlineStr"/>
      <c r="H249" t="inlineStr"/>
      <c r="I249" t="inlineStr"/>
    </row>
    <row r="250">
      <c r="A250" t="inlineStr">
        <is>
          <t>REQ-00914</t>
        </is>
      </c>
      <c r="B250" t="inlineStr">
        <is>
          <t>4.2.2 The Contractor shall provide system health utilizing dashboards and call tree procedures.</t>
        </is>
      </c>
      <c r="C250" t="inlineStr">
        <is>
          <t>C</t>
        </is>
      </c>
      <c r="D250" s="8" t="inlineStr">
        <is>
          <t>Yes</t>
        </is>
      </c>
      <c r="E250" t="inlineStr">
        <is>
          <t>Not Started</t>
        </is>
      </c>
      <c r="F250" t="inlineStr"/>
      <c r="G250" t="inlineStr"/>
      <c r="H250" t="inlineStr"/>
      <c r="I250" t="inlineStr"/>
    </row>
    <row r="251">
      <c r="A251" t="inlineStr">
        <is>
          <t>REQ-00915</t>
        </is>
      </c>
      <c r="B251" t="inlineStr">
        <is>
          <t>4.2.3 The Contractor shall utilize screen captures, user-reported symptoms, and any other 
available information to document off nominal conditions.</t>
        </is>
      </c>
      <c r="C251" t="inlineStr">
        <is>
          <t>C</t>
        </is>
      </c>
      <c r="D251" s="8" t="inlineStr">
        <is>
          <t>Yes</t>
        </is>
      </c>
      <c r="E251" t="inlineStr">
        <is>
          <t>Not Started</t>
        </is>
      </c>
      <c r="F251" t="inlineStr"/>
      <c r="G251" t="inlineStr"/>
      <c r="H251" t="inlineStr"/>
      <c r="I251" t="inlineStr"/>
    </row>
    <row r="252">
      <c r="A252" t="inlineStr">
        <is>
          <t>REQ-00916</t>
        </is>
      </c>
      <c r="B252" t="inlineStr">
        <is>
          <t>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t>
        </is>
      </c>
      <c r="C252" t="inlineStr">
        <is>
          <t>C</t>
        </is>
      </c>
      <c r="D252" s="8" t="inlineStr">
        <is>
          <t>Yes</t>
        </is>
      </c>
      <c r="E252" t="inlineStr">
        <is>
          <t>Not Started</t>
        </is>
      </c>
      <c r="F252" t="inlineStr"/>
      <c r="G252" t="inlineStr"/>
      <c r="H252" t="inlineStr"/>
      <c r="I252" t="inlineStr"/>
    </row>
    <row r="253">
      <c r="A253" t="inlineStr">
        <is>
          <t>REQ-00917</t>
        </is>
      </c>
      <c r="B253" t="inlineStr">
        <is>
          <t>4.2.5 The Contractor shall relay off-nominal conditions to Tier 2 and/or Tier 3 product support 
tiers based on documented procedures. The information shall be relayed at the lowest 
security level possible, while still providing meaningful data.</t>
        </is>
      </c>
      <c r="C253" t="inlineStr">
        <is>
          <t>C</t>
        </is>
      </c>
      <c r="D253" s="8" t="inlineStr">
        <is>
          <t>Yes</t>
        </is>
      </c>
      <c r="E253" t="inlineStr">
        <is>
          <t>Not Started</t>
        </is>
      </c>
      <c r="F253" t="inlineStr"/>
      <c r="G253" t="inlineStr"/>
      <c r="H253" t="inlineStr"/>
      <c r="I253" t="inlineStr"/>
    </row>
    <row r="254">
      <c r="A254" t="inlineStr">
        <is>
          <t>REQ-00918</t>
        </is>
      </c>
      <c r="B254" t="inlineStr">
        <is>
          <t>4.2.6 The Contractor shall coordinate with the Space C2 configuration management and cyber 
teams to disposition any system configuration changes required to respond to system 
outages.</t>
        </is>
      </c>
      <c r="C254" t="inlineStr">
        <is>
          <t>C</t>
        </is>
      </c>
      <c r="D254" s="8" t="inlineStr">
        <is>
          <t>Yes</t>
        </is>
      </c>
      <c r="E254" t="inlineStr">
        <is>
          <t>Not Started</t>
        </is>
      </c>
      <c r="F254" t="inlineStr"/>
      <c r="G254" t="inlineStr"/>
      <c r="H254" t="inlineStr"/>
      <c r="I254" t="inlineStr"/>
    </row>
    <row r="255">
      <c r="A255" t="inlineStr">
        <is>
          <t>REQ-00919</t>
        </is>
      </c>
      <c r="B255" t="inlineStr">
        <is>
          <t>4.3.1 The Contractor shall provide 24/7 on-site support for Space C2 software capabilities. 
This includes monitoring at Secret for on-prem and cloud-hosted (Impact Level-6) 
software applications and will include monitoring at TS/SCI for cloud-hosted software 
applications in the future.</t>
        </is>
      </c>
      <c r="C255" t="inlineStr">
        <is>
          <t>C</t>
        </is>
      </c>
      <c r="D255" s="8" t="inlineStr">
        <is>
          <t>Yes</t>
        </is>
      </c>
      <c r="E255" t="inlineStr">
        <is>
          <t>Not Started</t>
        </is>
      </c>
      <c r="F255" t="inlineStr"/>
      <c r="G255" t="inlineStr"/>
      <c r="H255" t="inlineStr"/>
      <c r="I255" t="inlineStr"/>
    </row>
    <row r="256">
      <c r="A256" t="inlineStr">
        <is>
          <t>REQ-00920</t>
        </is>
      </c>
      <c r="B256" t="inlineStr">
        <is>
          <t>4.3.2 The Contractor shall resolve basic user system access issues identified in Section 4.2.</t>
        </is>
      </c>
      <c r="C256" t="inlineStr">
        <is>
          <t>C</t>
        </is>
      </c>
      <c r="D256" s="8" t="inlineStr">
        <is>
          <t>Yes</t>
        </is>
      </c>
      <c r="E256" t="inlineStr">
        <is>
          <t>Not Started</t>
        </is>
      </c>
      <c r="F256" t="inlineStr"/>
      <c r="G256" t="inlineStr"/>
      <c r="H256" t="inlineStr"/>
      <c r="I256" t="inlineStr"/>
    </row>
    <row r="257">
      <c r="A257" t="inlineStr">
        <is>
          <t>REQ-00921</t>
        </is>
      </c>
      <c r="B257" t="inlineStr">
        <is>
          <t>4.3.3 The Contractor shall track system status and trends from the provided dashboards to 
predict and restore system operational capabilities in a Government approved report.</t>
        </is>
      </c>
      <c r="C257" t="inlineStr">
        <is>
          <t>C</t>
        </is>
      </c>
      <c r="D257" s="8" t="inlineStr">
        <is>
          <t>Yes</t>
        </is>
      </c>
      <c r="E257" t="inlineStr">
        <is>
          <t>Not Started</t>
        </is>
      </c>
      <c r="F257" t="inlineStr"/>
      <c r="G257" t="inlineStr"/>
      <c r="H257" t="inlineStr"/>
      <c r="I257" t="inlineStr"/>
    </row>
    <row r="258">
      <c r="A258" t="inlineStr">
        <is>
          <t>REQ-00922</t>
        </is>
      </c>
      <c r="B258" t="inlineStr">
        <is>
          <t>4.3.4 The Contractor shall execute workflows to inform and track Tier 2 support regarding a 
failure mode or degradation of service pertaining to that system. In the case of unclear 
DRAFT</t>
        </is>
      </c>
      <c r="C258" t="inlineStr">
        <is>
          <t>C</t>
        </is>
      </c>
      <c r="D258" s="8" t="inlineStr">
        <is>
          <t>Yes</t>
        </is>
      </c>
      <c r="E258" t="inlineStr">
        <is>
          <t>Not Started</t>
        </is>
      </c>
      <c r="F258" t="inlineStr"/>
      <c r="G258" t="inlineStr"/>
      <c r="H258" t="inlineStr"/>
      <c r="I258" t="inlineStr"/>
    </row>
    <row r="259">
      <c r="A259" t="inlineStr">
        <is>
          <t>REQ-00923</t>
        </is>
      </c>
      <c r="B259" t="inlineStr">
        <is>
          <t>CUI 
 CUI 16  
cause of degradation, the Contractor shall perform initial contact to multiple Tier 2 
contacts to further identify the source of the failure.</t>
        </is>
      </c>
      <c r="C259" t="inlineStr">
        <is>
          <t>C</t>
        </is>
      </c>
      <c r="D259" s="8" t="inlineStr">
        <is>
          <t>Yes</t>
        </is>
      </c>
      <c r="E259" t="inlineStr">
        <is>
          <t>Not Started</t>
        </is>
      </c>
      <c r="F259" t="inlineStr"/>
      <c r="G259" t="inlineStr"/>
      <c r="H259" t="inlineStr"/>
      <c r="I259" t="inlineStr"/>
    </row>
    <row r="260">
      <c r="A260" t="inlineStr">
        <is>
          <t>REQ-00924</t>
        </is>
      </c>
      <c r="B260" t="inlineStr">
        <is>
          <t>4.3.5 The Contractor shall provide 24/7 on-call software support to include reach-back 
capabilities for all Commercial-Off-The-Shelf (COTS) and Government-Off-The-Shelf 
(GOTS) software.</t>
        </is>
      </c>
      <c r="C260" t="inlineStr">
        <is>
          <t>C</t>
        </is>
      </c>
      <c r="D260" s="8" t="inlineStr">
        <is>
          <t>Yes</t>
        </is>
      </c>
      <c r="E260" t="inlineStr">
        <is>
          <t>Not Started</t>
        </is>
      </c>
      <c r="F260" t="inlineStr"/>
      <c r="G260" t="inlineStr"/>
      <c r="H260" t="inlineStr"/>
      <c r="I260" t="inlineStr"/>
    </row>
    <row r="261">
      <c r="A261" t="inlineStr">
        <is>
          <t>REQ-00925</t>
        </is>
      </c>
      <c r="B261" t="inlineStr">
        <is>
          <t>4.3.6 The Contractor shall serve as a 24/7 help desk. This includes assisting users with 
resolving basic system access issues and maintaining track of system status to understand 
which systems are up/down to support users who are having problems with system 
access.</t>
        </is>
      </c>
      <c r="C261" t="inlineStr">
        <is>
          <t>C</t>
        </is>
      </c>
      <c r="D261" s="8" t="inlineStr">
        <is>
          <t>Yes</t>
        </is>
      </c>
      <c r="E261" t="inlineStr">
        <is>
          <t>Not Started</t>
        </is>
      </c>
      <c r="F261" t="inlineStr"/>
      <c r="G261" t="inlineStr"/>
      <c r="H261" t="inlineStr"/>
      <c r="I261" t="inlineStr"/>
    </row>
    <row r="262">
      <c r="A262" t="inlineStr">
        <is>
          <t>REQ-00926</t>
        </is>
      </c>
      <c r="B262" t="inlineStr">
        <is>
          <t>4.4.1 The Contractor shall provide 24/7 on-site support for Space C2 networking capabilities. 
This includes network monitoring across Secret and TS/SCI for the following systems:  
• SPARTAN (network) 
• SDANet (network) 
• SDIN (network) 
• MeshOne-T (network) 
• CPS (network) 
• WarpCore (data...</t>
        </is>
      </c>
      <c r="C262" t="inlineStr">
        <is>
          <t>C</t>
        </is>
      </c>
      <c r="D262" s="8" t="inlineStr">
        <is>
          <t>Yes</t>
        </is>
      </c>
      <c r="E262" t="inlineStr">
        <is>
          <t>Not Started</t>
        </is>
      </c>
      <c r="F262" t="inlineStr"/>
      <c r="G262" t="inlineStr"/>
      <c r="H262" t="inlineStr"/>
      <c r="I262" t="inlineStr"/>
    </row>
    <row r="263">
      <c r="A263" t="inlineStr">
        <is>
          <t>REQ-00927</t>
        </is>
      </c>
      <c r="B263" t="inlineStr">
        <is>
          <t>4.4.2 The Contractor shall leverage the SPO JIRA ticketing system to track and close all 
networking issues regarding system failures.</t>
        </is>
      </c>
      <c r="C263" t="inlineStr">
        <is>
          <t>C</t>
        </is>
      </c>
      <c r="D263" s="8" t="inlineStr">
        <is>
          <t>Yes</t>
        </is>
      </c>
      <c r="E263" t="inlineStr">
        <is>
          <t>Not Started</t>
        </is>
      </c>
      <c r="F263" t="inlineStr"/>
      <c r="G263" t="inlineStr"/>
      <c r="H263" t="inlineStr"/>
      <c r="I263" t="inlineStr"/>
    </row>
    <row r="264">
      <c r="A264" t="inlineStr">
        <is>
          <t>REQ-00928</t>
        </is>
      </c>
      <c r="B264" t="inlineStr">
        <is>
          <t>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t>
        </is>
      </c>
      <c r="C264" t="inlineStr">
        <is>
          <t>C</t>
        </is>
      </c>
      <c r="D264" s="8" t="inlineStr">
        <is>
          <t>Yes</t>
        </is>
      </c>
      <c r="E264" t="inlineStr">
        <is>
          <t>Not Started</t>
        </is>
      </c>
      <c r="F264" t="inlineStr"/>
      <c r="G264" t="inlineStr"/>
      <c r="H264" t="inlineStr"/>
      <c r="I264" t="inlineStr"/>
    </row>
    <row r="265">
      <c r="A265" t="inlineStr">
        <is>
          <t>REQ-00931</t>
        </is>
      </c>
      <c r="B265" t="inlineStr">
        <is>
          <t>4.5.1 The Contractor shall execute tier 1 support directly for SPARTAN and SDANet.</t>
        </is>
      </c>
      <c r="C265" t="inlineStr">
        <is>
          <t>C</t>
        </is>
      </c>
      <c r="D265" s="8" t="inlineStr">
        <is>
          <t>Yes</t>
        </is>
      </c>
      <c r="E265" t="inlineStr">
        <is>
          <t>Not Started</t>
        </is>
      </c>
      <c r="F265" t="inlineStr"/>
      <c r="G265" t="inlineStr"/>
      <c r="H265" t="inlineStr"/>
      <c r="I265" t="inlineStr"/>
    </row>
    <row r="266">
      <c r="A266" t="inlineStr">
        <is>
          <t>REQ-00932</t>
        </is>
      </c>
      <c r="B266" t="inlineStr">
        <is>
          <t>4.5.2 The Contractor shall execute additional network connectivity checks to validate all 
network failures and to further identify the source of failed connection.</t>
        </is>
      </c>
      <c r="C266" t="inlineStr">
        <is>
          <t>C</t>
        </is>
      </c>
      <c r="D266" s="8" t="inlineStr">
        <is>
          <t>Yes</t>
        </is>
      </c>
      <c r="E266" t="inlineStr">
        <is>
          <t>Not Started</t>
        </is>
      </c>
      <c r="F266" t="inlineStr"/>
      <c r="G266" t="inlineStr"/>
      <c r="H266" t="inlineStr"/>
      <c r="I266" t="inlineStr"/>
    </row>
    <row r="267">
      <c r="A267" t="inlineStr">
        <is>
          <t>REQ-00933</t>
        </is>
      </c>
      <c r="B267" t="inlineStr">
        <is>
          <t>4.5.3 The Contractor shall monitor networking metrics to identify network congestion or other 
aspects of network degradation and report to the appropriate.</t>
        </is>
      </c>
      <c r="C267" t="inlineStr">
        <is>
          <t>C</t>
        </is>
      </c>
      <c r="D267" s="8" t="inlineStr">
        <is>
          <t>Yes</t>
        </is>
      </c>
      <c r="E267" t="inlineStr">
        <is>
          <t>Not Started</t>
        </is>
      </c>
      <c r="F267" t="inlineStr"/>
      <c r="G267" t="inlineStr"/>
      <c r="H267" t="inlineStr"/>
      <c r="I267" t="inlineStr"/>
    </row>
    <row r="268">
      <c r="A268" t="inlineStr">
        <is>
          <t>REQ-00934</t>
        </is>
      </c>
      <c r="B268" t="inlineStr">
        <is>
          <t>4.5.4 The Contractor shall continuously analyze workflow of metrics to further identify root 
causes in order to support reduction in cost latency, and increased throughput quarterly.   
DRAFT</t>
        </is>
      </c>
      <c r="C268" t="inlineStr">
        <is>
          <t>C</t>
        </is>
      </c>
      <c r="D268" s="8" t="inlineStr">
        <is>
          <t>Yes</t>
        </is>
      </c>
      <c r="E268" t="inlineStr">
        <is>
          <t>Not Started</t>
        </is>
      </c>
      <c r="F268" t="inlineStr"/>
      <c r="G268" t="inlineStr"/>
      <c r="H268" t="inlineStr"/>
      <c r="I268" t="inlineStr"/>
    </row>
    <row r="269">
      <c r="A269" t="inlineStr">
        <is>
          <t>REQ-00935</t>
        </is>
      </c>
      <c r="B269" t="inlineStr">
        <is>
          <t>4.5.5 The Contractor shall execute pre-determined contingency plans in the case of significant 
degradation to restore network service to critical operations.</t>
        </is>
      </c>
      <c r="C269" t="inlineStr">
        <is>
          <t>C</t>
        </is>
      </c>
      <c r="D269" s="8" t="inlineStr">
        <is>
          <t>Yes</t>
        </is>
      </c>
      <c r="E269" t="inlineStr">
        <is>
          <t>Not Started</t>
        </is>
      </c>
      <c r="F269" t="inlineStr"/>
      <c r="G269" t="inlineStr"/>
      <c r="H269" t="inlineStr"/>
      <c r="I269" t="inlineStr"/>
    </row>
    <row r="270">
      <c r="A270" t="inlineStr">
        <is>
          <t>REQ-00936</t>
        </is>
      </c>
      <c r="B270" t="inlineStr">
        <is>
          <t>4.5.6 The Contractor shall notify affected operators regarding a degradation in capability of 
network connectivity and perform pre-determined workflows.</t>
        </is>
      </c>
      <c r="C270" t="inlineStr">
        <is>
          <t>C</t>
        </is>
      </c>
      <c r="D270" s="8" t="inlineStr">
        <is>
          <t>Yes</t>
        </is>
      </c>
      <c r="E270" t="inlineStr">
        <is>
          <t>Not Started</t>
        </is>
      </c>
      <c r="F270" t="inlineStr"/>
      <c r="G270" t="inlineStr"/>
      <c r="H270" t="inlineStr"/>
      <c r="I270" t="inlineStr"/>
    </row>
    <row r="271">
      <c r="A271" t="inlineStr">
        <is>
          <t>REQ-00937</t>
        </is>
      </c>
      <c r="B271" t="inlineStr">
        <is>
          <t>4.5.7 The Contractor shall notify affected operators when network capabilities are restored or 
improved to nominal capabilities.</t>
        </is>
      </c>
      <c r="C271" t="inlineStr">
        <is>
          <t>C</t>
        </is>
      </c>
      <c r="D271" s="8" t="inlineStr">
        <is>
          <t>Yes</t>
        </is>
      </c>
      <c r="E271" t="inlineStr">
        <is>
          <t>Not Started</t>
        </is>
      </c>
      <c r="F271" t="inlineStr"/>
      <c r="G271" t="inlineStr"/>
      <c r="H271" t="inlineStr"/>
      <c r="I271" t="inlineStr"/>
    </row>
    <row r="272">
      <c r="A272" t="inlineStr">
        <is>
          <t>REQ-00939</t>
        </is>
      </c>
      <c r="B272" t="inlineStr">
        <is>
          <t>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t>
        </is>
      </c>
      <c r="C272" t="inlineStr">
        <is>
          <t>C</t>
        </is>
      </c>
      <c r="D272" s="8" t="inlineStr">
        <is>
          <t>Yes</t>
        </is>
      </c>
      <c r="E272" t="inlineStr">
        <is>
          <t>Not Started</t>
        </is>
      </c>
      <c r="F272" t="inlineStr"/>
      <c r="G272" t="inlineStr"/>
      <c r="H272" t="inlineStr"/>
      <c r="I272" t="inlineStr"/>
    </row>
    <row r="273">
      <c r="A273" t="inlineStr">
        <is>
          <t>REQ-00940</t>
        </is>
      </c>
      <c r="B273"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t>
        </is>
      </c>
      <c r="C273" t="inlineStr">
        <is>
          <t>C</t>
        </is>
      </c>
      <c r="D273" s="8" t="inlineStr">
        <is>
          <t>Yes</t>
        </is>
      </c>
      <c r="E273" t="inlineStr">
        <is>
          <t>Not Started</t>
        </is>
      </c>
      <c r="F273" t="inlineStr"/>
      <c r="G273" t="inlineStr"/>
      <c r="H273" t="inlineStr"/>
      <c r="I273" t="inlineStr"/>
    </row>
    <row r="274">
      <c r="A274" t="inlineStr">
        <is>
          <t>REQ-00941</t>
        </is>
      </c>
      <c r="B274" t="inlineStr">
        <is>
          <t>5.1.1 The Contractor shall provide 5/12 support as specified in Section 3.1.3. This support 
shall include: 
• One primary and one secondary technician on call via telecom 
• 2-hour response time from initial contact and acknowledgement</t>
        </is>
      </c>
      <c r="C274" t="inlineStr">
        <is>
          <t>C</t>
        </is>
      </c>
      <c r="D274" s="8" t="inlineStr">
        <is>
          <t>Yes</t>
        </is>
      </c>
      <c r="E274" t="inlineStr">
        <is>
          <t>Not Started</t>
        </is>
      </c>
      <c r="F274" t="inlineStr"/>
      <c r="G274" t="inlineStr"/>
      <c r="H274" t="inlineStr"/>
      <c r="I274" t="inlineStr"/>
    </row>
    <row r="275">
      <c r="A275" t="inlineStr">
        <is>
          <t>REQ-00942</t>
        </is>
      </c>
      <c r="B275" t="inlineStr">
        <is>
          <t>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t>
        </is>
      </c>
      <c r="C275" t="inlineStr">
        <is>
          <t>C</t>
        </is>
      </c>
      <c r="D275" s="8" t="inlineStr">
        <is>
          <t>Yes</t>
        </is>
      </c>
      <c r="E275" t="inlineStr">
        <is>
          <t>Not Started</t>
        </is>
      </c>
      <c r="F275" t="inlineStr"/>
      <c r="G275" t="inlineStr"/>
      <c r="H275" t="inlineStr"/>
      <c r="I275" t="inlineStr"/>
    </row>
    <row r="276">
      <c r="A276" t="inlineStr">
        <is>
          <t>REQ-00943</t>
        </is>
      </c>
      <c r="B276" t="inlineStr">
        <is>
          <t>5.2.1 The Contractor shall maintain the below Space C2 Infrastructure items located in VSFB 
Building 8401. All Section 5.2 actions are in regards to the below infrastructure items. 
• Firewalls 
• Switches 
• Linux and Windows VMs 
• Cloud/Blade server configurations 
DRAFT</t>
        </is>
      </c>
      <c r="C276" t="inlineStr">
        <is>
          <t>C</t>
        </is>
      </c>
      <c r="D276" s="8" t="inlineStr">
        <is>
          <t>Yes</t>
        </is>
      </c>
      <c r="E276" t="inlineStr">
        <is>
          <t>Not Started</t>
        </is>
      </c>
      <c r="F276" t="inlineStr"/>
      <c r="G276" t="inlineStr"/>
      <c r="H276" t="inlineStr"/>
      <c r="I276" t="inlineStr"/>
    </row>
    <row r="277">
      <c r="A277" t="inlineStr">
        <is>
          <t>REQ-00945</t>
        </is>
      </c>
      <c r="B277" t="inlineStr">
        <is>
          <t>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t>
        </is>
      </c>
      <c r="C277" t="inlineStr">
        <is>
          <t>C</t>
        </is>
      </c>
      <c r="D277" s="8" t="inlineStr">
        <is>
          <t>Yes</t>
        </is>
      </c>
      <c r="E277" t="inlineStr">
        <is>
          <t>Not Started</t>
        </is>
      </c>
      <c r="F277" t="inlineStr"/>
      <c r="G277" t="inlineStr"/>
      <c r="H277" t="inlineStr"/>
      <c r="I277" t="inlineStr"/>
    </row>
    <row r="278">
      <c r="A278" t="inlineStr">
        <is>
          <t>REQ-00946</t>
        </is>
      </c>
      <c r="B278" t="inlineStr">
        <is>
          <t>5.2.3 The Contractor shall train and provide on-prem support to the Space C2 Hardware as a 
Service (HaaS) team.</t>
        </is>
      </c>
      <c r="C278" t="inlineStr">
        <is>
          <t>C</t>
        </is>
      </c>
      <c r="D278" s="8" t="inlineStr">
        <is>
          <t>Yes</t>
        </is>
      </c>
      <c r="E278" t="inlineStr">
        <is>
          <t>Not Started</t>
        </is>
      </c>
      <c r="F278" t="inlineStr"/>
      <c r="G278" t="inlineStr"/>
      <c r="H278" t="inlineStr"/>
      <c r="I278" t="inlineStr"/>
    </row>
    <row r="279">
      <c r="A279" t="inlineStr">
        <is>
          <t>REQ-00947</t>
        </is>
      </c>
      <c r="B279" t="inlineStr">
        <is>
          <t>5.2.4 The Contractor shall deliver hands-on expertise and configuration as well as maintain 
admin and super user accounts for each.</t>
        </is>
      </c>
      <c r="C279" t="inlineStr">
        <is>
          <t>C</t>
        </is>
      </c>
      <c r="D279" s="8" t="inlineStr">
        <is>
          <t>Yes</t>
        </is>
      </c>
      <c r="E279" t="inlineStr">
        <is>
          <t>Not Started</t>
        </is>
      </c>
      <c r="F279" t="inlineStr"/>
      <c r="G279" t="inlineStr"/>
      <c r="H279" t="inlineStr"/>
      <c r="I279" t="inlineStr"/>
    </row>
    <row r="280">
      <c r="A280" t="inlineStr">
        <is>
          <t>REQ-00948</t>
        </is>
      </c>
      <c r="B280" t="inlineStr">
        <is>
          <t>5.2.5 The Contractor shall ensure each of the items are properly documented, configuration 
controlled through Space C2 CMB process, and up to date with security relevant 
software/firmware upgrades.</t>
        </is>
      </c>
      <c r="C280" t="inlineStr">
        <is>
          <t>C</t>
        </is>
      </c>
      <c r="D280" s="8" t="inlineStr">
        <is>
          <t>Yes</t>
        </is>
      </c>
      <c r="E280" t="inlineStr">
        <is>
          <t>Not Started</t>
        </is>
      </c>
      <c r="F280" t="inlineStr"/>
      <c r="G280" t="inlineStr"/>
      <c r="H280" t="inlineStr"/>
      <c r="I280" t="inlineStr"/>
    </row>
    <row r="281">
      <c r="A281" t="inlineStr">
        <is>
          <t>REQ-00949</t>
        </is>
      </c>
      <c r="B281" t="inlineStr">
        <is>
          <t>5.2.6 The Contractor shall conduct and support system level troubleshooting and fault 
isolation.</t>
        </is>
      </c>
      <c r="C281" t="inlineStr">
        <is>
          <t>C</t>
        </is>
      </c>
      <c r="D281" s="8" t="inlineStr">
        <is>
          <t>Yes</t>
        </is>
      </c>
      <c r="E281" t="inlineStr">
        <is>
          <t>Not Started</t>
        </is>
      </c>
      <c r="F281" t="inlineStr"/>
      <c r="G281" t="inlineStr"/>
      <c r="H281" t="inlineStr"/>
      <c r="I281" t="inlineStr"/>
    </row>
    <row r="282">
      <c r="A282" t="inlineStr">
        <is>
          <t>REQ-00950</t>
        </is>
      </c>
      <c r="B282" t="inlineStr">
        <is>
          <t>5.2.7 The Contractor shall maintain an operational relevant spare posture for on-prem 
infrastructure.</t>
        </is>
      </c>
      <c r="C282" t="inlineStr">
        <is>
          <t>C</t>
        </is>
      </c>
      <c r="D282" s="8" t="inlineStr">
        <is>
          <t>Yes</t>
        </is>
      </c>
      <c r="E282" t="inlineStr">
        <is>
          <t>Not Started</t>
        </is>
      </c>
      <c r="F282" t="inlineStr"/>
      <c r="G282" t="inlineStr"/>
      <c r="H282" t="inlineStr"/>
      <c r="I282" t="inlineStr"/>
    </row>
    <row r="283">
      <c r="A283" t="inlineStr">
        <is>
          <t>REQ-00951</t>
        </is>
      </c>
      <c r="B283" t="inlineStr">
        <is>
          <t>5.2.8 The Contractor shall manage software licenses and warranties required to run and 
support all on-prem infrastructure. This includes managing license and certificate 
expirations, ensuring that expiration dates are not hit.</t>
        </is>
      </c>
      <c r="C283" t="inlineStr">
        <is>
          <t>C</t>
        </is>
      </c>
      <c r="D283" s="8" t="inlineStr">
        <is>
          <t>Yes</t>
        </is>
      </c>
      <c r="E283" t="inlineStr">
        <is>
          <t>Not Started</t>
        </is>
      </c>
      <c r="F283" t="inlineStr"/>
      <c r="G283" t="inlineStr"/>
      <c r="H283" t="inlineStr"/>
      <c r="I283" t="inlineStr"/>
    </row>
    <row r="284">
      <c r="A284" t="inlineStr">
        <is>
          <t>REQ-00952</t>
        </is>
      </c>
      <c r="B284" t="inlineStr">
        <is>
          <t>5.2.9 The Contractor shall coordinate with Base IT, Infrastructure Teams, the SPO, and other 
relevant organizations for connections and approvals for changes.</t>
        </is>
      </c>
      <c r="C284" t="inlineStr">
        <is>
          <t>C</t>
        </is>
      </c>
      <c r="D284" s="8" t="inlineStr">
        <is>
          <t>Yes</t>
        </is>
      </c>
      <c r="E284" t="inlineStr">
        <is>
          <t>Not Started</t>
        </is>
      </c>
      <c r="F284" t="inlineStr"/>
      <c r="G284" t="inlineStr"/>
      <c r="H284" t="inlineStr"/>
      <c r="I284" t="inlineStr"/>
    </row>
    <row r="285">
      <c r="A285" t="inlineStr">
        <is>
          <t>REQ-00953</t>
        </is>
      </c>
      <c r="B285" t="inlineStr">
        <is>
          <t>5.2.10 The Contractor shall participate in local area and Space C2 change boards when they 
impact or have the potential to impact Space C2 efforts. 
DRAFT</t>
        </is>
      </c>
      <c r="C285" t="inlineStr">
        <is>
          <t>C</t>
        </is>
      </c>
      <c r="D285" s="8" t="inlineStr">
        <is>
          <t>Yes</t>
        </is>
      </c>
      <c r="E285" t="inlineStr">
        <is>
          <t>Not Started</t>
        </is>
      </c>
      <c r="F285" t="inlineStr"/>
      <c r="G285" t="inlineStr"/>
      <c r="H285" t="inlineStr"/>
      <c r="I285" t="inlineStr"/>
    </row>
    <row r="286">
      <c r="A286" t="inlineStr">
        <is>
          <t>REQ-00954</t>
        </is>
      </c>
      <c r="B286" t="inlineStr">
        <is>
          <t>5.2.11 The Contractor shall coordinate and support the execution of various cybersecurity 
analyses to include both hands-on vulnerability tests as well as passive cyber analyses.</t>
        </is>
      </c>
      <c r="C286" t="inlineStr">
        <is>
          <t>C</t>
        </is>
      </c>
      <c r="D286" s="8" t="inlineStr">
        <is>
          <t>Yes</t>
        </is>
      </c>
      <c r="E286" t="inlineStr">
        <is>
          <t>Not Started</t>
        </is>
      </c>
      <c r="F286" t="inlineStr"/>
      <c r="G286" t="inlineStr"/>
      <c r="H286" t="inlineStr"/>
      <c r="I286" t="inlineStr"/>
    </row>
    <row r="287">
      <c r="A287" t="inlineStr">
        <is>
          <t>REQ-00955</t>
        </is>
      </c>
      <c r="B287" t="inlineStr">
        <is>
          <t>5.2.12 The Contractor shall maintain appropriate on-prem expertise to complete all urgent and 
non-urgent tasking to include on-boarding and training new members of the team.</t>
        </is>
      </c>
      <c r="C287" t="inlineStr">
        <is>
          <t>C</t>
        </is>
      </c>
      <c r="D287" s="8" t="inlineStr">
        <is>
          <t>Yes</t>
        </is>
      </c>
      <c r="E287" t="inlineStr">
        <is>
          <t>Not Started</t>
        </is>
      </c>
      <c r="F287" t="inlineStr"/>
      <c r="G287" t="inlineStr"/>
      <c r="H287" t="inlineStr"/>
      <c r="I287" t="inlineStr"/>
    </row>
    <row r="288">
      <c r="A288" t="inlineStr">
        <is>
          <t>REQ-00956</t>
        </is>
      </c>
      <c r="B288" t="inlineStr">
        <is>
          <t>5.2.13 The Contractor shall work with the SPO and HaaS teams to determine and prioritize 
tasking.</t>
        </is>
      </c>
      <c r="C288" t="inlineStr">
        <is>
          <t>C</t>
        </is>
      </c>
      <c r="D288" s="8" t="inlineStr">
        <is>
          <t>Yes</t>
        </is>
      </c>
      <c r="E288" t="inlineStr">
        <is>
          <t>Not Started</t>
        </is>
      </c>
      <c r="F288" t="inlineStr"/>
      <c r="G288" t="inlineStr"/>
      <c r="H288" t="inlineStr"/>
      <c r="I288" t="inlineStr"/>
    </row>
    <row r="289">
      <c r="A289" t="inlineStr">
        <is>
          <t>REQ-00957</t>
        </is>
      </c>
      <c r="B289" t="inlineStr">
        <is>
          <t>5.2.14 The Contractor shall inform the SPO and HaaS teams in a timely manner for high-risk 
tasks or those to which the on-prem team does not have the full scope or skills required 
to complete the task safely and efficiently.</t>
        </is>
      </c>
      <c r="C289" t="inlineStr">
        <is>
          <t>C</t>
        </is>
      </c>
      <c r="D289" s="8" t="inlineStr">
        <is>
          <t>Yes</t>
        </is>
      </c>
      <c r="E289" t="inlineStr">
        <is>
          <t>Not Started</t>
        </is>
      </c>
      <c r="F289" t="inlineStr"/>
      <c r="G289" t="inlineStr"/>
      <c r="H289" t="inlineStr"/>
      <c r="I289" t="inlineStr"/>
    </row>
    <row r="290">
      <c r="A290" t="inlineStr">
        <is>
          <t>REQ-00958</t>
        </is>
      </c>
      <c r="B290" t="inlineStr">
        <is>
          <t>5.3.1 The Contractor shall serve as an extension of Space C2 teams, acting as a standalone 
service desk to users during regular hours.</t>
        </is>
      </c>
      <c r="C290" t="inlineStr">
        <is>
          <t>C</t>
        </is>
      </c>
      <c r="D290" s="8" t="inlineStr">
        <is>
          <t>Yes</t>
        </is>
      </c>
      <c r="E290" t="inlineStr">
        <is>
          <t>Not Started</t>
        </is>
      </c>
      <c r="F290" t="inlineStr"/>
      <c r="G290" t="inlineStr"/>
      <c r="H290" t="inlineStr"/>
      <c r="I290" t="inlineStr"/>
    </row>
    <row r="291">
      <c r="A291" t="inlineStr">
        <is>
          <t>REQ-00959</t>
        </is>
      </c>
      <c r="B291" t="inlineStr">
        <is>
          <t>5.3.2 The Contractor shall assist with access and visit requests to the facility with Government 
coordination and approval.</t>
        </is>
      </c>
      <c r="C291" t="inlineStr">
        <is>
          <t>C</t>
        </is>
      </c>
      <c r="D291" s="8" t="inlineStr">
        <is>
          <t>Yes</t>
        </is>
      </c>
      <c r="E291" t="inlineStr">
        <is>
          <t>Not Started</t>
        </is>
      </c>
      <c r="F291" t="inlineStr"/>
      <c r="G291" t="inlineStr"/>
      <c r="H291" t="inlineStr"/>
      <c r="I291" t="inlineStr"/>
    </row>
    <row r="292">
      <c r="A292" t="inlineStr">
        <is>
          <t>REQ-00960</t>
        </is>
      </c>
      <c r="B292" t="inlineStr">
        <is>
          <t>5.3.3 The Contractor shall perform file transfers from low to high side to support tests and/or 
operations with Government approval.</t>
        </is>
      </c>
      <c r="C292" t="inlineStr">
        <is>
          <t>C</t>
        </is>
      </c>
      <c r="D292" s="8" t="inlineStr">
        <is>
          <t>Yes</t>
        </is>
      </c>
      <c r="E292" t="inlineStr">
        <is>
          <t>Not Started</t>
        </is>
      </c>
      <c r="F292" t="inlineStr"/>
      <c r="G292" t="inlineStr"/>
      <c r="H292" t="inlineStr"/>
      <c r="I292" t="inlineStr"/>
    </row>
    <row r="293">
      <c r="A293" t="inlineStr">
        <is>
          <t>REQ-00961</t>
        </is>
      </c>
      <c r="B293" t="inlineStr">
        <is>
          <t>5.3.4 The Contractor shall establish and maintain user accounts and role-based access controls 
(RBAC).</t>
        </is>
      </c>
      <c r="C293" t="inlineStr">
        <is>
          <t>C</t>
        </is>
      </c>
      <c r="D293" s="8" t="inlineStr">
        <is>
          <t>Yes</t>
        </is>
      </c>
      <c r="E293" t="inlineStr">
        <is>
          <t>Not Started</t>
        </is>
      </c>
      <c r="F293" t="inlineStr"/>
      <c r="G293" t="inlineStr"/>
      <c r="H293" t="inlineStr"/>
      <c r="I293" t="inlineStr"/>
    </row>
    <row r="294">
      <c r="A294" t="inlineStr">
        <is>
          <t>REQ-00962</t>
        </is>
      </c>
      <c r="B294" t="inlineStr">
        <is>
          <t>5.3.5 The Contractor shall assign, renew, and change account passwords (also discussed in 
Section 4.2). 
6 Placeholder – any MOSSAIC Scope</t>
        </is>
      </c>
      <c r="C294" t="inlineStr">
        <is>
          <t>C</t>
        </is>
      </c>
      <c r="D294" s="8" t="inlineStr">
        <is>
          <t>Yes</t>
        </is>
      </c>
      <c r="E294" t="inlineStr">
        <is>
          <t>Not Started</t>
        </is>
      </c>
      <c r="F294" t="inlineStr"/>
      <c r="G294" t="inlineStr"/>
      <c r="H294" t="inlineStr"/>
      <c r="I294" t="inlineStr"/>
    </row>
    <row r="295">
      <c r="A295" t="inlineStr">
        <is>
          <t>REQ-00963</t>
        </is>
      </c>
      <c r="B295" t="inlineStr">
        <is>
          <t>7.1.1 The Contractor shall develop and ensure the successful implementation of a transition-in 
plan and identify dependencies which will require government acceptance.</t>
        </is>
      </c>
      <c r="C295" t="inlineStr">
        <is>
          <t>C</t>
        </is>
      </c>
      <c r="D295" s="8" t="inlineStr">
        <is>
          <t>Yes</t>
        </is>
      </c>
      <c r="E295" t="inlineStr">
        <is>
          <t>Not Started</t>
        </is>
      </c>
      <c r="F295" t="inlineStr"/>
      <c r="G295" t="inlineStr"/>
      <c r="H295" t="inlineStr"/>
      <c r="I295" t="inlineStr"/>
    </row>
    <row r="296">
      <c r="A296" t="inlineStr">
        <is>
          <t>REQ-00964</t>
        </is>
      </c>
      <c r="B296" t="inlineStr">
        <is>
          <t>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C296" t="inlineStr">
        <is>
          <t>C</t>
        </is>
      </c>
      <c r="D296" s="8" t="inlineStr">
        <is>
          <t>Yes</t>
        </is>
      </c>
      <c r="E296" t="inlineStr">
        <is>
          <t>Not Started</t>
        </is>
      </c>
      <c r="F296" t="inlineStr"/>
      <c r="G296" t="inlineStr"/>
      <c r="H296" t="inlineStr"/>
      <c r="I296" t="inlineStr"/>
    </row>
    <row r="297">
      <c r="A297" t="inlineStr">
        <is>
          <t>REQ-00965</t>
        </is>
      </c>
      <c r="B297" t="inlineStr">
        <is>
          <t>7.1.3 The on-ramp plan shall include how the Contractor shall successfully integrate services 
and products and their respective environments. This includes, but is not limited to 
SDANet, SPARTAN, C2Ops on-prem, and the Space C2 software (i.e., ATLAS, Iris, 
Hyperion clusters).</t>
        </is>
      </c>
      <c r="C297" t="inlineStr">
        <is>
          <t>C</t>
        </is>
      </c>
      <c r="D297" s="8" t="inlineStr">
        <is>
          <t>Yes</t>
        </is>
      </c>
      <c r="E297" t="inlineStr">
        <is>
          <t>Not Started</t>
        </is>
      </c>
      <c r="F297" t="inlineStr"/>
      <c r="G297" t="inlineStr"/>
      <c r="H297" t="inlineStr"/>
      <c r="I297" t="inlineStr"/>
    </row>
    <row r="298">
      <c r="A298" t="inlineStr">
        <is>
          <t>REQ-00966</t>
        </is>
      </c>
      <c r="B298" t="inlineStr">
        <is>
          <t>7.1.4 The on-ramp plan shall include the staffing required over time to complete the on-ramp 
and the Contractor’s plan for obtaining the associated staffing profile.</t>
        </is>
      </c>
      <c r="C298" t="inlineStr">
        <is>
          <t>C</t>
        </is>
      </c>
      <c r="D298" s="8" t="inlineStr">
        <is>
          <t>Yes</t>
        </is>
      </c>
      <c r="E298" t="inlineStr">
        <is>
          <t>Not Started</t>
        </is>
      </c>
      <c r="F298" t="inlineStr"/>
      <c r="G298" t="inlineStr"/>
      <c r="H298" t="inlineStr"/>
      <c r="I298" t="inlineStr"/>
    </row>
    <row r="299">
      <c r="A299" t="inlineStr">
        <is>
          <t>REQ-00967</t>
        </is>
      </c>
      <c r="B299" t="inlineStr">
        <is>
          <t>7.1.5 The Contractor shall develop and maintain a checklist and schedule of actions that must 
be accomplished by the end of the on-ramp period, not to exceed a 60-day duration.</t>
        </is>
      </c>
      <c r="C299" t="inlineStr">
        <is>
          <t>C</t>
        </is>
      </c>
      <c r="D299" s="8" t="inlineStr">
        <is>
          <t>Yes</t>
        </is>
      </c>
      <c r="E299" t="inlineStr">
        <is>
          <t>Not Started</t>
        </is>
      </c>
      <c r="F299" t="inlineStr"/>
      <c r="G299" t="inlineStr"/>
      <c r="H299" t="inlineStr"/>
      <c r="I299" t="inlineStr"/>
    </row>
    <row r="300">
      <c r="A300" t="inlineStr">
        <is>
          <t>REQ-00968</t>
        </is>
      </c>
      <c r="B300" t="inlineStr">
        <is>
          <t>7.1.6 The Contractor shall identify within the first 30 days of the on-ramp period all the 
government property, information, and/or data that the Contractor plans to transition for 
use on this effort.</t>
        </is>
      </c>
      <c r="C300" t="inlineStr">
        <is>
          <t>C</t>
        </is>
      </c>
      <c r="D300" s="8" t="inlineStr">
        <is>
          <t>Yes</t>
        </is>
      </c>
      <c r="E300" t="inlineStr">
        <is>
          <t>Not Started</t>
        </is>
      </c>
      <c r="F300" t="inlineStr"/>
      <c r="G300" t="inlineStr"/>
      <c r="H300" t="inlineStr"/>
      <c r="I300" t="inlineStr"/>
    </row>
    <row r="301">
      <c r="A301" t="inlineStr">
        <is>
          <t>REQ-00969</t>
        </is>
      </c>
      <c r="B301" t="inlineStr">
        <is>
          <t>7.1.7 The Contractor shall manage and execute the on-ramp plan to support transition of 
sustainment responsibilities, ensuring mission requirements are met without interruption.</t>
        </is>
      </c>
      <c r="C301" t="inlineStr">
        <is>
          <t>C</t>
        </is>
      </c>
      <c r="D301" s="8" t="inlineStr">
        <is>
          <t>Yes</t>
        </is>
      </c>
      <c r="E301" t="inlineStr">
        <is>
          <t>Not Started</t>
        </is>
      </c>
      <c r="F301" t="inlineStr"/>
      <c r="G301" t="inlineStr"/>
      <c r="H301" t="inlineStr"/>
      <c r="I301" t="inlineStr"/>
    </row>
    <row r="302">
      <c r="A302" t="inlineStr">
        <is>
          <t>REQ-00970</t>
        </is>
      </c>
      <c r="B302" t="inlineStr">
        <is>
          <t>7.1.8 The Contractor shall assume management responsibility for all government property, 
information, and/or data identified and approved by the SPO by the end of the on-ramp 
period.</t>
        </is>
      </c>
      <c r="C302" t="inlineStr">
        <is>
          <t>C</t>
        </is>
      </c>
      <c r="D302" s="8" t="inlineStr">
        <is>
          <t>Yes</t>
        </is>
      </c>
      <c r="E302" t="inlineStr">
        <is>
          <t>Not Started</t>
        </is>
      </c>
      <c r="F302" t="inlineStr"/>
      <c r="G302" t="inlineStr"/>
      <c r="H302" t="inlineStr"/>
      <c r="I302" t="inlineStr"/>
    </row>
    <row r="303">
      <c r="A303" t="inlineStr">
        <is>
          <t>REQ-00971</t>
        </is>
      </c>
      <c r="B303" t="inlineStr">
        <is>
          <t>7.1.9 The Contractor shall perform an accounting inventory during the on-ramp period to 
transfer equipment accountability.</t>
        </is>
      </c>
      <c r="C303" t="inlineStr">
        <is>
          <t>C</t>
        </is>
      </c>
      <c r="D303" s="8" t="inlineStr">
        <is>
          <t>Yes</t>
        </is>
      </c>
      <c r="E303" t="inlineStr">
        <is>
          <t>Not Started</t>
        </is>
      </c>
      <c r="F303" t="inlineStr"/>
      <c r="G303" t="inlineStr"/>
      <c r="H303" t="inlineStr"/>
      <c r="I303" t="inlineStr"/>
    </row>
    <row r="304">
      <c r="A304" t="inlineStr">
        <is>
          <t>REQ-00972</t>
        </is>
      </c>
      <c r="B304" t="inlineStr">
        <is>
          <t>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t>
        </is>
      </c>
      <c r="C304" t="inlineStr">
        <is>
          <t>C</t>
        </is>
      </c>
      <c r="D304" s="8" t="inlineStr">
        <is>
          <t>Yes</t>
        </is>
      </c>
      <c r="E304" t="inlineStr">
        <is>
          <t>Not Started</t>
        </is>
      </c>
      <c r="F304" t="inlineStr"/>
      <c r="G304" t="inlineStr"/>
      <c r="H304" t="inlineStr"/>
      <c r="I304" t="inlineStr"/>
    </row>
    <row r="305">
      <c r="A305" t="inlineStr">
        <is>
          <t>REQ-00973</t>
        </is>
      </c>
      <c r="B305" t="inlineStr">
        <is>
          <t>7.1.11 The Contractor shall conduct an initial kick-off meeting and bi-weekly management 
reviews, during the on-ramp period, to provide status of the transition tasks, risks, and 
issues. The Contractor shall conduct more frequent reviews if needed to ensure 
successful completion of all transit...</t>
        </is>
      </c>
      <c r="C305" t="inlineStr">
        <is>
          <t>C</t>
        </is>
      </c>
      <c r="D305" s="8" t="inlineStr">
        <is>
          <t>Yes</t>
        </is>
      </c>
      <c r="E305" t="inlineStr">
        <is>
          <t>Not Started</t>
        </is>
      </c>
      <c r="F305" t="inlineStr"/>
      <c r="G305" t="inlineStr"/>
      <c r="H305" t="inlineStr"/>
      <c r="I305" t="inlineStr"/>
    </row>
    <row r="306">
      <c r="A306" t="inlineStr">
        <is>
          <t>REQ-00974</t>
        </is>
      </c>
      <c r="B306" t="inlineStr">
        <is>
          <t>7.2.1 The Contractor shall support a transition to a new contract(s) and/or new contractor(s) 
upon period of performance completion. Transition support shall begin up to 6-months 
prior to contract end or as specified by the SPO.</t>
        </is>
      </c>
      <c r="C306" t="inlineStr">
        <is>
          <t>C</t>
        </is>
      </c>
      <c r="D306" s="8" t="inlineStr">
        <is>
          <t>Yes</t>
        </is>
      </c>
      <c r="E306" t="inlineStr">
        <is>
          <t>Not Started</t>
        </is>
      </c>
      <c r="F306" t="inlineStr"/>
      <c r="G306" t="inlineStr"/>
      <c r="H306" t="inlineStr"/>
      <c r="I306" t="inlineStr"/>
    </row>
    <row r="307">
      <c r="A307" t="inlineStr">
        <is>
          <t>REQ-00975</t>
        </is>
      </c>
      <c r="B307" t="inlineStr">
        <is>
          <t>7.2.2 The Contractor shall ensure the successful implementation of a transition plan and 
identify dependencies which will require government acceptance.</t>
        </is>
      </c>
      <c r="C307" t="inlineStr">
        <is>
          <t>C</t>
        </is>
      </c>
      <c r="D307" s="8" t="inlineStr">
        <is>
          <t>Yes</t>
        </is>
      </c>
      <c r="E307" t="inlineStr">
        <is>
          <t>Not Started</t>
        </is>
      </c>
      <c r="F307" t="inlineStr"/>
      <c r="G307" t="inlineStr"/>
      <c r="H307" t="inlineStr"/>
      <c r="I307" t="inlineStr"/>
    </row>
    <row r="308">
      <c r="A308" t="inlineStr">
        <is>
          <t>REQ-00976</t>
        </is>
      </c>
      <c r="B308" t="inlineStr">
        <is>
          <t>7.2.3 The transition plan shall ensure the successful transfer of responsibility for the total 
contract scope, or alternative sub-scope as specified by the SPO. Transfer of 
DRAFT</t>
        </is>
      </c>
      <c r="C308" t="inlineStr">
        <is>
          <t>C</t>
        </is>
      </c>
      <c r="D308" s="8" t="inlineStr">
        <is>
          <t>Yes</t>
        </is>
      </c>
      <c r="E308" t="inlineStr">
        <is>
          <t>Not Started</t>
        </is>
      </c>
      <c r="F308" t="inlineStr"/>
      <c r="G308" t="inlineStr"/>
      <c r="H308" t="inlineStr"/>
      <c r="I308" t="inlineStr"/>
    </row>
    <row r="309">
      <c r="A309" t="inlineStr">
        <is>
          <t>REQ-00978</t>
        </is>
      </c>
      <c r="B309" t="inlineStr">
        <is>
          <t>7.2.4 The Contractor shall manage and execute the transition, ensuring mission requirements 
are met without interruption. 
DRAFT</t>
        </is>
      </c>
      <c r="C309" t="inlineStr">
        <is>
          <t>C</t>
        </is>
      </c>
      <c r="D309" s="8" t="inlineStr">
        <is>
          <t>Yes</t>
        </is>
      </c>
      <c r="E309" t="inlineStr">
        <is>
          <t>Not Started</t>
        </is>
      </c>
      <c r="F309" t="inlineStr"/>
      <c r="G309" t="inlineStr"/>
      <c r="H309" t="inlineStr"/>
      <c r="I30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53"/>
  <sheetViews>
    <sheetView workbookViewId="0">
      <selection activeCell="A1" sqref="A1"/>
    </sheetView>
  </sheetViews>
  <sheetFormatPr baseColWidth="8" defaultRowHeight="15"/>
  <cols>
    <col width="15" customWidth="1" min="1" max="1"/>
    <col width="60" customWidth="1" min="2" max="2"/>
    <col width="18" customWidth="1" min="3" max="3"/>
    <col width="10" customWidth="1" min="4" max="4"/>
    <col width="15" customWidth="1" min="5" max="5"/>
  </cols>
  <sheetData>
    <row r="1">
      <c r="A1" s="3" t="inlineStr">
        <is>
          <t>Section A (10 requirements)</t>
        </is>
      </c>
    </row>
    <row r="2">
      <c r="A2" s="4" t="inlineStr">
        <is>
          <t>ID</t>
        </is>
      </c>
      <c r="B2" s="4" t="inlineStr">
        <is>
          <t>Requirement</t>
        </is>
      </c>
      <c r="C2" s="4" t="inlineStr">
        <is>
          <t>Mandatory?</t>
        </is>
      </c>
      <c r="D2" s="4" t="inlineStr">
        <is>
          <t>Priority</t>
        </is>
      </c>
      <c r="E2" s="4" t="inlineStr">
        <is>
          <t>Status</t>
        </is>
      </c>
    </row>
    <row r="3">
      <c r="A3" t="inlineStr">
        <is>
          <t>REQ-00307</t>
        </is>
      </c>
      <c r="B3" t="inlineStr">
        <is>
          <t>(a) . As used in this clause-        Definitions   
"Automatic identification device" means a device, such as a reader or interrogator, used to               
retrieve data encoded on machine-reada...</t>
        </is>
      </c>
      <c r="C3" t="inlineStr">
        <is>
          <t>No</t>
        </is>
      </c>
      <c r="D3" t="inlineStr">
        <is>
          <t>Medium</t>
        </is>
      </c>
      <c r="E3" t="inlineStr">
        <is>
          <t>Not Started</t>
        </is>
      </c>
    </row>
    <row r="4">
      <c r="A4" t="inlineStr">
        <is>
          <t>REQ-00355</t>
        </is>
      </c>
      <c r="B4" t="inlineStr">
        <is>
          <t>(a)  .  After initial submission of offers, if the Contracting Cost or pricing data requirements
Officer notifies the Offeror that only one offer was received, the Offeror agrees to-</t>
        </is>
      </c>
      <c r="C4" t="inlineStr">
        <is>
          <t>No</t>
        </is>
      </c>
      <c r="D4" t="inlineStr">
        <is>
          <t>Medium</t>
        </is>
      </c>
      <c r="E4" t="inlineStr">
        <is>
          <t>Not Started</t>
        </is>
      </c>
    </row>
    <row r="5">
      <c r="A5" t="inlineStr">
        <is>
          <t>REQ-00365</t>
        </is>
      </c>
      <c r="B5" t="inlineStr">
        <is>
          <t>(a) . As used in this provision-        Definitions   
DRAFT</t>
        </is>
      </c>
      <c r="C5" t="inlineStr">
        <is>
          <t>No</t>
        </is>
      </c>
      <c r="D5" t="inlineStr">
        <is>
          <t>Medium</t>
        </is>
      </c>
      <c r="E5" t="inlineStr">
        <is>
          <t>Not Started</t>
        </is>
      </c>
    </row>
    <row r="6">
      <c r="A6" t="inlineStr">
        <is>
          <t>REQ-00394</t>
        </is>
      </c>
      <c r="B6" t="inlineStr">
        <is>
          <t>(a) As used in this clause-        Definitions.  
"Department of Defense Activity Address Code (DoDAAC)" is a six position code that uniquely       
identifies a unit, activity, or organization.
"D...</t>
        </is>
      </c>
      <c r="C6" t="inlineStr">
        <is>
          <t>No</t>
        </is>
      </c>
      <c r="D6" t="inlineStr">
        <is>
          <t>Medium</t>
        </is>
      </c>
      <c r="E6" t="inlineStr">
        <is>
          <t>Not Started</t>
        </is>
      </c>
    </row>
    <row r="7">
      <c r="A7" t="inlineStr">
        <is>
          <t>REQ-00415</t>
        </is>
      </c>
      <c r="B7" t="inlineStr">
        <is>
          <t>(a) "Special termination costs," as used in this clause, means only costs in the         Definition.  
following categories as defined in Part 31 of the Federal Acquisition Regulation (FAR)-</t>
        </is>
      </c>
      <c r="C7" t="inlineStr">
        <is>
          <t>No</t>
        </is>
      </c>
      <c r="D7" t="inlineStr">
        <is>
          <t>Medium</t>
        </is>
      </c>
      <c r="E7" t="inlineStr">
        <is>
          <t>Not Started</t>
        </is>
      </c>
    </row>
    <row r="8">
      <c r="A8" t="inlineStr">
        <is>
          <t>REQ-00426</t>
        </is>
      </c>
      <c r="B8" t="inlineStr">
        <is>
          <t>(a)  The Government will award a contract resulting from this solicitation to the responsible offeror 
whose offer conforming to the solicitation will be most advantageous to the Government, price ...</t>
        </is>
      </c>
      <c r="C8" t="inlineStr">
        <is>
          <t>No</t>
        </is>
      </c>
      <c r="D8" t="inlineStr">
        <is>
          <t>High</t>
        </is>
      </c>
      <c r="E8" t="inlineStr">
        <is>
          <t>Not Started</t>
        </is>
      </c>
    </row>
    <row r="9">
      <c r="A9" t="inlineStr">
        <is>
          <t>REQ-00431</t>
        </is>
      </c>
      <c r="B9" t="inlineStr">
        <is>
          <t>(a) 
 . As used in this provision-Definitions
Covered telecommunications equipment or services has the meaning provided in the clause 52.204-25, 
Prohibition on Contracting for Certain Telecommunic...</t>
        </is>
      </c>
      <c r="C9" t="inlineStr">
        <is>
          <t>No</t>
        </is>
      </c>
      <c r="D9" t="inlineStr">
        <is>
          <t>Medium</t>
        </is>
      </c>
      <c r="E9" t="inlineStr">
        <is>
          <t>Not Started</t>
        </is>
      </c>
    </row>
    <row r="10">
      <c r="A10" t="inlineStr">
        <is>
          <t>REQ-00575</t>
        </is>
      </c>
      <c r="B10" t="inlineStr">
        <is>
          <t>(a)  (1) The Government has the right to inspect and test all materials Inspection/Acceptance.
furnished and services performed under this contract, to the extent practicable at all places and time...</t>
        </is>
      </c>
      <c r="C10" t="inlineStr">
        <is>
          <t>No</t>
        </is>
      </c>
      <c r="D10" t="inlineStr">
        <is>
          <t>Low</t>
        </is>
      </c>
      <c r="E10" t="inlineStr">
        <is>
          <t>Not Started</t>
        </is>
      </c>
    </row>
    <row r="11">
      <c r="A11" t="inlineStr">
        <is>
          <t>REQ-00618</t>
        </is>
      </c>
      <c r="B11" t="inlineStr">
        <is>
          <t>(a)  The Contractor shall comply with the following Federal Acquisition Regulation (FAR) clauses, 
which are incorporated in this contract by reference, to implement provisions of law or Executive ...</t>
        </is>
      </c>
      <c r="C11" t="inlineStr">
        <is>
          <t>Yes</t>
        </is>
      </c>
      <c r="D11" t="inlineStr">
        <is>
          <t>High</t>
        </is>
      </c>
      <c r="E11" t="inlineStr">
        <is>
          <t>Not Started</t>
        </is>
      </c>
    </row>
    <row r="12">
      <c r="A12" t="inlineStr">
        <is>
          <t>REQ-00725</t>
        </is>
      </c>
      <c r="B12" t="inlineStr">
        <is>
          <t>(a) The         [insert the Contracting Officer or the name of the designated office, in accordance with 
 shall, on or before the sixtieth (60th) day next following the end of each yearly* agency ...</t>
        </is>
      </c>
      <c r="C12" t="inlineStr">
        <is>
          <t>Yes</t>
        </is>
      </c>
      <c r="D12" t="inlineStr">
        <is>
          <t>High</t>
        </is>
      </c>
      <c r="E12" t="inlineStr">
        <is>
          <t>Not Started</t>
        </is>
      </c>
    </row>
    <row r="14">
      <c r="A14" s="3" t="inlineStr">
        <is>
          <t>Section B (8 requirements)</t>
        </is>
      </c>
    </row>
    <row r="15">
      <c r="A15" s="4" t="inlineStr">
        <is>
          <t>ID</t>
        </is>
      </c>
      <c r="B15" s="4" t="inlineStr">
        <is>
          <t>Requirement</t>
        </is>
      </c>
      <c r="C15" s="4" t="inlineStr">
        <is>
          <t>Mandatory?</t>
        </is>
      </c>
      <c r="D15" s="4" t="inlineStr">
        <is>
          <t>Priority</t>
        </is>
      </c>
      <c r="E15" s="4" t="inlineStr">
        <is>
          <t>Status</t>
        </is>
      </c>
    </row>
    <row r="16">
      <c r="A16" t="inlineStr">
        <is>
          <t>REQ-00315</t>
        </is>
      </c>
      <c r="B16" t="inlineStr">
        <is>
          <t>(b) The Contractor shall deliver all items under a contract line, subline, or exhibit line item.</t>
        </is>
      </c>
      <c r="C16" t="inlineStr">
        <is>
          <t>Yes</t>
        </is>
      </c>
      <c r="D16" t="inlineStr">
        <is>
          <t>High</t>
        </is>
      </c>
      <c r="E16" t="inlineStr">
        <is>
          <t>Not Started</t>
        </is>
      </c>
    </row>
    <row r="17">
      <c r="A17" t="inlineStr">
        <is>
          <t>REQ-00358</t>
        </is>
      </c>
      <c r="B17" t="inlineStr">
        <is>
          <t>(b)  .  If the Offeror is the Canadian Commercial Corporation, Canadian Commercial Corporation
certified cost or pricing data are not required. If the Contracting Officer notifies the Canadian 
Com...</t>
        </is>
      </c>
      <c r="C17" t="inlineStr">
        <is>
          <t>Yes</t>
        </is>
      </c>
      <c r="D17" t="inlineStr">
        <is>
          <t>High</t>
        </is>
      </c>
      <c r="E17" t="inlineStr">
        <is>
          <t>Not Started</t>
        </is>
      </c>
    </row>
    <row r="18">
      <c r="A18" t="inlineStr">
        <is>
          <t>REQ-00368</t>
        </is>
      </c>
      <c r="B18" t="inlineStr">
        <is>
          <t>(b) .        
Exceptions from certified cost or pricing data</t>
        </is>
      </c>
      <c r="C18" t="inlineStr">
        <is>
          <t>No</t>
        </is>
      </c>
      <c r="D18" t="inlineStr">
        <is>
          <t>Medium</t>
        </is>
      </c>
      <c r="E18" t="inlineStr">
        <is>
          <t>Not Started</t>
        </is>
      </c>
    </row>
    <row r="19">
      <c r="A19" t="inlineStr">
        <is>
          <t>REQ-00395</t>
        </is>
      </c>
      <c r="B19" t="inlineStr">
        <is>
          <t>(b) The WAWF system provides the method to electronically process         Electronic invoicing.  
vendor payment requests and receiving reports, as authorized by Defense Federal Acquisition Regulat...</t>
        </is>
      </c>
      <c r="C19" t="inlineStr">
        <is>
          <t>No</t>
        </is>
      </c>
      <c r="D19" t="inlineStr">
        <is>
          <t>Medium</t>
        </is>
      </c>
      <c r="E19" t="inlineStr">
        <is>
          <t>Not Started</t>
        </is>
      </c>
    </row>
    <row r="20">
      <c r="A20" t="inlineStr">
        <is>
          <t>REQ-00421</t>
        </is>
      </c>
      <c r="B20" t="inlineStr">
        <is>
          <t>(b) Notwithstanding the Limitation of Cost/Limitation of Funds clause of this contract, the         
Contractor shall not include in its estimate of costs incurred or to be incurred, any amount for...</t>
        </is>
      </c>
      <c r="C20" t="inlineStr">
        <is>
          <t>Yes</t>
        </is>
      </c>
      <c r="D20" t="inlineStr">
        <is>
          <t>High</t>
        </is>
      </c>
      <c r="E20" t="inlineStr">
        <is>
          <t>Not Started</t>
        </is>
      </c>
    </row>
    <row r="21">
      <c r="A21" t="inlineStr">
        <is>
          <t>REQ-00427</t>
        </is>
      </c>
      <c r="B21" t="inlineStr">
        <is>
          <t>(b)  . The Government will evaluate offers for award purposes by adding the total price for all Options
options to the total price for the basic requirement. The Government may determine that an of...</t>
        </is>
      </c>
      <c r="C21" t="inlineStr">
        <is>
          <t>No</t>
        </is>
      </c>
      <c r="D21" t="inlineStr">
        <is>
          <t>High</t>
        </is>
      </c>
      <c r="E21" t="inlineStr">
        <is>
          <t>Not Started</t>
        </is>
      </c>
    </row>
    <row r="22">
      <c r="A22" t="inlineStr">
        <is>
          <t>REQ-00626</t>
        </is>
      </c>
      <c r="B22" t="inlineStr">
        <is>
          <t>(b)  The Contractor shall comply with the FAR clauses in this paragraph (b) that the Contracting 
Officer has indicated as being incorporated in this contract by reference to implement provisions o...</t>
        </is>
      </c>
      <c r="C22" t="inlineStr">
        <is>
          <t>Yes</t>
        </is>
      </c>
      <c r="D22" t="inlineStr">
        <is>
          <t>High</t>
        </is>
      </c>
      <c r="E22" t="inlineStr">
        <is>
          <t>Not Started</t>
        </is>
      </c>
    </row>
    <row r="23">
      <c r="A23" t="inlineStr">
        <is>
          <t>REQ-00726</t>
        </is>
      </c>
      <c r="B23" t="inlineStr">
        <is>
          <t>(b) Royalties which have accrued under this contract during the yearly* period ending  shall         ____
be paid to the Contractor (if appropriations therefor are available or become available) wi...</t>
        </is>
      </c>
      <c r="C23" t="inlineStr">
        <is>
          <t>Yes</t>
        </is>
      </c>
      <c r="D23" t="inlineStr">
        <is>
          <t>High</t>
        </is>
      </c>
      <c r="E23" t="inlineStr">
        <is>
          <t>Not Started</t>
        </is>
      </c>
    </row>
    <row r="25">
      <c r="A25" s="15" t="inlineStr">
        <is>
          <t>Section C (370 requirements)</t>
        </is>
      </c>
    </row>
    <row r="26">
      <c r="A26" s="4" t="inlineStr">
        <is>
          <t>ID</t>
        </is>
      </c>
      <c r="B26" s="4" t="inlineStr">
        <is>
          <t>Requirement</t>
        </is>
      </c>
      <c r="C26" s="4" t="inlineStr">
        <is>
          <t>Mandatory?</t>
        </is>
      </c>
      <c r="D26" s="4" t="inlineStr">
        <is>
          <t>Priority</t>
        </is>
      </c>
      <c r="E26" s="4" t="inlineStr">
        <is>
          <t>Status</t>
        </is>
      </c>
    </row>
    <row r="27">
      <c r="A27" t="inlineStr">
        <is>
          <t>REQ-00011</t>
        </is>
      </c>
      <c r="B27" t="inlineStr">
        <is>
          <t>3.4  Identification of corporate OCI-related policies and procedures (policies and 
procedures shall be attached to the OCI Plan).</t>
        </is>
      </c>
      <c r="C27" t="inlineStr">
        <is>
          <t>Yes</t>
        </is>
      </c>
      <c r="D27" t="inlineStr">
        <is>
          <t>High</t>
        </is>
      </c>
      <c r="E27" t="inlineStr">
        <is>
          <t>Not Started</t>
        </is>
      </c>
    </row>
    <row r="28">
      <c r="A28" t="inlineStr">
        <is>
          <t>REQ-00013</t>
        </is>
      </c>
      <c r="B28" t="inlineStr">
        <is>
          <t>3.6 Commitment to flow OCI Plan requirements down to all teammates and 
subcontractors.  Only those teammates and subcontractors who have committed to 
the Contractor’s OCI Plan in writing or provi...</t>
        </is>
      </c>
      <c r="C28" t="inlineStr">
        <is>
          <t>No</t>
        </is>
      </c>
      <c r="D28" t="inlineStr">
        <is>
          <t>High</t>
        </is>
      </c>
      <c r="E28" t="inlineStr">
        <is>
          <t>Not Started</t>
        </is>
      </c>
    </row>
    <row r="29">
      <c r="A29" t="inlineStr">
        <is>
          <t>REQ-00014</t>
        </is>
      </c>
      <c r="B29" t="inlineStr">
        <is>
          <t>3.7 Description of process for advance notification to Contracting Officer of addition, 
deletion, or changes to subcontractors and teammates. Notification shall include 
sufficient information for...</t>
        </is>
      </c>
      <c r="C29" t="inlineStr">
        <is>
          <t>Yes</t>
        </is>
      </c>
      <c r="D29" t="inlineStr">
        <is>
          <t>High</t>
        </is>
      </c>
      <c r="E29" t="inlineStr">
        <is>
          <t>Not Started</t>
        </is>
      </c>
    </row>
    <row r="30">
      <c r="A30" t="inlineStr">
        <is>
          <t>REQ-00015</t>
        </is>
      </c>
      <c r="B30" t="inlineStr">
        <is>
          <t>3.8 Description of process for timely notification to Contracting Officer of newly 
identified OCI situations, OCI Plan violations, or appearance of violation.  
Notification shall include a descri...</t>
        </is>
      </c>
      <c r="C30" t="inlineStr">
        <is>
          <t>Yes</t>
        </is>
      </c>
      <c r="D30" t="inlineStr">
        <is>
          <t>High</t>
        </is>
      </c>
      <c r="E30" t="inlineStr">
        <is>
          <t>Not Started</t>
        </is>
      </c>
    </row>
    <row r="31">
      <c r="A31" t="inlineStr">
        <is>
          <t>REQ-00016</t>
        </is>
      </c>
      <c r="B31" t="inlineStr">
        <is>
          <t>2 
violation.  After conducting further inquiries and discussions as may be necessary, 
the Contracting Officer and the contractor shall agree on appropriate corrective 
action, if any. 
4 OCI Trai...</t>
        </is>
      </c>
      <c r="C31" t="inlineStr">
        <is>
          <t>Yes</t>
        </is>
      </c>
      <c r="D31" t="inlineStr">
        <is>
          <t>High</t>
        </is>
      </c>
      <c r="E31" t="inlineStr">
        <is>
          <t>Not Started</t>
        </is>
      </c>
    </row>
    <row r="32">
      <c r="A32" t="inlineStr">
        <is>
          <t>REQ-00034</t>
        </is>
      </c>
      <c r="B32" t="inlineStr">
        <is>
          <t>7.3 If OCI situation is one of biased ground rules or impaired objectivity, avoidance 
or mitigation techniques shall involve more than firewalls.</t>
        </is>
      </c>
      <c r="C32" t="inlineStr">
        <is>
          <t>Yes</t>
        </is>
      </c>
      <c r="D32" t="inlineStr">
        <is>
          <t>High</t>
        </is>
      </c>
      <c r="E32" t="inlineStr">
        <is>
          <t>Not Started</t>
        </is>
      </c>
    </row>
    <row r="33">
      <c r="A33" t="inlineStr">
        <is>
          <t>REQ-00042</t>
        </is>
      </c>
      <c r="B33" t="inlineStr">
        <is>
          <t>The Government fully anticipates expanding up to 100% within scope requirements during the 
period of performance.</t>
        </is>
      </c>
      <c r="C33" t="inlineStr">
        <is>
          <t>No</t>
        </is>
      </c>
      <c r="D33" t="inlineStr">
        <is>
          <t>Medium</t>
        </is>
      </c>
      <c r="E33" t="inlineStr">
        <is>
          <t>Not Started</t>
        </is>
      </c>
    </row>
    <row r="34">
      <c r="A34" t="inlineStr">
        <is>
          <t>REQ-00057</t>
        </is>
      </c>
      <c r="B34" t="inlineStr">
        <is>
          <t>Instructions: Electronic submission only.  Use the secure file transfer system; eBuy or 
other GSA platform as indicated by the PCO.  Proposals must be received no later 
than 1700 Pacific Daylight...</t>
        </is>
      </c>
      <c r="C34" t="inlineStr">
        <is>
          <t>Yes</t>
        </is>
      </c>
      <c r="D34" t="inlineStr">
        <is>
          <t>High</t>
        </is>
      </c>
      <c r="E34" t="inlineStr">
        <is>
          <t>Not Started</t>
        </is>
      </c>
    </row>
    <row r="35">
      <c r="A35" t="inlineStr">
        <is>
          <t>REQ-00058</t>
        </is>
      </c>
      <c r="B35" t="inlineStr">
        <is>
          <t>At this time, the Government intends to make award based on the initial proposal submissions 
without conducting interchanges, Therefore, each offer should contain the Offeror’s best terms 
from a ...</t>
        </is>
      </c>
      <c r="C35" t="inlineStr">
        <is>
          <t>No</t>
        </is>
      </c>
      <c r="D35" t="inlineStr">
        <is>
          <t>Medium</t>
        </is>
      </c>
      <c r="E35" t="inlineStr">
        <is>
          <t>Not Started</t>
        </is>
      </c>
    </row>
    <row r="36">
      <c r="A36" t="inlineStr">
        <is>
          <t>REQ-00064</t>
        </is>
      </c>
      <c r="B36" t="inlineStr">
        <is>
          <t>A page is the single side of an 8.5x11-inch paper with one-inch margins all around and shall 
contain sequential page numbers. 
If 11x17 pages are used, they shall be counted as 2 pages, use one-
i...</t>
        </is>
      </c>
      <c r="C36" t="inlineStr">
        <is>
          <t>Yes</t>
        </is>
      </c>
      <c r="D36" t="inlineStr">
        <is>
          <t>High</t>
        </is>
      </c>
      <c r="E36" t="inlineStr">
        <is>
          <t>Not Started</t>
        </is>
      </c>
    </row>
    <row r="37">
      <c r="A37" t="inlineStr">
        <is>
          <t>REQ-00065</t>
        </is>
      </c>
      <c r="B37" t="inlineStr">
        <is>
          <t>All electronic files shall be accessible and consistent with Microsoft (MS) Word 2016, MS Excel 
2016, or Adobe Acrobat Pro (86 bit).  Hypertext links may be used to facilitate navigation within 
t...</t>
        </is>
      </c>
      <c r="C37" t="inlineStr">
        <is>
          <t>Yes</t>
        </is>
      </c>
      <c r="D37" t="inlineStr">
        <is>
          <t>High</t>
        </is>
      </c>
      <c r="E37" t="inlineStr">
        <is>
          <t>Not Started</t>
        </is>
      </c>
    </row>
    <row r="38">
      <c r="A38" t="inlineStr">
        <is>
          <t>REQ-00082</t>
        </is>
      </c>
      <c r="B38" t="inlineStr">
        <is>
          <t>Instruction:  A concise narrative summary of the entire proposal, including significant risks, and 
a highlight of any key or unique features, excluding cost/price. The salient features should tie ...</t>
        </is>
      </c>
      <c r="C38" t="inlineStr">
        <is>
          <t>No</t>
        </is>
      </c>
      <c r="D38" t="inlineStr">
        <is>
          <t>Medium</t>
        </is>
      </c>
      <c r="E38" t="inlineStr">
        <is>
          <t>Not Started</t>
        </is>
      </c>
    </row>
    <row r="39">
      <c r="A39" t="inlineStr">
        <is>
          <t>REQ-00112</t>
        </is>
      </c>
      <c r="B39" t="inlineStr">
        <is>
          <t>Points of Contact 
Offerors shall provide primary and alternate points of contact including job title, telephone 
number and email address responsible for working non-disclosure agreements and subc...</t>
        </is>
      </c>
      <c r="C39" t="inlineStr">
        <is>
          <t>Yes</t>
        </is>
      </c>
      <c r="D39" t="inlineStr">
        <is>
          <t>High</t>
        </is>
      </c>
      <c r="E39" t="inlineStr">
        <is>
          <t>Not Started</t>
        </is>
      </c>
    </row>
    <row r="40">
      <c r="A40" t="inlineStr">
        <is>
          <t>REQ-00118</t>
        </is>
      </c>
      <c r="B40" t="inlineStr">
        <is>
          <t>3.6   Quality Assurance Surveillance Plan 
Provide a Quality Assurance Surveillance Plan following the template included in Attachment 9 
including key performance metrics included in offeror’s pro...</t>
        </is>
      </c>
      <c r="C40" t="inlineStr">
        <is>
          <t>No</t>
        </is>
      </c>
      <c r="D40" t="inlineStr">
        <is>
          <t>Medium</t>
        </is>
      </c>
      <c r="E40" t="inlineStr">
        <is>
          <t>Not Started</t>
        </is>
      </c>
    </row>
    <row r="41">
      <c r="A41" t="inlineStr">
        <is>
          <t>REQ-00121</t>
        </is>
      </c>
      <c r="B41" t="inlineStr">
        <is>
          <t>Operational Space C2 Acquisition Delta (BCC)</t>
        </is>
      </c>
      <c r="C41" t="inlineStr">
        <is>
          <t>No</t>
        </is>
      </c>
      <c r="D41" t="inlineStr">
        <is>
          <t>Medium</t>
        </is>
      </c>
      <c r="E41" t="inlineStr">
        <is>
          <t>Not Started</t>
        </is>
      </c>
    </row>
    <row r="42">
      <c r="A42" t="inlineStr">
        <is>
          <t>REQ-00122</t>
        </is>
      </c>
      <c r="B42" t="inlineStr">
        <is>
          <t>Acquisition and Management of Supply Contract</t>
        </is>
      </c>
      <c r="C42" t="inlineStr">
        <is>
          <t>No</t>
        </is>
      </c>
      <c r="D42" t="inlineStr">
        <is>
          <t>Medium</t>
        </is>
      </c>
      <c r="E42" t="inlineStr">
        <is>
          <t>Not Started</t>
        </is>
      </c>
    </row>
    <row r="43">
      <c r="A43" t="inlineStr">
        <is>
          <t>REQ-00123</t>
        </is>
      </c>
      <c r="B43" t="inlineStr">
        <is>
          <t>This Quality Assurance Surveillance Plan (QASP) provides a systematic method to evaluate the delivery of the supply for the stated contract.  This QASP explains the following:</t>
        </is>
      </c>
      <c r="C43" t="inlineStr">
        <is>
          <t>No</t>
        </is>
      </c>
      <c r="D43" t="inlineStr">
        <is>
          <t>Medium</t>
        </is>
      </c>
      <c r="E43" t="inlineStr">
        <is>
          <t>Not Started</t>
        </is>
      </c>
    </row>
    <row r="44">
      <c r="A44" t="inlineStr">
        <is>
          <t>REQ-00124</t>
        </is>
      </c>
      <c r="B44" t="inlineStr">
        <is>
          <t>How monitoring efforts and results will be documented.</t>
        </is>
      </c>
      <c r="C44" t="inlineStr">
        <is>
          <t>No</t>
        </is>
      </c>
      <c r="D44" t="inlineStr">
        <is>
          <t>Medium</t>
        </is>
      </c>
      <c r="E44" t="inlineStr">
        <is>
          <t>Not Started</t>
        </is>
      </c>
    </row>
    <row r="45">
      <c r="A45" t="inlineStr">
        <is>
          <t>REQ-00125</t>
        </is>
      </c>
      <c r="B45" t="inlineStr">
        <is>
          <t>This QASP does not detail how the contractor accomplishes the work.  Rather, the QASP is created with the premise that the contractor is responsible for management and quality control actions to me...</t>
        </is>
      </c>
      <c r="C45" t="inlineStr">
        <is>
          <t>No</t>
        </is>
      </c>
      <c r="D45" t="inlineStr">
        <is>
          <t>Medium</t>
        </is>
      </c>
      <c r="E45" t="inlineStr">
        <is>
          <t>Not Started</t>
        </is>
      </c>
    </row>
    <row r="46">
      <c r="A46" t="inlineStr">
        <is>
          <t>REQ-00126</t>
        </is>
      </c>
      <c r="B46" t="inlineStr">
        <is>
          <t>This QASP is a “living document” and the Government may review and revise it on a regular basis.  However, the Government shall coordinate changes with the contractor.  Updates shall ensure that th...</t>
        </is>
      </c>
      <c r="C46" t="inlineStr">
        <is>
          <t>Yes</t>
        </is>
      </c>
      <c r="D46" t="inlineStr">
        <is>
          <t>High</t>
        </is>
      </c>
      <c r="E46" t="inlineStr">
        <is>
          <t>Not Started</t>
        </is>
      </c>
    </row>
    <row r="47">
      <c r="A47" t="inlineStr">
        <is>
          <t>REQ-00127</t>
        </is>
      </c>
      <c r="B47" t="inlineStr">
        <is>
          <t>The following personnel shall oversee and coordinate surveillance activities.</t>
        </is>
      </c>
      <c r="C47" t="inlineStr">
        <is>
          <t>Yes</t>
        </is>
      </c>
      <c r="D47" t="inlineStr">
        <is>
          <t>High</t>
        </is>
      </c>
      <c r="E47" t="inlineStr">
        <is>
          <t>Not Started</t>
        </is>
      </c>
    </row>
    <row r="48">
      <c r="A48" t="inlineStr">
        <is>
          <t>REQ-00128</t>
        </is>
      </c>
      <c r="B48" t="inlineStr">
        <is>
          <t>a. Procuring Contracting Officer (PCO) - The PCO shall ensure performance of all necessary actions for effective contracting, ensure compliance with the contract terms, and shall safeguard the inte...</t>
        </is>
      </c>
      <c r="C48" t="inlineStr">
        <is>
          <t>Yes</t>
        </is>
      </c>
      <c r="D48" t="inlineStr">
        <is>
          <t>High</t>
        </is>
      </c>
      <c r="E48" t="inlineStr">
        <is>
          <t>Not Started</t>
        </is>
      </c>
    </row>
    <row r="49">
      <c r="A49" t="inlineStr">
        <is>
          <t>REQ-00129</t>
        </is>
      </c>
      <c r="B49" t="inlineStr">
        <is>
          <t>Organization or Agency: &lt;enter organization or Agency name&gt;</t>
        </is>
      </c>
      <c r="C49" t="inlineStr">
        <is>
          <t>No</t>
        </is>
      </c>
      <c r="D49" t="inlineStr">
        <is>
          <t>Medium</t>
        </is>
      </c>
      <c r="E49" t="inlineStr">
        <is>
          <t>Not Started</t>
        </is>
      </c>
    </row>
    <row r="50">
      <c r="A50" t="inlineStr">
        <is>
          <t>REQ-00130</t>
        </is>
      </c>
      <c r="B50" t="inlineStr">
        <is>
          <t>b. Contracting Officer’s Representative (COR) - The COR is responsible for technical administration of the contract and shall assure proper Government surveillance of the contractor’s performance. ...</t>
        </is>
      </c>
      <c r="C50" t="inlineStr">
        <is>
          <t>Yes</t>
        </is>
      </c>
      <c r="D50" t="inlineStr">
        <is>
          <t>High</t>
        </is>
      </c>
      <c r="E50" t="inlineStr">
        <is>
          <t>Not Started</t>
        </is>
      </c>
    </row>
    <row r="51">
      <c r="A51" t="inlineStr">
        <is>
          <t>REQ-00131</t>
        </is>
      </c>
      <c r="B51" t="inlineStr">
        <is>
          <t>c. Other Key Government Personnel - &lt;enter name or delete these lines if not applicable.  This may include Perform</t>
        </is>
      </c>
      <c r="C51" t="inlineStr">
        <is>
          <t>No</t>
        </is>
      </c>
      <c r="D51" t="inlineStr">
        <is>
          <t>Low</t>
        </is>
      </c>
      <c r="E51" t="inlineStr">
        <is>
          <t>Not Started</t>
        </is>
      </c>
    </row>
    <row r="52">
      <c r="A52" t="inlineStr">
        <is>
          <t>REQ-00132</t>
        </is>
      </c>
      <c r="B52" t="inlineStr">
        <is>
          <t>ance Monitors, Inspectors, etc. who act on behalf of the COR to monitor performance.&gt;</t>
        </is>
      </c>
      <c r="C52" t="inlineStr">
        <is>
          <t>No</t>
        </is>
      </c>
      <c r="D52" t="inlineStr">
        <is>
          <t>Medium</t>
        </is>
      </c>
      <c r="E52" t="inlineStr">
        <is>
          <t>Not Started</t>
        </is>
      </c>
    </row>
    <row r="53">
      <c r="A53" t="inlineStr">
        <is>
          <t>REQ-00133</t>
        </is>
      </c>
      <c r="B53" t="inlineStr">
        <is>
          <t>The following employees of the contractor serve as the contractor’s Program Manager and Task Manager for this contract.  &lt;Communication should occur with them during QASP development.  It will help...</t>
        </is>
      </c>
      <c r="C53" t="inlineStr">
        <is>
          <t>No</t>
        </is>
      </c>
      <c r="D53" t="inlineStr">
        <is>
          <t>Medium</t>
        </is>
      </c>
      <c r="E53" t="inlineStr">
        <is>
          <t>Not Started</t>
        </is>
      </c>
    </row>
    <row r="54">
      <c r="A54" t="inlineStr">
        <is>
          <t>REQ-00134</t>
        </is>
      </c>
      <c r="B54" t="inlineStr">
        <is>
          <t>a. Program Manager - &lt;upon award, enter name&gt;</t>
        </is>
      </c>
      <c r="C54" t="inlineStr">
        <is>
          <t>No</t>
        </is>
      </c>
      <c r="D54" t="inlineStr">
        <is>
          <t>Medium</t>
        </is>
      </c>
      <c r="E54" t="inlineStr">
        <is>
          <t>Not Started</t>
        </is>
      </c>
    </row>
    <row r="55">
      <c r="A55" t="inlineStr">
        <is>
          <t>REQ-00135</t>
        </is>
      </c>
      <c r="B55" t="inlineStr">
        <is>
          <t>b. Task Manager - &lt;upon award, enter name&gt;</t>
        </is>
      </c>
      <c r="C55" t="inlineStr">
        <is>
          <t>No</t>
        </is>
      </c>
      <c r="D55" t="inlineStr">
        <is>
          <t>Medium</t>
        </is>
      </c>
      <c r="E55" t="inlineStr">
        <is>
          <t>Not Started</t>
        </is>
      </c>
    </row>
    <row r="56">
      <c r="A56" t="inlineStr">
        <is>
          <t>REQ-00136</t>
        </is>
      </c>
      <c r="B56" t="inlineStr">
        <is>
          <t>c. Other Contractor Personnel - &lt;upon award, enter name or delete these lines if not applicable&gt;</t>
        </is>
      </c>
      <c r="C56" t="inlineStr">
        <is>
          <t>No</t>
        </is>
      </c>
      <c r="D56" t="inlineStr">
        <is>
          <t>Medium</t>
        </is>
      </c>
      <c r="E56" t="inlineStr">
        <is>
          <t>Not Started</t>
        </is>
      </c>
    </row>
    <row r="57">
      <c r="A57" t="inlineStr">
        <is>
          <t>REQ-00137</t>
        </is>
      </c>
      <c r="B57" t="inlineStr">
        <is>
          <t>Performance standards define desired services.  The Government performs surveillance to determine if the contractor exceeds, meets or does not meet these standards.</t>
        </is>
      </c>
      <c r="C57" t="inlineStr">
        <is>
          <t>No</t>
        </is>
      </c>
      <c r="D57" t="inlineStr">
        <is>
          <t>Medium</t>
        </is>
      </c>
      <c r="E57" t="inlineStr">
        <is>
          <t>Not Started</t>
        </is>
      </c>
    </row>
    <row r="58">
      <c r="A58" t="inlineStr">
        <is>
          <t>REQ-00138</t>
        </is>
      </c>
      <c r="B58" t="inlineStr">
        <is>
          <t>The Performance Requirements Summary Matrix, paragraph 4.1 in the Performance Work Statement includes performance standards.  The Government shall use these standards to determine contractor perfor...</t>
        </is>
      </c>
      <c r="C58" t="inlineStr">
        <is>
          <t>Yes</t>
        </is>
      </c>
      <c r="D58" t="inlineStr">
        <is>
          <t>High</t>
        </is>
      </c>
      <c r="E58" t="inlineStr">
        <is>
          <t>Not Started</t>
        </is>
      </c>
    </row>
    <row r="59">
      <c r="A59" t="inlineStr">
        <is>
          <t>REQ-00139</t>
        </is>
      </c>
      <c r="B59" t="inlineStr">
        <is>
          <t>Various methods exist to monitor performance.  The COR shall use the surveillance methods listed below in the administration of this QASP.</t>
        </is>
      </c>
      <c r="C59" t="inlineStr">
        <is>
          <t>Yes</t>
        </is>
      </c>
      <c r="D59" t="inlineStr">
        <is>
          <t>High</t>
        </is>
      </c>
      <c r="E59" t="inlineStr">
        <is>
          <t>Not Started</t>
        </is>
      </c>
    </row>
    <row r="60">
      <c r="A60" t="inlineStr">
        <is>
          <t>REQ-00140</t>
        </is>
      </c>
      <c r="B60" t="inlineStr">
        <is>
          <t>Regardless of the surveillance method, the COR shall always contact the contractor's task manager or on-site representative when a defect is identified and inform the manager of the specifics of th...</t>
        </is>
      </c>
      <c r="C60" t="inlineStr">
        <is>
          <t>Yes</t>
        </is>
      </c>
      <c r="D60" t="inlineStr">
        <is>
          <t>High</t>
        </is>
      </c>
      <c r="E60" t="inlineStr">
        <is>
          <t>Not Started</t>
        </is>
      </c>
    </row>
    <row r="61">
      <c r="A61" t="inlineStr">
        <is>
          <t>REQ-00141</t>
        </is>
      </c>
      <c r="B61" t="inlineStr">
        <is>
          <t>a. DIRECT OBSERVATION.  (Can be performed periodically or through 100% surveillance and written documentation.)</t>
        </is>
      </c>
      <c r="C61" t="inlineStr">
        <is>
          <t>No</t>
        </is>
      </c>
      <c r="D61" t="inlineStr">
        <is>
          <t>Low</t>
        </is>
      </c>
      <c r="E61" t="inlineStr">
        <is>
          <t>Not Started</t>
        </is>
      </c>
    </row>
    <row r="62">
      <c r="A62" t="inlineStr">
        <is>
          <t>REQ-00142</t>
        </is>
      </c>
      <c r="B62" t="inlineStr">
        <is>
          <t>b. PERIODIC INSPECTION.  (Uses a comprehensive evaluation of selected outputs.  Inspections may be scheduled [Daily, Weekly, Monthly, Quarterly, or annually] or unscheduled, as required.)</t>
        </is>
      </c>
      <c r="C62" t="inlineStr">
        <is>
          <t>Yes</t>
        </is>
      </c>
      <c r="D62" t="inlineStr">
        <is>
          <t>Low</t>
        </is>
      </c>
      <c r="E62" t="inlineStr">
        <is>
          <t>Not Started</t>
        </is>
      </c>
    </row>
    <row r="63">
      <c r="A63" t="inlineStr">
        <is>
          <t>REQ-00143</t>
        </is>
      </c>
      <c r="B63" t="inlineStr">
        <is>
          <t>c. USER SURVEY.  (Combines elements of validated user complaints and random sampling. Random survey is conducted to solicit user satisfaction.)</t>
        </is>
      </c>
      <c r="C63" t="inlineStr">
        <is>
          <t>No</t>
        </is>
      </c>
      <c r="D63" t="inlineStr">
        <is>
          <t>Medium</t>
        </is>
      </c>
      <c r="E63" t="inlineStr">
        <is>
          <t>Not Started</t>
        </is>
      </c>
    </row>
    <row r="64">
      <c r="A64" t="inlineStr">
        <is>
          <t>REQ-00144</t>
        </is>
      </c>
      <c r="B64" t="inlineStr">
        <is>
          <t>Surveillance results may be used as the basis for actions (to include payment deductions) against the contractor.  In such cases, the Inspection of Services clause in the Contract becomes the basis...</t>
        </is>
      </c>
      <c r="C64" t="inlineStr">
        <is>
          <t>No</t>
        </is>
      </c>
      <c r="D64" t="inlineStr">
        <is>
          <t>Low</t>
        </is>
      </c>
      <c r="E64" t="inlineStr">
        <is>
          <t>Not Started</t>
        </is>
      </c>
    </row>
    <row r="65">
      <c r="A65" t="inlineStr">
        <is>
          <t>REQ-00145</t>
        </is>
      </c>
      <c r="B65" t="inlineStr">
        <is>
          <t>Metrics and methods are designed to determine if performance exceeds, meets, or does not meet a given standard and acceptable quality level.  A rating scale shall be used to determine a positive, n...</t>
        </is>
      </c>
      <c r="C65" t="inlineStr">
        <is>
          <t>Yes</t>
        </is>
      </c>
      <c r="D65" t="inlineStr">
        <is>
          <t>High</t>
        </is>
      </c>
      <c r="E65" t="inlineStr">
        <is>
          <t>Not Started</t>
        </is>
      </c>
    </row>
    <row r="66">
      <c r="A66" t="inlineStr">
        <is>
          <t>REQ-00146</t>
        </is>
      </c>
      <c r="B66" t="inlineStr">
        <is>
          <t>The Government shall document positive performance.  A report template is attached.  Any report may become a</t>
        </is>
      </c>
      <c r="C66" t="inlineStr">
        <is>
          <t>Yes</t>
        </is>
      </c>
      <c r="D66" t="inlineStr">
        <is>
          <t>High</t>
        </is>
      </c>
      <c r="E66" t="inlineStr">
        <is>
          <t>Not Started</t>
        </is>
      </c>
    </row>
    <row r="67">
      <c r="A67" t="inlineStr">
        <is>
          <t>REQ-00147</t>
        </is>
      </c>
      <c r="B67" t="inlineStr">
        <is>
          <t>part of the supporting documentation for milestone payments, or other actions.</t>
        </is>
      </c>
      <c r="C67" t="inlineStr">
        <is>
          <t>No</t>
        </is>
      </c>
      <c r="D67" t="inlineStr">
        <is>
          <t>Medium</t>
        </is>
      </c>
      <c r="E67" t="inlineStr">
        <is>
          <t>Not Started</t>
        </is>
      </c>
    </row>
    <row r="68">
      <c r="A68" t="inlineStr">
        <is>
          <t>REQ-00148</t>
        </is>
      </c>
      <c r="B68" t="inlineStr">
        <is>
          <t>When unacceptable performance occurs, the COR shall inform the contractor.  This will normally be in writing unless circumstances necessitate verbal communication.  In any case the COR shall docume...</t>
        </is>
      </c>
      <c r="C68" t="inlineStr">
        <is>
          <t>Yes</t>
        </is>
      </c>
      <c r="D68" t="inlineStr">
        <is>
          <t>High</t>
        </is>
      </c>
      <c r="E68" t="inlineStr">
        <is>
          <t>Not Started</t>
        </is>
      </c>
    </row>
    <row r="69">
      <c r="A69" t="inlineStr">
        <is>
          <t>REQ-00149</t>
        </is>
      </c>
      <c r="B69" t="inlineStr">
        <is>
          <t>When the COR determines formal written communication is required, the COR shall prepare a Contract Discrepancy Report (CDR), and present it to the contractor's task manager or on-site representativ...</t>
        </is>
      </c>
      <c r="C69" t="inlineStr">
        <is>
          <t>Yes</t>
        </is>
      </c>
      <c r="D69" t="inlineStr">
        <is>
          <t>High</t>
        </is>
      </c>
      <c r="E69" t="inlineStr">
        <is>
          <t>Not Started</t>
        </is>
      </c>
    </row>
    <row r="70">
      <c r="A70" t="inlineStr">
        <is>
          <t>REQ-00150</t>
        </is>
      </c>
      <c r="B70" t="inlineStr">
        <is>
          <t>The contractor shall acknowledge receipt of the CDR in writing.  The CDR will specify if the contractor is required to prepare a corrective action plan to document how the contractor shall correct ...</t>
        </is>
      </c>
      <c r="C70" t="inlineStr">
        <is>
          <t>Yes</t>
        </is>
      </c>
      <c r="D70" t="inlineStr">
        <is>
          <t>High</t>
        </is>
      </c>
      <c r="E70" t="inlineStr">
        <is>
          <t>Not Started</t>
        </is>
      </c>
    </row>
    <row r="71">
      <c r="A71" t="inlineStr">
        <is>
          <t>REQ-00151</t>
        </is>
      </c>
      <c r="B71" t="inlineStr">
        <is>
          <t>Any CDRs may become a part of the supporting documentation for contract payment deductions, fixed fee deductions, award fee nonpayment, or other actions deemed necessary by the PCO.</t>
        </is>
      </c>
      <c r="C71" t="inlineStr">
        <is>
          <t>No</t>
        </is>
      </c>
      <c r="D71" t="inlineStr">
        <is>
          <t>Low</t>
        </is>
      </c>
      <c r="E71" t="inlineStr">
        <is>
          <t>Not Started</t>
        </is>
      </c>
    </row>
    <row r="72">
      <c r="A72" t="inlineStr">
        <is>
          <t>REQ-00152</t>
        </is>
      </c>
      <c r="B72" t="inlineStr">
        <is>
          <t>During contract/order performance, the COR shall take periodic measurements, quarterly as specified in the AQL column of the Performance Standards Summary Matrix, and shall analyze whether the nego...</t>
        </is>
      </c>
      <c r="C72" t="inlineStr">
        <is>
          <t>Yes</t>
        </is>
      </c>
      <c r="D72" t="inlineStr">
        <is>
          <t>High</t>
        </is>
      </c>
      <c r="E72" t="inlineStr">
        <is>
          <t>Not Started</t>
        </is>
      </c>
    </row>
    <row r="73">
      <c r="A73" t="inlineStr">
        <is>
          <t>REQ-00153</t>
        </is>
      </c>
      <c r="B73" t="inlineStr">
        <is>
          <t>b. Frequency of Performance Assessment Meetings.</t>
        </is>
      </c>
      <c r="C73" t="inlineStr">
        <is>
          <t>No</t>
        </is>
      </c>
      <c r="D73" t="inlineStr">
        <is>
          <t>Medium</t>
        </is>
      </c>
      <c r="E73" t="inlineStr">
        <is>
          <t>Not Started</t>
        </is>
      </c>
    </row>
    <row r="74">
      <c r="A74" t="inlineStr">
        <is>
          <t>REQ-00154</t>
        </is>
      </c>
      <c r="B74" t="inlineStr">
        <is>
          <t>The COR shall meet with the contractor quarterly to assess performance and shall provide a written assessment.</t>
        </is>
      </c>
      <c r="C74" t="inlineStr">
        <is>
          <t>Yes</t>
        </is>
      </c>
      <c r="D74" t="inlineStr">
        <is>
          <t>High</t>
        </is>
      </c>
      <c r="E74" t="inlineStr">
        <is>
          <t>Not Started</t>
        </is>
      </c>
    </row>
    <row r="75">
      <c r="A75" t="inlineStr">
        <is>
          <t>REQ-00155</t>
        </is>
      </c>
      <c r="B75" t="inlineStr">
        <is>
          <t>Prepared by: Logan W. Bolitho, Maj, USSF</t>
        </is>
      </c>
      <c r="C75" t="inlineStr">
        <is>
          <t>No</t>
        </is>
      </c>
      <c r="D75" t="inlineStr">
        <is>
          <t>Medium</t>
        </is>
      </c>
      <c r="E75" t="inlineStr">
        <is>
          <t>Not Started</t>
        </is>
      </c>
    </row>
    <row r="76">
      <c r="A76" t="inlineStr">
        <is>
          <t>REQ-00156</t>
        </is>
      </c>
      <c r="B76" t="inlineStr">
        <is>
          <t>Signature – Contracting Officer’s Representative</t>
        </is>
      </c>
      <c r="C76" t="inlineStr">
        <is>
          <t>No</t>
        </is>
      </c>
      <c r="D76" t="inlineStr">
        <is>
          <t>Medium</t>
        </is>
      </c>
      <c r="E76" t="inlineStr">
        <is>
          <t>Not Started</t>
        </is>
      </c>
    </row>
    <row r="77">
      <c r="A77" t="inlineStr">
        <is>
          <t>REQ-00157</t>
        </is>
      </c>
      <c r="B77" t="inlineStr">
        <is>
          <t>2. Prepared by: (Name of COR) &lt;insert name&gt;</t>
        </is>
      </c>
      <c r="C77" t="inlineStr">
        <is>
          <t>No</t>
        </is>
      </c>
      <c r="D77" t="inlineStr">
        <is>
          <t>Medium</t>
        </is>
      </c>
      <c r="E77" t="inlineStr">
        <is>
          <t>Not Started</t>
        </is>
      </c>
    </row>
    <row r="78">
      <c r="A78" t="inlineStr">
        <is>
          <t>REQ-00158</t>
        </is>
      </c>
      <c r="B78" t="inlineStr">
        <is>
          <t>&lt;Examples of items to include in a report are:</t>
        </is>
      </c>
      <c r="C78" t="inlineStr">
        <is>
          <t>No</t>
        </is>
      </c>
      <c r="D78" t="inlineStr">
        <is>
          <t>Medium</t>
        </is>
      </c>
      <c r="E78" t="inlineStr">
        <is>
          <t>Not Started</t>
        </is>
      </c>
    </row>
    <row r="79">
      <c r="A79" t="inlineStr">
        <is>
          <t>REQ-00159</t>
        </is>
      </c>
      <c r="B79" t="inlineStr">
        <is>
          <t>- How frequently you conducted surveillance.</t>
        </is>
      </c>
      <c r="C79" t="inlineStr">
        <is>
          <t>No</t>
        </is>
      </c>
      <c r="D79" t="inlineStr">
        <is>
          <t>Medium</t>
        </is>
      </c>
      <c r="E79" t="inlineStr">
        <is>
          <t>Not Started</t>
        </is>
      </c>
    </row>
    <row r="80">
      <c r="A80" t="inlineStr">
        <is>
          <t>REQ-00161</t>
        </is>
      </c>
      <c r="B80" t="inlineStr">
        <is>
          <t>Signature – Contracting Officer’s Representative			     Date</t>
        </is>
      </c>
      <c r="C80" t="inlineStr">
        <is>
          <t>No</t>
        </is>
      </c>
      <c r="D80" t="inlineStr">
        <is>
          <t>Medium</t>
        </is>
      </c>
      <c r="E80" t="inlineStr">
        <is>
          <t>Not Started</t>
        </is>
      </c>
    </row>
    <row r="81">
      <c r="A81" t="inlineStr">
        <is>
          <t>REQ-00162</t>
        </is>
      </c>
      <c r="B81" t="inlineStr">
        <is>
          <t>2. TO: (Contractor Task Manager or on-site representative) &lt;insert name&gt;</t>
        </is>
      </c>
      <c r="C81" t="inlineStr">
        <is>
          <t>No</t>
        </is>
      </c>
      <c r="D81" t="inlineStr">
        <is>
          <t>Medium</t>
        </is>
      </c>
      <c r="E81" t="inlineStr">
        <is>
          <t>Not Started</t>
        </is>
      </c>
    </row>
    <row r="82">
      <c r="A82" t="inlineStr">
        <is>
          <t>REQ-00163</t>
        </is>
      </c>
      <c r="B82" t="inlineStr">
        <is>
          <t>&lt;Describe in detail.  Identify any attachments.&gt;</t>
        </is>
      </c>
      <c r="C82" t="inlineStr">
        <is>
          <t>No</t>
        </is>
      </c>
      <c r="D82" t="inlineStr">
        <is>
          <t>Medium</t>
        </is>
      </c>
      <c r="E82" t="inlineStr">
        <is>
          <t>Not Started</t>
        </is>
      </c>
    </row>
    <row r="83">
      <c r="A83" t="inlineStr">
        <is>
          <t>REQ-00164</t>
        </is>
      </c>
      <c r="B83" t="inlineStr">
        <is>
          <t>A written corrective action plan &lt; is / is not &gt; required.</t>
        </is>
      </c>
      <c r="C83" t="inlineStr">
        <is>
          <t>Yes</t>
        </is>
      </c>
      <c r="D83" t="inlineStr">
        <is>
          <t>Medium</t>
        </is>
      </c>
      <c r="E83" t="inlineStr">
        <is>
          <t>Not Started</t>
        </is>
      </c>
    </row>
    <row r="84">
      <c r="A84" t="inlineStr">
        <is>
          <t>REQ-00165</t>
        </is>
      </c>
      <c r="B84" t="inlineStr">
        <is>
          <t>&lt; If a written corrective action plan is required include the following. &gt; The written Corrective Action Plan will be provided to the undersigned not later than &lt; # days after receipt of this</t>
        </is>
      </c>
      <c r="C84" t="inlineStr">
        <is>
          <t>Yes</t>
        </is>
      </c>
      <c r="D84" t="inlineStr">
        <is>
          <t>Medium</t>
        </is>
      </c>
      <c r="E84" t="inlineStr">
        <is>
          <t>Not Started</t>
        </is>
      </c>
    </row>
    <row r="85">
      <c r="A85" t="inlineStr">
        <is>
          <t>REQ-00166</t>
        </is>
      </c>
      <c r="B85" t="inlineStr">
        <is>
          <t>Signature - Contractor Task Manager or on-site representative	     Date</t>
        </is>
      </c>
      <c r="C85" t="inlineStr">
        <is>
          <t>No</t>
        </is>
      </c>
      <c r="D85" t="inlineStr">
        <is>
          <t>Medium</t>
        </is>
      </c>
      <c r="E85" t="inlineStr">
        <is>
          <t>Not Started</t>
        </is>
      </c>
    </row>
    <row r="86">
      <c r="A86" t="inlineStr">
        <is>
          <t>REQ-00168</t>
        </is>
      </c>
      <c r="B86" t="inlineStr">
        <is>
          <t>SUBJECT:  DRAFT Fair Opportunity Request for Proposal, FA8806-25-R-B003, 24/7 Network 
Operations Center (NOC)</t>
        </is>
      </c>
      <c r="C86" t="inlineStr">
        <is>
          <t>No</t>
        </is>
      </c>
      <c r="D86" t="inlineStr">
        <is>
          <t>Medium</t>
        </is>
      </c>
      <c r="E86" t="inlineStr">
        <is>
          <t>Not Started</t>
        </is>
      </c>
    </row>
    <row r="87">
      <c r="A87" t="inlineStr">
        <is>
          <t>REQ-00169</t>
        </is>
      </c>
      <c r="B87" t="inlineStr">
        <is>
          <t>1.  The Space Systems Command (SSC) Battle Management Command, Control and 
Communications (BMC3) is releasing a DRAFT Fair Opportunity Proposal Request (FOPR) 
supporting documents for 24/7 Networ...</t>
        </is>
      </c>
      <c r="C87" t="inlineStr">
        <is>
          <t>No</t>
        </is>
      </c>
      <c r="D87" t="inlineStr">
        <is>
          <t>Medium</t>
        </is>
      </c>
      <c r="E87" t="inlineStr">
        <is>
          <t>Not Started</t>
        </is>
      </c>
    </row>
    <row r="88">
      <c r="A88" t="inlineStr">
        <is>
          <t>REQ-00170</t>
        </is>
      </c>
      <c r="B88" t="inlineStr">
        <is>
          <t>2.  Companies, within the General Services Administration (GSA) One Acquisition Solution for 
Integrated Services (OASIS) + Total Small Business Indefinite Delivery Indefinite Quantity 
(IDIQ) cont...</t>
        </is>
      </c>
      <c r="C88" t="inlineStr">
        <is>
          <t>No</t>
        </is>
      </c>
      <c r="D88" t="inlineStr">
        <is>
          <t>High</t>
        </is>
      </c>
      <c r="E88" t="inlineStr">
        <is>
          <t>Not Started</t>
        </is>
      </c>
    </row>
    <row r="89">
      <c r="A89" t="inlineStr">
        <is>
          <t>REQ-00171</t>
        </is>
      </c>
      <c r="B89" t="inlineStr">
        <is>
          <t>3.  The government intends to award a single Cost Plus Fixed Fee Delivery Order consisting of a 
five (5)-year period of performance to acquire manning power for the creation and maintenance 
of a ...</t>
        </is>
      </c>
      <c r="C89" t="inlineStr">
        <is>
          <t>No</t>
        </is>
      </c>
      <c r="D89" t="inlineStr">
        <is>
          <t>High</t>
        </is>
      </c>
      <c r="E89" t="inlineStr">
        <is>
          <t>Not Started</t>
        </is>
      </c>
    </row>
    <row r="90">
      <c r="A90" t="inlineStr">
        <is>
          <t>REQ-00172</t>
        </is>
      </c>
      <c r="B90" t="inlineStr">
        <is>
          <t>Draft RFP Release   9 October 2024 
Receipt of Comments on Draft 30 October 2024 
RFP Release    13 December 2025 
Receipt of Proposals     3 February 2025 
Evaluation of Proposals    17 March 2025...</t>
        </is>
      </c>
      <c r="C90" t="inlineStr">
        <is>
          <t>No</t>
        </is>
      </c>
      <c r="D90" t="inlineStr">
        <is>
          <t>Low</t>
        </is>
      </c>
      <c r="E90" t="inlineStr">
        <is>
          <t>Not Started</t>
        </is>
      </c>
    </row>
    <row r="91">
      <c r="A91" t="inlineStr">
        <is>
          <t>REQ-00173</t>
        </is>
      </c>
      <c r="B91" t="inlineStr">
        <is>
          <t>4.  The Government requests a formal negative or positive response on the company’s interest to 
be included in future correspondence on this requirement. This formal response must be emailed 
to t...</t>
        </is>
      </c>
      <c r="C91" t="inlineStr">
        <is>
          <t>Yes</t>
        </is>
      </c>
      <c r="D91" t="inlineStr">
        <is>
          <t>High</t>
        </is>
      </c>
      <c r="E91" t="inlineStr">
        <is>
          <t>Not Started</t>
        </is>
      </c>
    </row>
    <row r="92">
      <c r="A92" t="inlineStr">
        <is>
          <t>REQ-00174</t>
        </is>
      </c>
      <c r="B92" t="inlineStr">
        <is>
          <t>5. The Government also requests all questions, comments or feedback regarding the DRAFT 
documents included in this DRAFT FOPR to be written using the attachment 8 Comments 
Resolution Matrix (CRM)...</t>
        </is>
      </c>
      <c r="C92" t="inlineStr">
        <is>
          <t>No</t>
        </is>
      </c>
      <c r="D92" t="inlineStr">
        <is>
          <t>Medium</t>
        </is>
      </c>
      <c r="E92" t="inlineStr">
        <is>
          <t>Not Started</t>
        </is>
      </c>
    </row>
    <row r="93">
      <c r="A93" t="inlineStr">
        <is>
          <t>REQ-00175</t>
        </is>
      </c>
      <c r="B93" t="inlineStr">
        <is>
          <t>RODRIGO E. LAGUNA, Capt, DAF 
           Procuring Contracting Officer</t>
        </is>
      </c>
      <c r="C93" t="inlineStr">
        <is>
          <t>No</t>
        </is>
      </c>
      <c r="D93" t="inlineStr">
        <is>
          <t>Medium</t>
        </is>
      </c>
      <c r="E93" t="inlineStr">
        <is>
          <t>Not Started</t>
        </is>
      </c>
    </row>
    <row r="94">
      <c r="A94" t="inlineStr">
        <is>
          <t>REQ-00176</t>
        </is>
      </c>
      <c r="B94" t="inlineStr">
        <is>
          <t>0. Solicitation - FA880625RB003 
    Solicitation - Clauses and Provisions</t>
        </is>
      </c>
      <c r="C94" t="inlineStr">
        <is>
          <t>No</t>
        </is>
      </c>
      <c r="D94" t="inlineStr">
        <is>
          <t>Medium</t>
        </is>
      </c>
      <c r="E94" t="inlineStr">
        <is>
          <t>Not Started</t>
        </is>
      </c>
    </row>
    <row r="95">
      <c r="A95" t="inlineStr">
        <is>
          <t>REQ-00177</t>
        </is>
      </c>
      <c r="B95" t="inlineStr">
        <is>
          <t>3. Master Contract Data Requirements List</t>
        </is>
      </c>
      <c r="C95" t="inlineStr">
        <is>
          <t>No</t>
        </is>
      </c>
      <c r="D95" t="inlineStr">
        <is>
          <t>Medium</t>
        </is>
      </c>
      <c r="E95" t="inlineStr">
        <is>
          <t>Not Started</t>
        </is>
      </c>
    </row>
    <row r="96">
      <c r="A96" t="inlineStr">
        <is>
          <t>REQ-00178</t>
        </is>
      </c>
      <c r="B96" t="inlineStr">
        <is>
          <t>5. Organizational Conflict of Interest Checklist</t>
        </is>
      </c>
      <c r="C96" t="inlineStr">
        <is>
          <t>No</t>
        </is>
      </c>
      <c r="D96" t="inlineStr">
        <is>
          <t>Medium</t>
        </is>
      </c>
      <c r="E96" t="inlineStr">
        <is>
          <t>Not Started</t>
        </is>
      </c>
    </row>
    <row r="97">
      <c r="A97" t="inlineStr">
        <is>
          <t>REQ-00179</t>
        </is>
      </c>
      <c r="B97" t="inlineStr">
        <is>
          <t>7. Contract Security Classification Specification DD254</t>
        </is>
      </c>
      <c r="C97" t="inlineStr">
        <is>
          <t>No</t>
        </is>
      </c>
      <c r="D97" t="inlineStr">
        <is>
          <t>Medium</t>
        </is>
      </c>
      <c r="E97" t="inlineStr">
        <is>
          <t>Not Started</t>
        </is>
      </c>
    </row>
    <row r="98">
      <c r="A98" t="inlineStr">
        <is>
          <t>REQ-00180</t>
        </is>
      </c>
      <c r="B98" t="inlineStr">
        <is>
          <t>Issued Under the Multiple Award Indefinite Delivery Indefinite Quantity Contract:</t>
        </is>
      </c>
      <c r="C98" t="inlineStr">
        <is>
          <t>No</t>
        </is>
      </c>
      <c r="D98" t="inlineStr">
        <is>
          <t>Medium</t>
        </is>
      </c>
      <c r="E98" t="inlineStr">
        <is>
          <t>Not Started</t>
        </is>
      </c>
    </row>
    <row r="99">
      <c r="A99" t="inlineStr">
        <is>
          <t>REQ-00181</t>
        </is>
      </c>
      <c r="B99" t="inlineStr">
        <is>
          <t>One Acquisition Solution for Integrated Services + Total Small Business</t>
        </is>
      </c>
      <c r="C99" t="inlineStr">
        <is>
          <t>No</t>
        </is>
      </c>
      <c r="D99" t="inlineStr">
        <is>
          <t>Medium</t>
        </is>
      </c>
      <c r="E99" t="inlineStr">
        <is>
          <t>Not Started</t>
        </is>
      </c>
    </row>
    <row r="100">
      <c r="A100" t="inlineStr">
        <is>
          <t>REQ-00182</t>
        </is>
      </c>
      <c r="B100" t="inlineStr">
        <is>
          <t>This instruction establishes the minimum requirements for the data to be delivered by the contractor in performance of this task order and the process for the submittal, distribution, inspection, a...</t>
        </is>
      </c>
      <c r="C100" t="inlineStr">
        <is>
          <t>No</t>
        </is>
      </c>
      <c r="D100" t="inlineStr">
        <is>
          <t>Medium</t>
        </is>
      </c>
      <c r="E100" t="inlineStr">
        <is>
          <t>Not Started</t>
        </is>
      </c>
    </row>
    <row r="101">
      <c r="A101" t="inlineStr">
        <is>
          <t>REQ-00183</t>
        </is>
      </c>
      <c r="B101" t="inlineStr">
        <is>
          <t>The Contractor shall grant the Government Purpose Rights in all technical data, deliverables and supply performed under this contract, including rights to use, duplicate, modify, release, perform, ...</t>
        </is>
      </c>
      <c r="C101" t="inlineStr">
        <is>
          <t>Yes</t>
        </is>
      </c>
      <c r="D101" t="inlineStr">
        <is>
          <t>High</t>
        </is>
      </c>
      <c r="E101" t="inlineStr">
        <is>
          <t>Not Started</t>
        </is>
      </c>
    </row>
    <row r="102">
      <c r="A102" t="inlineStr">
        <is>
          <t>REQ-00184</t>
        </is>
      </c>
      <c r="B102" t="inlineStr">
        <is>
          <t>Data Item Descriptions referenced in Block 4 of the contract data requirement list are listed in the Acquisition Streamlining and Standardization Information System, which can be accessed via the f...</t>
        </is>
      </c>
      <c r="C102" t="inlineStr">
        <is>
          <t>No</t>
        </is>
      </c>
      <c r="D102" t="inlineStr">
        <is>
          <t>Low</t>
        </is>
      </c>
      <c r="E102" t="inlineStr">
        <is>
          <t>Not Started</t>
        </is>
      </c>
    </row>
    <row r="103">
      <c r="A103" t="inlineStr">
        <is>
          <t>REQ-00185</t>
        </is>
      </c>
      <c r="B103" t="inlineStr">
        <is>
          <t>The designation "D" in Block 9 of the Contract Data Requirements List indicates that the following distribution statement shall be annotated on each data item in accordance with DoDD 5230.24.</t>
        </is>
      </c>
      <c r="C103" t="inlineStr">
        <is>
          <t>Yes</t>
        </is>
      </c>
      <c r="D103" t="inlineStr">
        <is>
          <t>High</t>
        </is>
      </c>
      <c r="E103" t="inlineStr">
        <is>
          <t>Not Started</t>
        </is>
      </c>
    </row>
    <row r="104">
      <c r="A104" t="inlineStr">
        <is>
          <t>REQ-00186</t>
        </is>
      </c>
      <c r="B104" t="inlineStr">
        <is>
          <t>Unclassified Distribution Statement D: Distribution authorized to DoD and US DoD contractors: due to the sensitive information (as defined in DoD 5230.24) associated with this effort.</t>
        </is>
      </c>
      <c r="C104" t="inlineStr">
        <is>
          <t>No</t>
        </is>
      </c>
      <c r="D104" t="inlineStr">
        <is>
          <t>Medium</t>
        </is>
      </c>
      <c r="E104" t="inlineStr">
        <is>
          <t>Not Started</t>
        </is>
      </c>
    </row>
    <row r="105">
      <c r="A105" t="inlineStr">
        <is>
          <t>REQ-00187</t>
        </is>
      </c>
      <c r="B105" t="inlineStr">
        <is>
          <t>Other requests for this document shall be referred to the Contracting Officer's Representative. Unclassified deliverables may be destroyed by any method that will prevent disclosure of contents or ...</t>
        </is>
      </c>
      <c r="C105" t="inlineStr">
        <is>
          <t>Yes</t>
        </is>
      </c>
      <c r="D105" t="inlineStr">
        <is>
          <t>High</t>
        </is>
      </c>
      <c r="E105" t="inlineStr">
        <is>
          <t>Not Started</t>
        </is>
      </c>
    </row>
    <row r="106">
      <c r="A106" t="inlineStr">
        <is>
          <t>REQ-00188</t>
        </is>
      </c>
      <c r="B106" t="inlineStr">
        <is>
          <t>Classified Distribution Statement D: Distribution authorized to DoD and US DoD contractors only, due to the sensitive information (as defined in DoD 5200.1-R) associated with the One Acquisition So...</t>
        </is>
      </c>
      <c r="C106" t="inlineStr">
        <is>
          <t>No</t>
        </is>
      </c>
      <c r="D106" t="inlineStr">
        <is>
          <t>High</t>
        </is>
      </c>
      <c r="E106" t="inlineStr">
        <is>
          <t>Not Started</t>
        </is>
      </c>
    </row>
    <row r="107">
      <c r="A107" t="inlineStr">
        <is>
          <t>REQ-00189</t>
        </is>
      </c>
      <c r="B107" t="inlineStr">
        <is>
          <t>This document contains technical data whose export is restricted by the Arms Export Con</t>
        </is>
      </c>
      <c r="C107" t="inlineStr">
        <is>
          <t>No</t>
        </is>
      </c>
      <c r="D107" t="inlineStr">
        <is>
          <t>Medium</t>
        </is>
      </c>
      <c r="E107" t="inlineStr">
        <is>
          <t>Not Started</t>
        </is>
      </c>
    </row>
    <row r="108">
      <c r="A108" t="inlineStr">
        <is>
          <t>REQ-00190</t>
        </is>
      </c>
      <c r="B108" t="inlineStr">
        <is>
          <t>trol Act (Title 22, U.S.C. 2571 et seq.) or Executive Order 12470. Violators of these export laws are subject to severe criminal penalties. Dissemination of this document is controlled under DoD Di...</t>
        </is>
      </c>
      <c r="C108" t="inlineStr">
        <is>
          <t>No</t>
        </is>
      </c>
      <c r="D108" t="inlineStr">
        <is>
          <t>Medium</t>
        </is>
      </c>
      <c r="E108" t="inlineStr">
        <is>
          <t>Not Started</t>
        </is>
      </c>
    </row>
    <row r="109">
      <c r="A109" t="inlineStr">
        <is>
          <t>REQ-00191</t>
        </is>
      </c>
      <c r="B109" t="inlineStr">
        <is>
          <t>Letters of Transmittal (Block 7) - Delivery of contract data requirements list items shall be a physical hard copy and electronic format to the Contracting Officer's Representative. The Contractor ...</t>
        </is>
      </c>
      <c r="C109" t="inlineStr">
        <is>
          <t>Yes</t>
        </is>
      </c>
      <c r="D109" t="inlineStr">
        <is>
          <t>High</t>
        </is>
      </c>
      <c r="E109" t="inlineStr">
        <is>
          <t>Not Started</t>
        </is>
      </c>
    </row>
    <row r="110">
      <c r="A110" t="inlineStr">
        <is>
          <t>REQ-00192</t>
        </is>
      </c>
      <c r="B110" t="inlineStr">
        <is>
          <t>All data delivered with the Letter of Transmittal shall be collectively accounted for under the Material Inspection and Receiving Report (DD Form 250). The period of performance shall reflect the d...</t>
        </is>
      </c>
      <c r="C110" t="inlineStr">
        <is>
          <t>Yes</t>
        </is>
      </c>
      <c r="D110" t="inlineStr">
        <is>
          <t>High</t>
        </is>
      </c>
      <c r="E110" t="inlineStr">
        <is>
          <t>Not Started</t>
        </is>
      </c>
    </row>
    <row r="111">
      <c r="A111" t="inlineStr">
        <is>
          <t>REQ-00193</t>
        </is>
      </c>
      <c r="B111" t="inlineStr">
        <is>
          <t>The DD Form 250 shall list and account for all data delivered to the Government during contractual period of performance. Do not list Data items that were not previously accepted by the Contracting...</t>
        </is>
      </c>
      <c r="C111" t="inlineStr">
        <is>
          <t>Yes</t>
        </is>
      </c>
      <c r="D111" t="inlineStr">
        <is>
          <t>High</t>
        </is>
      </c>
      <c r="E111" t="inlineStr">
        <is>
          <t>Not Started</t>
        </is>
      </c>
    </row>
    <row r="112">
      <c r="A112" t="inlineStr">
        <is>
          <t>REQ-00194</t>
        </is>
      </c>
      <c r="B112" t="inlineStr">
        <is>
          <t>The DD Form 250 list shall identify Contract Data Requirements List sequence number, document title, document number, contractor transmittal letter number, date of delivery, acceptance method and d...</t>
        </is>
      </c>
      <c r="C112" t="inlineStr">
        <is>
          <t>Yes</t>
        </is>
      </c>
      <c r="D112" t="inlineStr">
        <is>
          <t>High</t>
        </is>
      </c>
      <c r="E112" t="inlineStr">
        <is>
          <t>Not Started</t>
        </is>
      </c>
    </row>
    <row r="113">
      <c r="A113" t="inlineStr">
        <is>
          <t>REQ-00195</t>
        </is>
      </c>
      <c r="B113" t="inlineStr">
        <is>
          <t>The contractor shall immediately notify the Government Contracting Officer of any request that the contractor feels increases the contract price and will not comply with the request until directed ...</t>
        </is>
      </c>
      <c r="C113" t="inlineStr">
        <is>
          <t>Yes</t>
        </is>
      </c>
      <c r="D113" t="inlineStr">
        <is>
          <t>High</t>
        </is>
      </c>
      <c r="E113" t="inlineStr">
        <is>
          <t>Not Started</t>
        </is>
      </c>
    </row>
    <row r="114">
      <c r="A114" t="inlineStr">
        <is>
          <t>REQ-00196</t>
        </is>
      </c>
      <c r="B114" t="inlineStr">
        <is>
          <t>Deliverable acceptance is at the discretion of the Contracting Officer's Representative. Acceptance indicates agreement or concurrence with the contractor's furnished data only and shall not be con...</t>
        </is>
      </c>
      <c r="C114" t="inlineStr">
        <is>
          <t>Yes</t>
        </is>
      </c>
      <c r="D114" t="inlineStr">
        <is>
          <t>High</t>
        </is>
      </c>
      <c r="E114" t="inlineStr">
        <is>
          <t>Not Started</t>
        </is>
      </c>
    </row>
    <row r="115">
      <c r="A115" t="inlineStr">
        <is>
          <t>REQ-00197</t>
        </is>
      </c>
      <c r="B115" t="inlineStr">
        <is>
          <t>Only when an "A" is indicated in Block 8 of the Contract Data Requirements List form is formal acceptance required. Unless indicated otherwise in the specific Contract Data Requirements List item, ...</t>
        </is>
      </c>
      <c r="C115" t="inlineStr">
        <is>
          <t>Yes</t>
        </is>
      </c>
      <c r="D115" t="inlineStr">
        <is>
          <t>Medium</t>
        </is>
      </c>
      <c r="E115" t="inlineStr">
        <is>
          <t>Not Started</t>
        </is>
      </c>
    </row>
    <row r="116">
      <c r="A116" t="inlineStr">
        <is>
          <t>REQ-00198</t>
        </is>
      </c>
      <c r="B116" t="inlineStr">
        <is>
          <t>Accepted with comments - The contractor shall revise</t>
        </is>
      </c>
      <c r="C116" t="inlineStr">
        <is>
          <t>Yes</t>
        </is>
      </c>
      <c r="D116" t="inlineStr">
        <is>
          <t>High</t>
        </is>
      </c>
      <c r="E116" t="inlineStr">
        <is>
          <t>Not Started</t>
        </is>
      </c>
    </row>
    <row r="117">
      <c r="A117" t="inlineStr">
        <is>
          <t>REQ-00199</t>
        </is>
      </c>
      <c r="B117" t="inlineStr">
        <is>
          <t>the deliverable in accordance with Contracting Officer's Representative input(s) and resubmit. Reference the Services Summary of the Performance Work Statement for timeliness standards.</t>
        </is>
      </c>
      <c r="C117" t="inlineStr">
        <is>
          <t>No</t>
        </is>
      </c>
      <c r="D117" t="inlineStr">
        <is>
          <t>Medium</t>
        </is>
      </c>
      <c r="E117" t="inlineStr">
        <is>
          <t>Not Started</t>
        </is>
      </c>
    </row>
    <row r="118">
      <c r="A118" t="inlineStr">
        <is>
          <t>REQ-00200</t>
        </is>
      </c>
      <c r="B118" t="inlineStr">
        <is>
          <t>All data shall be delivered/deposited no later than 1730 at the end of the business day for specified due date. The contractor is considered delinquent when a Letter of Transmittal is not received ...</t>
        </is>
      </c>
      <c r="C118" t="inlineStr">
        <is>
          <t>Yes</t>
        </is>
      </c>
      <c r="D118" t="inlineStr">
        <is>
          <t>High</t>
        </is>
      </c>
      <c r="E118" t="inlineStr">
        <is>
          <t>Not Started</t>
        </is>
      </c>
    </row>
    <row r="119">
      <c r="A119" t="inlineStr">
        <is>
          <t>REQ-00201</t>
        </is>
      </c>
      <c r="B119" t="inlineStr">
        <is>
          <t>Management, administrative and product descriptive data shall be developed in a Government usable format. The contractor may not construe acceptance of a document by the Government as relief from c...</t>
        </is>
      </c>
      <c r="C119" t="inlineStr">
        <is>
          <t>Yes</t>
        </is>
      </c>
      <c r="D119" t="inlineStr">
        <is>
          <t>High</t>
        </is>
      </c>
      <c r="E119" t="inlineStr">
        <is>
          <t>Not Started</t>
        </is>
      </c>
    </row>
    <row r="120">
      <c r="A120" t="inlineStr">
        <is>
          <t>REQ-00202</t>
        </is>
      </c>
      <c r="B120" t="inlineStr">
        <is>
          <t>Updates and/or Changes to data items may require a complete reissuance of the data items in entirety, or change pages, when the use of the change pages does not affect the readability and understan...</t>
        </is>
      </c>
      <c r="C120" t="inlineStr">
        <is>
          <t>No</t>
        </is>
      </c>
      <c r="D120" t="inlineStr">
        <is>
          <t>High</t>
        </is>
      </c>
      <c r="E120" t="inlineStr">
        <is>
          <t>Not Started</t>
        </is>
      </c>
    </row>
    <row r="121">
      <c r="A121" t="inlineStr">
        <is>
          <t>REQ-00203</t>
        </is>
      </c>
      <c r="B121" t="inlineStr">
        <is>
          <t>COR: Contracting Officer's Representative</t>
        </is>
      </c>
      <c r="C121" t="inlineStr">
        <is>
          <t>No</t>
        </is>
      </c>
      <c r="D121" t="inlineStr">
        <is>
          <t>Medium</t>
        </is>
      </c>
      <c r="E121" t="inlineStr">
        <is>
          <t>Not Started</t>
        </is>
      </c>
    </row>
    <row r="122">
      <c r="A122" t="inlineStr">
        <is>
          <t>REQ-00204</t>
        </is>
      </c>
      <c r="B122" t="inlineStr">
        <is>
          <t>F: Reference to block 9, Distribution- Further dissemination only as directed by controlling office.</t>
        </is>
      </c>
      <c r="C122" t="inlineStr">
        <is>
          <t>No</t>
        </is>
      </c>
      <c r="D122" t="inlineStr">
        <is>
          <t>Medium</t>
        </is>
      </c>
      <c r="E122" t="inlineStr">
        <is>
          <t>Not Started</t>
        </is>
      </c>
    </row>
    <row r="123">
      <c r="A123" t="inlineStr">
        <is>
          <t>REQ-00205</t>
        </is>
      </c>
      <c r="B123" t="inlineStr">
        <is>
          <t>XTIME: Multiple Separate Submittals (i.e., 2 times, 3 times)</t>
        </is>
      </c>
      <c r="C123" t="inlineStr">
        <is>
          <t>No</t>
        </is>
      </c>
      <c r="D123" t="inlineStr">
        <is>
          <t>Medium</t>
        </is>
      </c>
      <c r="E123" t="inlineStr">
        <is>
          <t>Not Started</t>
        </is>
      </c>
    </row>
    <row r="124">
      <c r="A124" t="inlineStr">
        <is>
          <t>REQ-00206</t>
        </is>
      </c>
      <c r="B124" t="inlineStr">
        <is>
          <t>24/7 Network Operations Center Contractor:  TBD</t>
        </is>
      </c>
      <c r="C124" t="inlineStr">
        <is>
          <t>No</t>
        </is>
      </c>
      <c r="D124" t="inlineStr">
        <is>
          <t>Medium</t>
        </is>
      </c>
      <c r="E124" t="inlineStr">
        <is>
          <t>Not Started</t>
        </is>
      </c>
    </row>
    <row r="125">
      <c r="A125" t="inlineStr">
        <is>
          <t>REQ-00309</t>
        </is>
      </c>
      <c r="B125" t="inlineStr">
        <is>
          <t>(2)  For items that are serialized within the original part, lot, or batch number, the linking                     
together of the unique identifier data elements in order of the issuing agency co...</t>
        </is>
      </c>
      <c r="C125" t="inlineStr">
        <is>
          <t>No</t>
        </is>
      </c>
      <c r="D125" t="inlineStr">
        <is>
          <t>High</t>
        </is>
      </c>
      <c r="E125" t="inlineStr">
        <is>
          <t>Not Started</t>
        </is>
      </c>
    </row>
    <row r="126">
      <c r="A126" t="inlineStr">
        <is>
          <t>REQ-00316</t>
        </is>
      </c>
      <c r="B126" t="inlineStr">
        <is>
          <t>(1) The Contractor shall provide a unique item identifier for the following:</t>
        </is>
      </c>
      <c r="C126" t="inlineStr">
        <is>
          <t>Yes</t>
        </is>
      </c>
      <c r="D126" t="inlineStr">
        <is>
          <t>High</t>
        </is>
      </c>
      <c r="E126" t="inlineStr">
        <is>
          <t>Not Started</t>
        </is>
      </c>
    </row>
    <row r="127">
      <c r="A127" t="inlineStr">
        <is>
          <t>REQ-00319</t>
        </is>
      </c>
      <c r="B127" t="inlineStr">
        <is>
          <t>(2) The unique item identifier assignment and its component data element combination shall                 
not be duplicated on any other item marked or registered in the DoD Item Unique Identific...</t>
        </is>
      </c>
      <c r="C127" t="inlineStr">
        <is>
          <t>Yes</t>
        </is>
      </c>
      <c r="D127" t="inlineStr">
        <is>
          <t>High</t>
        </is>
      </c>
      <c r="E127" t="inlineStr">
        <is>
          <t>Not Started</t>
        </is>
      </c>
    </row>
    <row r="128">
      <c r="A128" t="inlineStr">
        <is>
          <t>REQ-00321</t>
        </is>
      </c>
      <c r="B128" t="inlineStr">
        <is>
          <t>(4) The Contractor shall ensure that-                
Data syntax and semantics of unique item identifiers.</t>
        </is>
      </c>
      <c r="C128" t="inlineStr">
        <is>
          <t>Yes</t>
        </is>
      </c>
      <c r="D128" t="inlineStr">
        <is>
          <t>High</t>
        </is>
      </c>
      <c r="E128" t="inlineStr">
        <is>
          <t>Not Started</t>
        </is>
      </c>
    </row>
    <row r="129">
      <c r="A129" t="inlineStr">
        <is>
          <t>REQ-00350</t>
        </is>
      </c>
      <c r="B129" t="inlineStr">
        <is>
          <t>(1) End items shall be reported using the receiving report capability in Wide Area WorkFlow                 
(WAWF) in accordance with the clause at 252.232-7003. If WAWF is not required by this co...</t>
        </is>
      </c>
      <c r="C129" t="inlineStr">
        <is>
          <t>Yes</t>
        </is>
      </c>
      <c r="D129" t="inlineStr">
        <is>
          <t>High</t>
        </is>
      </c>
      <c r="E129" t="inlineStr">
        <is>
          <t>Not Started</t>
        </is>
      </c>
    </row>
    <row r="130">
      <c r="A130" t="inlineStr">
        <is>
          <t>REQ-00351</t>
        </is>
      </c>
      <c r="B130" t="inlineStr">
        <is>
          <t>(2) Embedded items shall be reported by one of the following methods-</t>
        </is>
      </c>
      <c r="C130" t="inlineStr">
        <is>
          <t>Yes</t>
        </is>
      </c>
      <c r="D130" t="inlineStr">
        <is>
          <t>High</t>
        </is>
      </c>
      <c r="E130" t="inlineStr">
        <is>
          <t>Not Started</t>
        </is>
      </c>
    </row>
    <row r="131">
      <c r="A131" t="inlineStr">
        <is>
          <t>REQ-00363</t>
        </is>
      </c>
      <c r="B131" t="inlineStr">
        <is>
          <t>(c)  .  Unless the Offeror is the Canadian Commercial Corporation, the Offeror shall Subcontracts
insert the substance of this provision, including this paragraph (c), in all subcontracts exceeding...</t>
        </is>
      </c>
      <c r="C131" t="inlineStr">
        <is>
          <t>Yes</t>
        </is>
      </c>
      <c r="D131" t="inlineStr">
        <is>
          <t>High</t>
        </is>
      </c>
      <c r="E131" t="inlineStr">
        <is>
          <t>Not Started</t>
        </is>
      </c>
    </row>
    <row r="132">
      <c r="A132" t="inlineStr">
        <is>
          <t>REQ-00369</t>
        </is>
      </c>
      <c r="B132" t="inlineStr">
        <is>
          <t>(1) In lieu of submitting certified cost or pricing data, the Offeror may submit a written                 
request for exception by submitting the information described in paragraphs (b)(1)(i) and...</t>
        </is>
      </c>
      <c r="C132" t="inlineStr">
        <is>
          <t>No</t>
        </is>
      </c>
      <c r="D132" t="inlineStr">
        <is>
          <t>Medium</t>
        </is>
      </c>
      <c r="E132" t="inlineStr">
        <is>
          <t>Not Started</t>
        </is>
      </c>
    </row>
    <row r="133">
      <c r="A133" t="inlineStr">
        <is>
          <t>REQ-00374</t>
        </is>
      </c>
      <c r="B133" t="inlineStr">
        <is>
          <t>(c) . If the Offeror is not granted an exception from         
Requirements for certified cost or pricing data
the requirement to submit certified cost or pricing data, the following applies:</t>
        </is>
      </c>
      <c r="C133" t="inlineStr">
        <is>
          <t>No</t>
        </is>
      </c>
      <c r="D133" t="inlineStr">
        <is>
          <t>Medium</t>
        </is>
      </c>
      <c r="E133" t="inlineStr">
        <is>
          <t>Not Started</t>
        </is>
      </c>
    </row>
    <row r="134">
      <c r="A134" t="inlineStr">
        <is>
          <t>REQ-00381</t>
        </is>
      </c>
      <c r="B134" t="inlineStr">
        <is>
          <t>(2) In cases in which uncertified cost data is required, the information shall be provided in                 
the form in which it is regularly maintained by the Offeror or prospective subcontract...</t>
        </is>
      </c>
      <c r="C134" t="inlineStr">
        <is>
          <t>Yes</t>
        </is>
      </c>
      <c r="D134" t="inlineStr">
        <is>
          <t>High</t>
        </is>
      </c>
      <c r="E134" t="inlineStr">
        <is>
          <t>Not Started</t>
        </is>
      </c>
    </row>
    <row r="135">
      <c r="A135" t="inlineStr">
        <is>
          <t>REQ-00396</t>
        </is>
      </c>
      <c r="B135" t="inlineStr">
        <is>
          <t>(c) To access WAWF, the Contractor shall-        
WAWF access.</t>
        </is>
      </c>
      <c r="C135" t="inlineStr">
        <is>
          <t>Yes</t>
        </is>
      </c>
      <c r="D135" t="inlineStr">
        <is>
          <t>High</t>
        </is>
      </c>
      <c r="E135" t="inlineStr">
        <is>
          <t>Not Started</t>
        </is>
      </c>
    </row>
    <row r="136">
      <c r="A136" t="inlineStr">
        <is>
          <t>REQ-00402</t>
        </is>
      </c>
      <c r="B136" t="inlineStr">
        <is>
          <t>(1) The Contractor shall submit payment requests using the following                 Document type.  
document type(s):</t>
        </is>
      </c>
      <c r="C136" t="inlineStr">
        <is>
          <t>Yes</t>
        </is>
      </c>
      <c r="D136" t="inlineStr">
        <is>
          <t>High</t>
        </is>
      </c>
      <c r="E136" t="inlineStr">
        <is>
          <t>Not Started</t>
        </is>
      </c>
    </row>
    <row r="137">
      <c r="A137" t="inlineStr">
        <is>
          <t>REQ-00408</t>
        </is>
      </c>
      <c r="B137" t="inlineStr">
        <is>
          <t>(3) The Contractor shall use the information in the Routing Data Table                 Document routing.  
below only to fill in applicable fields in WAWF when creating payment requests and receivi...</t>
        </is>
      </c>
      <c r="C137" t="inlineStr">
        <is>
          <t>Yes</t>
        </is>
      </c>
      <c r="D137" t="inlineStr">
        <is>
          <t>High</t>
        </is>
      </c>
      <c r="E137" t="inlineStr">
        <is>
          <t>Not Started</t>
        </is>
      </c>
    </row>
    <row r="138">
      <c r="A138" t="inlineStr">
        <is>
          <t>REQ-00410</t>
        </is>
      </c>
      <c r="B138" t="inlineStr">
        <is>
          <t>(4) The Contractor shall ensure a payment request includes documentation                 Payment request.  
appropriate to the type of payment request in accordance with the payment clause, contrac...</t>
        </is>
      </c>
      <c r="C138" t="inlineStr">
        <is>
          <t>Yes</t>
        </is>
      </c>
      <c r="D138" t="inlineStr">
        <is>
          <t>High</t>
        </is>
      </c>
      <c r="E138" t="inlineStr">
        <is>
          <t>Not Started</t>
        </is>
      </c>
    </row>
    <row r="139">
      <c r="A139" t="inlineStr">
        <is>
          <t>REQ-00411</t>
        </is>
      </c>
      <c r="B139" t="inlineStr">
        <is>
          <t>(5) The Contractor shall ensure a receiving report meets the requirements                 Receiving report.  
of DFARS Appendix F.</t>
        </is>
      </c>
      <c r="C139" t="inlineStr">
        <is>
          <t>Yes</t>
        </is>
      </c>
      <c r="D139" t="inlineStr">
        <is>
          <t>High</t>
        </is>
      </c>
      <c r="E139" t="inlineStr">
        <is>
          <t>Not Started</t>
        </is>
      </c>
    </row>
    <row r="140">
      <c r="A140" t="inlineStr">
        <is>
          <t>REQ-00422</t>
        </is>
      </c>
      <c r="B140" t="inlineStr">
        <is>
          <t>(c) The Contractor agrees to perform this contract in such a manner that the Contractor's claim for         
special termination costs will not exceed $ . The Government shall have no obligation to...</t>
        </is>
      </c>
      <c r="C140" t="inlineStr">
        <is>
          <t>Yes</t>
        </is>
      </c>
      <c r="D140" t="inlineStr">
        <is>
          <t>High</t>
        </is>
      </c>
      <c r="E140" t="inlineStr">
        <is>
          <t>Not Started</t>
        </is>
      </c>
    </row>
    <row r="141">
      <c r="A141" t="inlineStr">
        <is>
          <t>REQ-00428</t>
        </is>
      </c>
      <c r="B141" t="inlineStr">
        <is>
          <t>(c)  A written notice of award or acceptance of an offer, mailed or otherwise furnished to the 
successful offeror within the time for acceptance specified in the offer, shall result in a binding c...</t>
        </is>
      </c>
      <c r="C141" t="inlineStr">
        <is>
          <t>Yes</t>
        </is>
      </c>
      <c r="D141" t="inlineStr">
        <is>
          <t>High</t>
        </is>
      </c>
      <c r="E141" t="inlineStr">
        <is>
          <t>Not Started</t>
        </is>
      </c>
    </row>
    <row r="142">
      <c r="A142" t="inlineStr">
        <is>
          <t>REQ-00474</t>
        </is>
      </c>
      <c r="B142" t="inlineStr">
        <is>
          <t>(c)  Offerors must complete the following representations when the resulting contract is for supplies to 
be delivered or services to be performed in the United States or its outlying areas, or whe...</t>
        </is>
      </c>
      <c r="C142" t="inlineStr">
        <is>
          <t>Yes</t>
        </is>
      </c>
      <c r="D142" t="inlineStr">
        <is>
          <t>High</t>
        </is>
      </c>
      <c r="E142" t="inlineStr">
        <is>
          <t>Not Started</t>
        </is>
      </c>
    </row>
    <row r="143">
      <c r="A143" t="inlineStr">
        <is>
          <t>REQ-00489</t>
        </is>
      </c>
      <c r="B143" t="inlineStr">
        <is>
          <t>(c). [  The offeror shall enter the name and unique entity identifier of each party to the joint venture: ____
.] Each HUBZone small business concern participating in the HUBZone joint venture shal...</t>
        </is>
      </c>
      <c r="C143" t="inlineStr">
        <is>
          <t>Yes</t>
        </is>
      </c>
      <c r="D143" t="inlineStr">
        <is>
          <t>High</t>
        </is>
      </c>
      <c r="E143" t="inlineStr">
        <is>
          <t>Not Started</t>
        </is>
      </c>
    </row>
    <row r="144">
      <c r="A144" t="inlineStr">
        <is>
          <t>REQ-00576</t>
        </is>
      </c>
      <c r="B144" t="inlineStr">
        <is>
          <t>(2) If the Government performs inspection or tests on the premises of the Contractor or a 
subcontractor, the Contractor shall furnish and shall require subcontractors to furnish all reasonable 
fa...</t>
        </is>
      </c>
      <c r="C144" t="inlineStr">
        <is>
          <t>Yes</t>
        </is>
      </c>
      <c r="D144" t="inlineStr">
        <is>
          <t>High</t>
        </is>
      </c>
      <c r="E144" t="inlineStr">
        <is>
          <t>Not Started</t>
        </is>
      </c>
    </row>
    <row r="145">
      <c r="A145" t="inlineStr">
        <is>
          <t>REQ-00578</t>
        </is>
      </c>
      <c r="B145" t="inlineStr">
        <is>
          <t>(4) At any time during contract performance, but not later than 6 months (or such other time as 
may be specified in the contract) after acceptance of the services or materials last delivered under...</t>
        </is>
      </c>
      <c r="C145" t="inlineStr">
        <is>
          <t>No</t>
        </is>
      </c>
      <c r="D145" t="inlineStr">
        <is>
          <t>High</t>
        </is>
      </c>
      <c r="E145" t="inlineStr">
        <is>
          <t>Not Started</t>
        </is>
      </c>
    </row>
    <row r="146">
      <c r="A146" t="inlineStr">
        <is>
          <t>REQ-00585</t>
        </is>
      </c>
      <c r="B146" t="inlineStr">
        <is>
          <t>(9) Unless otherwise specified in the contract, the Contractor's obligation to correct or replace 
Government-furnished property shall be governed by the clause pertaining to Government property.</t>
        </is>
      </c>
      <c r="C146" t="inlineStr">
        <is>
          <t>Yes</t>
        </is>
      </c>
      <c r="D146" t="inlineStr">
        <is>
          <t>High</t>
        </is>
      </c>
      <c r="E146" t="inlineStr">
        <is>
          <t>Not Started</t>
        </is>
      </c>
    </row>
    <row r="147">
      <c r="A147" t="inlineStr">
        <is>
          <t>REQ-00593</t>
        </is>
      </c>
      <c r="B147" t="inlineStr">
        <is>
          <t>(2) Makes these payments within 30 days of the submission of the Contractor's payment 
request to the Government and such payment is in accordance with the terms and conditions of the 
agreement or...</t>
        </is>
      </c>
      <c r="C147" t="inlineStr">
        <is>
          <t>No</t>
        </is>
      </c>
      <c r="D147" t="inlineStr">
        <is>
          <t>High</t>
        </is>
      </c>
      <c r="E147" t="inlineStr">
        <is>
          <t>Not Started</t>
        </is>
      </c>
    </row>
    <row r="148">
      <c r="A148" t="inlineStr">
        <is>
          <t>REQ-00596</t>
        </is>
      </c>
      <c r="B148" t="inlineStr">
        <is>
          <t>(1) . The Government will reimburse the Contractor on the basis of Other Direct Costs
actual cost for the following, provided such costs comply with the requirements in paragraph (i)(1)(ii)(B) 
of ...</t>
        </is>
      </c>
      <c r="C148" t="inlineStr">
        <is>
          <t>No</t>
        </is>
      </c>
      <c r="D148" t="inlineStr">
        <is>
          <t>High</t>
        </is>
      </c>
      <c r="E148" t="inlineStr">
        <is>
          <t>Not Started</t>
        </is>
      </c>
    </row>
    <row r="149">
      <c r="A149" t="inlineStr">
        <is>
          <t>REQ-00597</t>
        </is>
      </c>
      <c r="B149" t="inlineStr">
        <is>
          <t>(2) . The Indirect Costs (Material Handling, Subcontract Administration, etc.)
Government will reimburse the Contractor for indirect costs on a pro-rata basis over the period of 
contract performan...</t>
        </is>
      </c>
      <c r="C149" t="inlineStr">
        <is>
          <t>No</t>
        </is>
      </c>
      <c r="D149" t="inlineStr">
        <is>
          <t>High</t>
        </is>
      </c>
      <c r="E149" t="inlineStr">
        <is>
          <t>Not Started</t>
        </is>
      </c>
    </row>
    <row r="150">
      <c r="A150" t="inlineStr">
        <is>
          <t>REQ-00598</t>
        </is>
      </c>
      <c r="B150" t="inlineStr">
        <is>
          <t>(2) . It is estimated that the total cost to the Government for the performance of this Total cost
contract shall not exceed the ceiling price set forth in the Schedule and the Contractor agrees to...</t>
        </is>
      </c>
      <c r="C150" t="inlineStr">
        <is>
          <t>Yes</t>
        </is>
      </c>
      <c r="D150" t="inlineStr">
        <is>
          <t>High</t>
        </is>
      </c>
      <c r="E150" t="inlineStr">
        <is>
          <t>Not Started</t>
        </is>
      </c>
    </row>
    <row r="151">
      <c r="A151" t="inlineStr">
        <is>
          <t>REQ-00599</t>
        </is>
      </c>
      <c r="B151" t="inlineStr">
        <is>
          <t>(3) . The Government will not be obligated to pay the Contractor any amount in Ceiling price
excess of the ceiling price in the Schedule, and the Contractor shall not be obligated to continue 
perf...</t>
        </is>
      </c>
      <c r="C151" t="inlineStr">
        <is>
          <t>Yes</t>
        </is>
      </c>
      <c r="D151" t="inlineStr">
        <is>
          <t>High</t>
        </is>
      </c>
      <c r="E151" t="inlineStr">
        <is>
          <t>Not Started</t>
        </is>
      </c>
    </row>
    <row r="152">
      <c r="A152" t="inlineStr">
        <is>
          <t>REQ-00601</t>
        </is>
      </c>
      <c r="B152" t="inlineStr">
        <is>
          <t>(4) . At any time before final payment under this contract, the Contracting Access to records
Officer (or authorized representative) will have access to the following (access shall be limited to th...</t>
        </is>
      </c>
      <c r="C152" t="inlineStr">
        <is>
          <t>Yes</t>
        </is>
      </c>
      <c r="D152" t="inlineStr">
        <is>
          <t>High</t>
        </is>
      </c>
      <c r="E152" t="inlineStr">
        <is>
          <t>Not Started</t>
        </is>
      </c>
    </row>
    <row r="153">
      <c r="A153" t="inlineStr">
        <is>
          <t>REQ-00603</t>
        </is>
      </c>
      <c r="B153" t="inlineStr">
        <is>
          <t>(5)  Each payment previously made shall be subject to reduction Overpayments/Underpayments.
to the extent of amounts, on preceding invoices, that are found by the Contracting Officer not to have 
b...</t>
        </is>
      </c>
      <c r="C153" t="inlineStr">
        <is>
          <t>Yes</t>
        </is>
      </c>
      <c r="D153" t="inlineStr">
        <is>
          <t>High</t>
        </is>
      </c>
      <c r="E153" t="inlineStr">
        <is>
          <t>Not Started</t>
        </is>
      </c>
    </row>
    <row r="154">
      <c r="A154" t="inlineStr">
        <is>
          <t>REQ-00605</t>
        </is>
      </c>
      <c r="B154" t="inlineStr">
        <is>
          <t>(6)(i) All amounts that become payable by the Contractor to the Government under this contract 
shall bear simple interest from the date due until paid unless paid within 30 days of becoming due. T...</t>
        </is>
      </c>
      <c r="C154" t="inlineStr">
        <is>
          <t>Yes</t>
        </is>
      </c>
      <c r="D154" t="inlineStr">
        <is>
          <t>High</t>
        </is>
      </c>
      <c r="E154" t="inlineStr">
        <is>
          <t>Not Started</t>
        </is>
      </c>
    </row>
    <row r="155">
      <c r="A155" t="inlineStr">
        <is>
          <t>REQ-00607</t>
        </is>
      </c>
      <c r="B155" t="inlineStr">
        <is>
          <t>C. 7109, which is applicable to the period in which the amount becomes due, and then at the rate 
applicable for each six month period as established by the Secretary until the amount is paid.
(ii)...</t>
        </is>
      </c>
      <c r="C155" t="inlineStr">
        <is>
          <t>No</t>
        </is>
      </c>
      <c r="D155" t="inlineStr">
        <is>
          <t>High</t>
        </is>
      </c>
      <c r="E155" t="inlineStr">
        <is>
          <t>Not Started</t>
        </is>
      </c>
    </row>
    <row r="156">
      <c r="A156" t="inlineStr">
        <is>
          <t>REQ-00609</t>
        </is>
      </c>
      <c r="B156" t="inlineStr">
        <is>
          <t>(7) . The Contractor, and each assignee under an assignment entered into under this Release of claims
contract and in effect at the time of final payment under this contract, shall execute and deli...</t>
        </is>
      </c>
      <c r="C156" t="inlineStr">
        <is>
          <t>Yes</t>
        </is>
      </c>
      <c r="D156" t="inlineStr">
        <is>
          <t>High</t>
        </is>
      </c>
      <c r="E156" t="inlineStr">
        <is>
          <t>Not Started</t>
        </is>
      </c>
    </row>
    <row r="157">
      <c r="A157" t="inlineStr">
        <is>
          <t>REQ-00613</t>
        </is>
      </c>
      <c r="B157" t="inlineStr">
        <is>
          <t>(10) . In connection with any discount offered for early payment, time shall be computed Discount
from the date of the invoice. For the purpose of computing the discount earned, payment shall be 
c...</t>
        </is>
      </c>
      <c r="C157" t="inlineStr">
        <is>
          <t>Yes</t>
        </is>
      </c>
      <c r="D157" t="inlineStr">
        <is>
          <t>High</t>
        </is>
      </c>
      <c r="E157" t="inlineStr">
        <is>
          <t>Not Started</t>
        </is>
      </c>
    </row>
    <row r="158">
      <c r="A158" t="inlineStr">
        <is>
          <t>REQ-00694</t>
        </is>
      </c>
      <c r="B158" t="inlineStr">
        <is>
          <t>(c)  The Contractor shall comply with the FAR clauses in this paragraph (c), applicable to commercial 
services, that the Contracting Officer has indicated as being incorporated in this contract by...</t>
        </is>
      </c>
      <c r="C158" t="inlineStr">
        <is>
          <t>Yes</t>
        </is>
      </c>
      <c r="D158" t="inlineStr">
        <is>
          <t>High</t>
        </is>
      </c>
      <c r="E158" t="inlineStr">
        <is>
          <t>Not Started</t>
        </is>
      </c>
    </row>
    <row r="159">
      <c r="A159" t="inlineStr">
        <is>
          <t>REQ-00705</t>
        </is>
      </c>
      <c r="B159" t="inlineStr">
        <is>
          <t>(1) 
 The Comptroller General of the United States, or an authorized representative of the Comptroller 
General, shall have access to and right to examine any of the Contractor's directly pertinent...</t>
        </is>
      </c>
      <c r="C159" t="inlineStr">
        <is>
          <t>Yes</t>
        </is>
      </c>
      <c r="D159" t="inlineStr">
        <is>
          <t>High</t>
        </is>
      </c>
      <c r="E159" t="inlineStr">
        <is>
          <t>Not Started</t>
        </is>
      </c>
    </row>
    <row r="160">
      <c r="A160" t="inlineStr">
        <is>
          <t>REQ-00706</t>
        </is>
      </c>
      <c r="B160" t="inlineStr">
        <is>
          <t>(2)  The Contractor shall make available at its offices at all reasonable times the records, materials, 
and other evidence for examination, audit, or reproduction, until 3 years after final paymen...</t>
        </is>
      </c>
      <c r="C160" t="inlineStr">
        <is>
          <t>Yes</t>
        </is>
      </c>
      <c r="D160" t="inlineStr">
        <is>
          <t>High</t>
        </is>
      </c>
      <c r="E160" t="inlineStr">
        <is>
          <t>Not Started</t>
        </is>
      </c>
    </row>
    <row r="161">
      <c r="A161" t="inlineStr">
        <is>
          <t>REQ-00708</t>
        </is>
      </c>
      <c r="B161" t="inlineStr">
        <is>
          <t>(1)  Notwithstanding the requirements of the clauses in paragraphs (a), (b), (c), and (d) of this clause, 
the Contractor is not required to flow down any FAR clause, other than those in this parag...</t>
        </is>
      </c>
      <c r="C161" t="inlineStr">
        <is>
          <t>Yes</t>
        </is>
      </c>
      <c r="D161" t="inlineStr">
        <is>
          <t>High</t>
        </is>
      </c>
      <c r="E161" t="inlineStr">
        <is>
          <t>Not Started</t>
        </is>
      </c>
    </row>
    <row r="162">
      <c r="A162" t="inlineStr">
        <is>
          <t>REQ-00721</t>
        </is>
      </c>
      <c r="B162" t="inlineStr">
        <is>
          <t>52.217-6 Option for Increased Quantity. 1989-03
As prescribed in , insert a clause substantially the same as the following:17.208(d)
Option for Increased Quantity (MAR 1989)
The Government may incr...</t>
        </is>
      </c>
      <c r="C162" t="inlineStr">
        <is>
          <t>No</t>
        </is>
      </c>
      <c r="D162" t="inlineStr">
        <is>
          <t>High</t>
        </is>
      </c>
      <c r="E162" t="inlineStr">
        <is>
          <t>Not Started</t>
        </is>
      </c>
    </row>
    <row r="163">
      <c r="A163" t="inlineStr">
        <is>
          <t>REQ-00722</t>
        </is>
      </c>
      <c r="B163" t="inlineStr">
        <is>
          <t>52.217-7 Option for Increased Quantity-Separately Priced Line Item. 1989-03
As prescribed in , insert a clause substantially the same as the following:17.208(e)
Option for Increased Quantity-Separa...</t>
        </is>
      </c>
      <c r="C163" t="inlineStr">
        <is>
          <t>No</t>
        </is>
      </c>
      <c r="D163" t="inlineStr">
        <is>
          <t>High</t>
        </is>
      </c>
      <c r="E163" t="inlineStr">
        <is>
          <t>Not Started</t>
        </is>
      </c>
    </row>
    <row r="164">
      <c r="A164" t="inlineStr">
        <is>
          <t>REQ-00723</t>
        </is>
      </c>
      <c r="B164" t="inlineStr">
        <is>
          <t>52.217-9 Option to Extend the Term of the Contract. 2000-03
As prescribed in , insert a clause substantially the same as the following:17.208(g)
Option to Extend the Term of the Contract (MAR 2000)...</t>
        </is>
      </c>
      <c r="C164" t="inlineStr">
        <is>
          <t>No</t>
        </is>
      </c>
      <c r="D164" t="inlineStr">
        <is>
          <t>High</t>
        </is>
      </c>
      <c r="E164" t="inlineStr">
        <is>
          <t>Not Started</t>
        </is>
      </c>
    </row>
    <row r="165">
      <c r="A165" t="inlineStr">
        <is>
          <t>REQ-00727</t>
        </is>
      </c>
      <c r="B165" t="inlineStr">
        <is>
          <t>CRITICAL -- Critical comments are major deficiencies that will result in a non-concur.  Detailed rationale must be provided. Comment must be resolved before final approval.</t>
        </is>
      </c>
      <c r="C165" t="inlineStr">
        <is>
          <t>Yes</t>
        </is>
      </c>
      <c r="D165" t="inlineStr">
        <is>
          <t>High</t>
        </is>
      </c>
      <c r="E165" t="inlineStr">
        <is>
          <t>Not Started</t>
        </is>
      </c>
    </row>
    <row r="166">
      <c r="A166" t="inlineStr">
        <is>
          <t>REQ-00731</t>
        </is>
      </c>
      <c r="B166" t="inlineStr">
        <is>
          <t>WOMEN-OWNED SMALL 
BUSINESS (WOSB)
SOLICITATION/CONTRACT/ORDER FOR COMMERCIAL PRODUCTS AND COMMERCIAL SERVICES</t>
        </is>
      </c>
      <c r="C166" t="inlineStr">
        <is>
          <t>No</t>
        </is>
      </c>
      <c r="D166" t="inlineStr">
        <is>
          <t>Medium</t>
        </is>
      </c>
      <c r="E166" t="inlineStr">
        <is>
          <t>Not Started</t>
        </is>
      </c>
    </row>
    <row r="167">
      <c r="A167" t="inlineStr">
        <is>
          <t>REQ-00732</t>
        </is>
      </c>
      <c r="B167" t="inlineStr">
        <is>
          <t>4. ORDER NUMBER 5. SOLICITATION NUMBER 6. SOLICITATION ISSUE 
DATE</t>
        </is>
      </c>
      <c r="C167" t="inlineStr">
        <is>
          <t>No</t>
        </is>
      </c>
      <c r="D167" t="inlineStr">
        <is>
          <t>Medium</t>
        </is>
      </c>
      <c r="E167" t="inlineStr">
        <is>
          <t>Not Started</t>
        </is>
      </c>
    </row>
    <row r="168">
      <c r="A168" t="inlineStr">
        <is>
          <t>REQ-00733</t>
        </is>
      </c>
      <c r="B168" t="inlineStr">
        <is>
          <t>7. FOR SOLICITATION
INFORMATION CALL:
a. NAME b. TELEPHONE NUMBER (No collect
calls)</t>
        </is>
      </c>
      <c r="C168" t="inlineStr">
        <is>
          <t>No</t>
        </is>
      </c>
      <c r="D168" t="inlineStr">
        <is>
          <t>Medium</t>
        </is>
      </c>
      <c r="E168" t="inlineStr">
        <is>
          <t>Not Started</t>
        </is>
      </c>
    </row>
    <row r="169">
      <c r="A169" t="inlineStr">
        <is>
          <t>REQ-00734</t>
        </is>
      </c>
      <c r="B169" t="inlineStr">
        <is>
          <t>15. DELIVER TO 16. ADMINISTERED BY CODE
18a. PAYMENT WILL BE MADE BY CODE17a. CONTRACTOR/ 
        OFFEROR
CODEFACILITY 
CODE
CODE
TELEPHONE NUMBER
17b. CHECK IF REMITTANCE IS DIFFERENT AND PUT SUC...</t>
        </is>
      </c>
      <c r="C169" t="inlineStr">
        <is>
          <t>No</t>
        </is>
      </c>
      <c r="D169" t="inlineStr">
        <is>
          <t>Medium</t>
        </is>
      </c>
      <c r="E169" t="inlineStr">
        <is>
          <t>Not Started</t>
        </is>
      </c>
    </row>
    <row r="170">
      <c r="A170" t="inlineStr">
        <is>
          <t>REQ-00735</t>
        </is>
      </c>
      <c r="B170" t="inlineStr">
        <is>
          <t>24. 
AMOUNT
(Use Reverse and/or Attach Additional Sheets as Necessary)</t>
        </is>
      </c>
      <c r="C170" t="inlineStr">
        <is>
          <t>No</t>
        </is>
      </c>
      <c r="D170" t="inlineStr">
        <is>
          <t>Medium</t>
        </is>
      </c>
      <c r="E170" t="inlineStr">
        <is>
          <t>Not Started</t>
        </is>
      </c>
    </row>
    <row r="171">
      <c r="A171" t="inlineStr">
        <is>
          <t>REQ-00736</t>
        </is>
      </c>
      <c r="B171" t="inlineStr">
        <is>
          <t>25. ACCOUNTING AND APPROPRIATION DATA 26. TOTAL AWARD AMOUNT (For Government Use Only)</t>
        </is>
      </c>
      <c r="C171" t="inlineStr">
        <is>
          <t>No</t>
        </is>
      </c>
      <c r="D171" t="inlineStr">
        <is>
          <t>Medium</t>
        </is>
      </c>
      <c r="E171" t="inlineStr">
        <is>
          <t>Not Started</t>
        </is>
      </c>
    </row>
    <row r="172">
      <c r="A172" t="inlineStr">
        <is>
          <t>REQ-00737</t>
        </is>
      </c>
      <c r="B172" t="inlineStr">
        <is>
          <t>28. CONTRACTOR IS REQUIRED TO SIGN THIS DOCUMENT AND RETURN 
COPIES TO ISSUING OFFICE.  CONTRACTOR AGREES TO FURNISH
AND DELIVER ALL ITEMS SET FORTH OR OTHERWISE IDENTIFIED ABOVE AND 
ON ANY ADDITI...</t>
        </is>
      </c>
      <c r="C172" t="inlineStr">
        <is>
          <t>Yes</t>
        </is>
      </c>
      <c r="D172" t="inlineStr">
        <is>
          <t>High</t>
        </is>
      </c>
      <c r="E172" t="inlineStr">
        <is>
          <t>Not Started</t>
        </is>
      </c>
    </row>
    <row r="173">
      <c r="A173" t="inlineStr">
        <is>
          <t>REQ-00738</t>
        </is>
      </c>
      <c r="B173" t="inlineStr">
        <is>
          <t>10. THIS ACQUISITION IS UNRESTRICTED OR
NORTH AMERICAN 
INDUSTRY CLASSIFICATION 
STANDARD (NAICS):
SIZE STANDARD:
13a. THIS CONTRACT IS A 
        RATED ORDER UNDER 
        THE DEFENSE PRIORITIES ...</t>
        </is>
      </c>
      <c r="C173" t="inlineStr">
        <is>
          <t>No</t>
        </is>
      </c>
      <c r="D173" t="inlineStr">
        <is>
          <t>Medium</t>
        </is>
      </c>
      <c r="E173" t="inlineStr">
        <is>
          <t>Not Started</t>
        </is>
      </c>
    </row>
    <row r="174">
      <c r="A174" t="inlineStr">
        <is>
          <t>REQ-00739</t>
        </is>
      </c>
      <c r="B174" t="inlineStr">
        <is>
          <t>11. DELIVERY FOR FREE ON 
BOARD (FOB) DESTINATION
UNLESS BLOCK IS MARKED 
SEE  SCHEDULE</t>
        </is>
      </c>
      <c r="C174" t="inlineStr">
        <is>
          <t>No</t>
        </is>
      </c>
      <c r="D174" t="inlineStr">
        <is>
          <t>Medium</t>
        </is>
      </c>
      <c r="E174" t="inlineStr">
        <is>
          <t>Not Started</t>
        </is>
      </c>
    </row>
    <row r="175">
      <c r="A175" t="inlineStr">
        <is>
          <t>REQ-00740</t>
        </is>
      </c>
      <c r="B175" t="inlineStr">
        <is>
          <t>12. DISCOUNT TERMS
ARE ARE NOT ATTACHED
ARE ARE NOT ATTACHED
27a. SOLICITATION INCORPORATES BY REFERENCE (FEDERAL ACQUISITION REGULATION) FAR 52.212-1, 52.212-4.  FAR 52.212-3 
        AND 52.212-5...</t>
        </is>
      </c>
      <c r="C175" t="inlineStr">
        <is>
          <t>No</t>
        </is>
      </c>
      <c r="D175" t="inlineStr">
        <is>
          <t>Medium</t>
        </is>
      </c>
      <c r="E175" t="inlineStr">
        <is>
          <t>Not Started</t>
        </is>
      </c>
    </row>
    <row r="176">
      <c r="A176" t="inlineStr">
        <is>
          <t>REQ-00741</t>
        </is>
      </c>
      <c r="B176" t="inlineStr">
        <is>
          <t>Solicitation/Contract Form
24/7 Network Operations Center 
Product Service Code: 7H20 
Date: 07 Oct 2024 
FA880625RB003
Page 2 of 15
DRAFT</t>
        </is>
      </c>
      <c r="C176" t="inlineStr">
        <is>
          <t>No</t>
        </is>
      </c>
      <c r="D176" t="inlineStr">
        <is>
          <t>Medium</t>
        </is>
      </c>
      <c r="E176" t="inlineStr">
        <is>
          <t>Not Started</t>
        </is>
      </c>
    </row>
    <row r="177">
      <c r="A177" t="inlineStr">
        <is>
          <t>REQ-00742</t>
        </is>
      </c>
      <c r="B177" t="inlineStr">
        <is>
          <t>Supplies or Services &amp; Prices or Costs
 Additional Information/Notes
Item Supplies / Services Quantity Unit Unit Price Amount
0001
Delivery of 24/7 NOC support
Commercial and Government Entity (CAG...</t>
        </is>
      </c>
      <c r="C177" t="inlineStr">
        <is>
          <t>No</t>
        </is>
      </c>
      <c r="D177" t="inlineStr">
        <is>
          <t>High</t>
        </is>
      </c>
      <c r="E177" t="inlineStr">
        <is>
          <t>Not Started</t>
        </is>
      </c>
    </row>
    <row r="178">
      <c r="A178" t="inlineStr">
        <is>
          <t>REQ-00743</t>
        </is>
      </c>
      <c r="B178" t="inlineStr">
        <is>
          <t>0.1% in response to all task order
solicitations as indicated by OASIS
Ordering Guide for the U.S. Air
Force. Contractors shall bill for
CAF on every invoice as a separate
Commercial and Government...</t>
        </is>
      </c>
      <c r="C178" t="inlineStr">
        <is>
          <t>Yes</t>
        </is>
      </c>
      <c r="D178" t="inlineStr">
        <is>
          <t>High</t>
        </is>
      </c>
      <c r="E178" t="inlineStr">
        <is>
          <t>Not Started</t>
        </is>
      </c>
    </row>
    <row r="179">
      <c r="A179" t="inlineStr">
        <is>
          <t>REQ-00744</t>
        </is>
      </c>
      <c r="B179" t="inlineStr">
        <is>
          <t>Description/Specifications/Statement of Work
 Requirements
The Space C2 Program Office will provide customer support by establishing a 24 hours-a-day, 7-days a week 
(24/7) Network Operations Cente...</t>
        </is>
      </c>
      <c r="C179" t="inlineStr">
        <is>
          <t>No</t>
        </is>
      </c>
      <c r="D179" t="inlineStr">
        <is>
          <t>Medium</t>
        </is>
      </c>
      <c r="E179" t="inlineStr">
        <is>
          <t>Not Started</t>
        </is>
      </c>
    </row>
    <row r="180">
      <c r="A180" t="inlineStr">
        <is>
          <t>REQ-00745</t>
        </is>
      </c>
      <c r="B180" t="inlineStr">
        <is>
          <t>Packaging and Marking
Inspection and Acceptance
Overall Contract Inspection/Acceptance Locations 
0001
Inspection and Acceptance Location
Both
Destination
Instructions: Please include the PCO in an...</t>
        </is>
      </c>
      <c r="C180" t="inlineStr">
        <is>
          <t>No</t>
        </is>
      </c>
      <c r="D180" t="inlineStr">
        <is>
          <t>Medium</t>
        </is>
      </c>
      <c r="E180" t="inlineStr">
        <is>
          <t>Not Started</t>
        </is>
      </c>
    </row>
    <row r="181">
      <c r="A181" t="inlineStr">
        <is>
          <t>REQ-00746</t>
        </is>
      </c>
      <c r="B181" t="inlineStr">
        <is>
          <t>Deliveries or Performance
Delivery On Or Before 
Contractor 
Destination 
Line Item Delivery Schedule Quantity Address and POC Special Handling/Notes
0001
Delivery On Or Before
Delivery Date 08 May...</t>
        </is>
      </c>
      <c r="C181" t="inlineStr">
        <is>
          <t>No</t>
        </is>
      </c>
      <c r="D181" t="inlineStr">
        <is>
          <t>Low</t>
        </is>
      </c>
      <c r="E181" t="inlineStr">
        <is>
          <t>Not Started</t>
        </is>
      </c>
    </row>
    <row r="182">
      <c r="A182" t="inlineStr">
        <is>
          <t>REQ-00747</t>
        </is>
      </c>
      <c r="B182" t="inlineStr">
        <is>
          <t>Contract Administration Data
Special Contract Requirements
Contract Clauses
Supplemental Clauses Incorporated by Reference
Number Title Effective 
Date
Alternate/
Deviation
Variation
Effective
Date</t>
        </is>
      </c>
      <c r="C182" t="inlineStr">
        <is>
          <t>No</t>
        </is>
      </c>
      <c r="D182" t="inlineStr">
        <is>
          <t>Medium</t>
        </is>
      </c>
      <c r="E182" t="inlineStr">
        <is>
          <t>Not Started</t>
        </is>
      </c>
    </row>
    <row r="183">
      <c r="A183" t="inlineStr">
        <is>
          <t>REQ-00748</t>
        </is>
      </c>
      <c r="B183" t="inlineStr">
        <is>
          <t>5352.204-9002 Security Incident Reporting and Procedures Jun 2024
Supplemental Clauses Incorporated by Full Text</t>
        </is>
      </c>
      <c r="C183" t="inlineStr">
        <is>
          <t>No</t>
        </is>
      </c>
      <c r="D183" t="inlineStr">
        <is>
          <t>Medium</t>
        </is>
      </c>
      <c r="E183" t="inlineStr">
        <is>
          <t>Not Started</t>
        </is>
      </c>
    </row>
    <row r="184">
      <c r="A184" t="inlineStr">
        <is>
          <t>REQ-00749</t>
        </is>
      </c>
      <c r="B184" t="inlineStr">
        <is>
          <t>(a) An ombudsman has been appointed to hear and facilitate the resolution of concerns from offerors, potential offerors, and others for this 
acquisition. When requested, the ombudsman will maintai...</t>
        </is>
      </c>
      <c r="C184" t="inlineStr">
        <is>
          <t>No</t>
        </is>
      </c>
      <c r="D184" t="inlineStr">
        <is>
          <t>Low</t>
        </is>
      </c>
      <c r="E184" t="inlineStr">
        <is>
          <t>Not Started</t>
        </is>
      </c>
    </row>
    <row r="185">
      <c r="A185" t="inlineStr">
        <is>
          <t>REQ-00750</t>
        </is>
      </c>
      <c r="B185" t="inlineStr">
        <is>
          <t>(b) Before consulting with an ombudsman, interested parties must first address their concerns, issues, disagreements, and/or recommendations to the 
contracting officer for resolution. Consulting a...</t>
        </is>
      </c>
      <c r="C185" t="inlineStr">
        <is>
          <t>Yes</t>
        </is>
      </c>
      <c r="D185" t="inlineStr">
        <is>
          <t>High</t>
        </is>
      </c>
      <c r="E185" t="inlineStr">
        <is>
          <t>Not Started</t>
        </is>
      </c>
    </row>
    <row r="186">
      <c r="A186" t="inlineStr">
        <is>
          <t>REQ-00751</t>
        </is>
      </c>
      <c r="B186" t="inlineStr">
        <is>
          <t>(c) If resolution cannot be made by the contracting officer, the interested party may contact the ombudsman, &lt;&gt;. Concerns, issues, disagreements, and 
recommendations that cannot be resolved at the...</t>
        </is>
      </c>
      <c r="C186" t="inlineStr">
        <is>
          <t>No</t>
        </is>
      </c>
      <c r="D186" t="inlineStr">
        <is>
          <t>Low</t>
        </is>
      </c>
      <c r="E186" t="inlineStr">
        <is>
          <t>Not Started</t>
        </is>
      </c>
    </row>
    <row r="187">
      <c r="A187" t="inlineStr">
        <is>
          <t>REQ-00752</t>
        </is>
      </c>
      <c r="B187" t="inlineStr">
        <is>
          <t>(d) The ombudsman has no authority to render a decision that binds the agency.</t>
        </is>
      </c>
      <c r="C187" t="inlineStr">
        <is>
          <t>No</t>
        </is>
      </c>
      <c r="D187" t="inlineStr">
        <is>
          <t>Medium</t>
        </is>
      </c>
      <c r="E187" t="inlineStr">
        <is>
          <t>Not Started</t>
        </is>
      </c>
    </row>
    <row r="188">
      <c r="A188" t="inlineStr">
        <is>
          <t>REQ-00753</t>
        </is>
      </c>
      <c r="B188" t="inlineStr">
        <is>
          <t>(e) Do not contact the ombudsman to request copies of the solicitation, verify offer due date, or clarify technical requirements. Such inquiries shall be 
directed to the contracting officer.
(End ...</t>
        </is>
      </c>
      <c r="C188" t="inlineStr">
        <is>
          <t>Yes</t>
        </is>
      </c>
      <c r="D188" t="inlineStr">
        <is>
          <t>High</t>
        </is>
      </c>
      <c r="E188" t="inlineStr">
        <is>
          <t>Not Started</t>
        </is>
      </c>
    </row>
    <row r="189">
      <c r="A189" t="inlineStr">
        <is>
          <t>REQ-00754</t>
        </is>
      </c>
      <c r="B189" t="inlineStr">
        <is>
          <t>5352.204-9000 Notification of Government Security Activity and Visitor Group Security Agreements (Jul 2023)
This contract contains a DD Form 254, DOD Contract Security Classification Specification,...</t>
        </is>
      </c>
      <c r="C189" t="inlineStr">
        <is>
          <t>No</t>
        </is>
      </c>
      <c r="D189" t="inlineStr">
        <is>
          <t>Medium</t>
        </is>
      </c>
      <c r="E189" t="inlineStr">
        <is>
          <t>Not Started</t>
        </is>
      </c>
    </row>
    <row r="190">
      <c r="A190" t="inlineStr">
        <is>
          <t>REQ-00755</t>
        </is>
      </c>
      <c r="B190" t="inlineStr">
        <is>
          <t>U.S. or overseas. Prior to beginning operations involving classified information on an installation identified on the DD Form 254, the contractor shall 
take the following actions:</t>
        </is>
      </c>
      <c r="C190" t="inlineStr">
        <is>
          <t>Yes</t>
        </is>
      </c>
      <c r="D190" t="inlineStr">
        <is>
          <t>High</t>
        </is>
      </c>
      <c r="E190" t="inlineStr">
        <is>
          <t>Not Started</t>
        </is>
      </c>
    </row>
    <row r="191">
      <c r="A191" t="inlineStr">
        <is>
          <t>REQ-00756</t>
        </is>
      </c>
      <c r="B191" t="inlineStr">
        <is>
          <t>(a) At least thirty days prior to beginning operations, notify the Information Protection Office shown in the distribution block of the DD Form 254 as 
to:</t>
        </is>
      </c>
      <c r="C191" t="inlineStr">
        <is>
          <t>No</t>
        </is>
      </c>
      <c r="D191" t="inlineStr">
        <is>
          <t>Medium</t>
        </is>
      </c>
      <c r="E191" t="inlineStr">
        <is>
          <t>Not Started</t>
        </is>
      </c>
    </row>
    <row r="192">
      <c r="A192" t="inlineStr">
        <is>
          <t>REQ-00757</t>
        </is>
      </c>
      <c r="B192" t="inlineStr">
        <is>
          <t>(1) The name, address, and telephone number of this contract company's representative and designated alternate in the U.S. or overseas area, as 
appropriate;</t>
        </is>
      </c>
      <c r="C192" t="inlineStr">
        <is>
          <t>No</t>
        </is>
      </c>
      <c r="D192" t="inlineStr">
        <is>
          <t>Medium</t>
        </is>
      </c>
      <c r="E192" t="inlineStr">
        <is>
          <t>Not Started</t>
        </is>
      </c>
    </row>
    <row r="193">
      <c r="A193" t="inlineStr">
        <is>
          <t>REQ-00758</t>
        </is>
      </c>
      <c r="B193" t="inlineStr">
        <is>
          <t>(2) The contract number and military contracting command;</t>
        </is>
      </c>
      <c r="C193" t="inlineStr">
        <is>
          <t>No</t>
        </is>
      </c>
      <c r="D193" t="inlineStr">
        <is>
          <t>Medium</t>
        </is>
      </c>
      <c r="E193" t="inlineStr">
        <is>
          <t>Not Started</t>
        </is>
      </c>
    </row>
    <row r="194">
      <c r="A194" t="inlineStr">
        <is>
          <t>REQ-00759</t>
        </is>
      </c>
      <c r="B194" t="inlineStr">
        <is>
          <t>(3) The highest classification category of defense information to which contractor employees will have access;</t>
        </is>
      </c>
      <c r="C194" t="inlineStr">
        <is>
          <t>No</t>
        </is>
      </c>
      <c r="D194" t="inlineStr">
        <is>
          <t>Medium</t>
        </is>
      </c>
      <c r="E194" t="inlineStr">
        <is>
          <t>Not Started</t>
        </is>
      </c>
    </row>
    <row r="195">
      <c r="A195" t="inlineStr">
        <is>
          <t>REQ-00760</t>
        </is>
      </c>
      <c r="B195" t="inlineStr">
        <is>
          <t>(4) The Air Force installations in the U.S. (in overseas areas, identify only the APO number(s)) where the contract work will be performed;</t>
        </is>
      </c>
      <c r="C195" t="inlineStr">
        <is>
          <t>No</t>
        </is>
      </c>
      <c r="D195" t="inlineStr">
        <is>
          <t>Medium</t>
        </is>
      </c>
      <c r="E195" t="inlineStr">
        <is>
          <t>Not Started</t>
        </is>
      </c>
    </row>
    <row r="196">
      <c r="A196" t="inlineStr">
        <is>
          <t>REQ-00761</t>
        </is>
      </c>
      <c r="B196" t="inlineStr">
        <is>
          <t>(5) The date contractor operations will begin on base in the U.S. or in the overseas area;</t>
        </is>
      </c>
      <c r="C196" t="inlineStr">
        <is>
          <t>No</t>
        </is>
      </c>
      <c r="D196" t="inlineStr">
        <is>
          <t>Medium</t>
        </is>
      </c>
      <c r="E196" t="inlineStr">
        <is>
          <t>Not Started</t>
        </is>
      </c>
    </row>
    <row r="197">
      <c r="A197" t="inlineStr">
        <is>
          <t>REQ-00762</t>
        </is>
      </c>
      <c r="B197" t="inlineStr">
        <is>
          <t>(6) The estimated completion date of operations on base in the U.S. or in the overseas area; and,</t>
        </is>
      </c>
      <c r="C197" t="inlineStr">
        <is>
          <t>No</t>
        </is>
      </c>
      <c r="D197" t="inlineStr">
        <is>
          <t>Medium</t>
        </is>
      </c>
      <c r="E197" t="inlineStr">
        <is>
          <t>Not Started</t>
        </is>
      </c>
    </row>
    <row r="198">
      <c r="A198" t="inlineStr">
        <is>
          <t>REQ-00763</t>
        </is>
      </c>
      <c r="B198" t="inlineStr">
        <is>
          <t>(7) Any changes to information previously provided under this clause.
(End of clause)
FA880625RB003
Page 7 of 15
DRAFT</t>
        </is>
      </c>
      <c r="C198" t="inlineStr">
        <is>
          <t>No</t>
        </is>
      </c>
      <c r="D198" t="inlineStr">
        <is>
          <t>Medium</t>
        </is>
      </c>
      <c r="E198" t="inlineStr">
        <is>
          <t>Not Started</t>
        </is>
      </c>
    </row>
    <row r="199">
      <c r="A199" t="inlineStr">
        <is>
          <t>REQ-00764</t>
        </is>
      </c>
      <c r="B199" t="inlineStr">
        <is>
          <t>5352.209-9000 Organizational Conflict of Interest (Alternate III) (Jul 2023) Alternate III (Jul 2023)</t>
        </is>
      </c>
      <c r="C199" t="inlineStr">
        <is>
          <t>No</t>
        </is>
      </c>
      <c r="D199" t="inlineStr">
        <is>
          <t>Medium</t>
        </is>
      </c>
      <c r="E199" t="inlineStr">
        <is>
          <t>Not Started</t>
        </is>
      </c>
    </row>
    <row r="200">
      <c r="A200" t="inlineStr">
        <is>
          <t>REQ-00765</t>
        </is>
      </c>
      <c r="B200" t="inlineStr">
        <is>
          <t>(a) The following restrictions and definitions apply to prevent conflicting roles which may bias the Contractor's judgment or objectivity, or to 
preclude the Contractor from obtaining an unfair co...</t>
        </is>
      </c>
      <c r="C200" t="inlineStr">
        <is>
          <t>No</t>
        </is>
      </c>
      <c r="D200" t="inlineStr">
        <is>
          <t>Low</t>
        </is>
      </c>
      <c r="E200" t="inlineStr">
        <is>
          <t>Not Started</t>
        </is>
      </c>
    </row>
    <row r="201">
      <c r="A201" t="inlineStr">
        <is>
          <t>REQ-00766</t>
        </is>
      </c>
      <c r="B201" t="inlineStr">
        <is>
          <t>(1) Descriptions or definitions:
""Contractor"" means the business entity receiving the award of this contract, its parents, affiliates, divisions and subsidiaries.
""Development"" means all effort...</t>
        </is>
      </c>
      <c r="C201" t="inlineStr">
        <is>
          <t>No</t>
        </is>
      </c>
      <c r="D201" t="inlineStr">
        <is>
          <t>Low</t>
        </is>
      </c>
      <c r="E201" t="inlineStr">
        <is>
          <t>Not Started</t>
        </is>
      </c>
    </row>
    <row r="202">
      <c r="A202" t="inlineStr">
        <is>
          <t>REQ-00767</t>
        </is>
      </c>
      <c r="B202" t="inlineStr">
        <is>
          <t>(2) Restrictions: The Contractor shall perform systems engineering and/or technical direction, but will not have overall contractual responsibility for 
the system's development, integration, assem...</t>
        </is>
      </c>
      <c r="C202" t="inlineStr">
        <is>
          <t>Yes</t>
        </is>
      </c>
      <c r="D202" t="inlineStr">
        <is>
          <t>High</t>
        </is>
      </c>
      <c r="E202" t="inlineStr">
        <is>
          <t>Not Started</t>
        </is>
      </c>
    </row>
    <row r="203">
      <c r="A203" t="inlineStr">
        <is>
          <t>REQ-00768</t>
        </is>
      </c>
      <c r="B203" t="inlineStr">
        <is>
          <t>(b) The Contractor may gain access to proprietary information of other companies during contract performance. The Contractor agrees to enter into 
company-to-company agreements to: (1) protect anot...</t>
        </is>
      </c>
      <c r="C203" t="inlineStr">
        <is>
          <t>No</t>
        </is>
      </c>
      <c r="D203" t="inlineStr">
        <is>
          <t>High</t>
        </is>
      </c>
      <c r="E203" t="inlineStr">
        <is>
          <t>Not Started</t>
        </is>
      </c>
    </row>
    <row r="204">
      <c r="A204" t="inlineStr">
        <is>
          <t>REQ-00769</t>
        </is>
      </c>
      <c r="B204" t="inlineStr">
        <is>
          <t>5352.209-9000 Organizational Conflict of Interest (Alternate IV) (Jul 2023) Alternate IV (Jul 2023)</t>
        </is>
      </c>
      <c r="C204" t="inlineStr">
        <is>
          <t>No</t>
        </is>
      </c>
      <c r="D204" t="inlineStr">
        <is>
          <t>Medium</t>
        </is>
      </c>
      <c r="E204" t="inlineStr">
        <is>
          <t>Not Started</t>
        </is>
      </c>
    </row>
    <row r="205">
      <c r="A205" t="inlineStr">
        <is>
          <t>REQ-00770</t>
        </is>
      </c>
      <c r="B205" t="inlineStr">
        <is>
          <t>(2) Restrictions: The Contractor shall perform systems engineering and/or technical direction, but will not have overall contractual responsibility for 
the system's development, integration, assem...</t>
        </is>
      </c>
      <c r="C205" t="inlineStr">
        <is>
          <t>Yes</t>
        </is>
      </c>
      <c r="D205" t="inlineStr">
        <is>
          <t>High</t>
        </is>
      </c>
      <c r="E205" t="inlineStr">
        <is>
          <t>Not Started</t>
        </is>
      </c>
    </row>
    <row r="206">
      <c r="A206" t="inlineStr">
        <is>
          <t>REQ-00771</t>
        </is>
      </c>
      <c r="B206" t="inlineStr">
        <is>
          <t>judgment and recommendations must be objective, impartial, and independent. To avoid the prospect of the Contractor's judgment or 
recommendations being influenced by its own products or capabiliti...</t>
        </is>
      </c>
      <c r="C206" t="inlineStr">
        <is>
          <t>Yes</t>
        </is>
      </c>
      <c r="D206" t="inlineStr">
        <is>
          <t>High</t>
        </is>
      </c>
      <c r="E206" t="inlineStr">
        <is>
          <t>Not Started</t>
        </is>
      </c>
    </row>
    <row r="207">
      <c r="A207" t="inlineStr">
        <is>
          <t>REQ-00772</t>
        </is>
      </c>
      <c r="B207" t="inlineStr">
        <is>
          <t>(b) The Contractor agrees to accept and to complete all issued task orders, and not to contract with Government prime Contractors or first-tier 
subcontractors in such a way as to create an organiz...</t>
        </is>
      </c>
      <c r="C207" t="inlineStr">
        <is>
          <t>No</t>
        </is>
      </c>
      <c r="D207" t="inlineStr">
        <is>
          <t>Medium</t>
        </is>
      </c>
      <c r="E207" t="inlineStr">
        <is>
          <t>Not Started</t>
        </is>
      </c>
    </row>
    <row r="208">
      <c r="A208" t="inlineStr">
        <is>
          <t>REQ-00773</t>
        </is>
      </c>
      <c r="B208" t="inlineStr">
        <is>
          <t>5352.209-9000 Organizational Conflict of Interest (Alternate II) (Jul 2023) Alternate II (Jul 2023)</t>
        </is>
      </c>
      <c r="C208" t="inlineStr">
        <is>
          <t>No</t>
        </is>
      </c>
      <c r="D208" t="inlineStr">
        <is>
          <t>Medium</t>
        </is>
      </c>
      <c r="E208" t="inlineStr">
        <is>
          <t>Not Started</t>
        </is>
      </c>
    </row>
    <row r="209">
      <c r="A209" t="inlineStr">
        <is>
          <t>REQ-00774</t>
        </is>
      </c>
      <c r="B209" t="inlineStr">
        <is>
          <t>(2) The Contractor shall participate in the technical evaluation of other Contractors' proposals or products. To ensure objectivity, the Contractor is 
precluded from award of any supply or service...</t>
        </is>
      </c>
      <c r="C209" t="inlineStr">
        <is>
          <t>Yes</t>
        </is>
      </c>
      <c r="D209" t="inlineStr">
        <is>
          <t>High</t>
        </is>
      </c>
      <c r="E209" t="inlineStr">
        <is>
          <t>Not Started</t>
        </is>
      </c>
    </row>
    <row r="210">
      <c r="A210" t="inlineStr">
        <is>
          <t>REQ-00775</t>
        </is>
      </c>
      <c r="B210" t="inlineStr">
        <is>
          <t>5352.209-9000 Organizational Conflict of Interest (Jul 2023)</t>
        </is>
      </c>
      <c r="C210" t="inlineStr">
        <is>
          <t>No</t>
        </is>
      </c>
      <c r="D210" t="inlineStr">
        <is>
          <t>Medium</t>
        </is>
      </c>
      <c r="E210" t="inlineStr">
        <is>
          <t>Not Started</t>
        </is>
      </c>
    </row>
    <row r="211">
      <c r="A211" t="inlineStr">
        <is>
          <t>REQ-00776</t>
        </is>
      </c>
      <c r="B211" t="inlineStr">
        <is>
          <t>(2) Restrictions: The Contractor shall perform systems engineering and/or technical direction, but will not have overall contractual responsibility for 
the system's development, integration, assem...</t>
        </is>
      </c>
      <c r="C211" t="inlineStr">
        <is>
          <t>Yes</t>
        </is>
      </c>
      <c r="D211" t="inlineStr">
        <is>
          <t>High</t>
        </is>
      </c>
      <c r="E211" t="inlineStr">
        <is>
          <t>Not Started</t>
        </is>
      </c>
    </row>
    <row r="212">
      <c r="A212" t="inlineStr">
        <is>
          <t>REQ-00777</t>
        </is>
      </c>
      <c r="B212" t="inlineStr">
        <is>
          <t>judgment and recommendations must be objective, impartial, and independent. To avoid the prospect of the Contractor's judgment or 
recommendations being influenced by its own products or capabiliti...</t>
        </is>
      </c>
      <c r="C212" t="inlineStr">
        <is>
          <t>Yes</t>
        </is>
      </c>
      <c r="D212" t="inlineStr">
        <is>
          <t>High</t>
        </is>
      </c>
      <c r="E212" t="inlineStr">
        <is>
          <t>Not Started</t>
        </is>
      </c>
    </row>
    <row r="213">
      <c r="A213" t="inlineStr">
        <is>
          <t>REQ-00778</t>
        </is>
      </c>
      <c r="B213" t="inlineStr">
        <is>
          <t>5352.209-9000 Organizational Conflict of Interest (Alternate V) (Jul 2023) Alternate V (Jul 2023)</t>
        </is>
      </c>
      <c r="C213" t="inlineStr">
        <is>
          <t>No</t>
        </is>
      </c>
      <c r="D213" t="inlineStr">
        <is>
          <t>Medium</t>
        </is>
      </c>
      <c r="E213" t="inlineStr">
        <is>
          <t>Not Started</t>
        </is>
      </c>
    </row>
    <row r="214">
      <c r="A214" t="inlineStr">
        <is>
          <t>REQ-00779</t>
        </is>
      </c>
      <c r="B214" t="inlineStr">
        <is>
          <t>(b) The Contractor agrees to accept and to complete issued delivery orders, provided that no new organizational 
conflicts of interest are created by the acceptance of that order. The contracting o...</t>
        </is>
      </c>
      <c r="C214" t="inlineStr">
        <is>
          <t>No</t>
        </is>
      </c>
      <c r="D214" t="inlineStr">
        <is>
          <t>High</t>
        </is>
      </c>
      <c r="E214" t="inlineStr">
        <is>
          <t>Not Started</t>
        </is>
      </c>
    </row>
    <row r="215">
      <c r="A215" t="inlineStr">
        <is>
          <t>REQ-00780</t>
        </is>
      </c>
      <c r="B215" t="inlineStr">
        <is>
          <t>5352.223-9000 Elimination of Use of Class I Ozone Depleting Substances (ODS) (Jun 2024)
FA880625RB003
Page 10 of 15
DRAFT</t>
        </is>
      </c>
      <c r="C215" t="inlineStr">
        <is>
          <t>No</t>
        </is>
      </c>
      <c r="D215" t="inlineStr">
        <is>
          <t>Medium</t>
        </is>
      </c>
      <c r="E215" t="inlineStr">
        <is>
          <t>Not Started</t>
        </is>
      </c>
    </row>
    <row r="216">
      <c r="A216" t="inlineStr">
        <is>
          <t>REQ-00781</t>
        </is>
      </c>
      <c r="B216" t="inlineStr">
        <is>
          <t>(1) Provide any service or product with any specification, standard, drawing, or other document that requires the use of a Class I ODS in the test, 
operation, or maintenance of any system, subsyst...</t>
        </is>
      </c>
      <c r="C216" t="inlineStr">
        <is>
          <t>No</t>
        </is>
      </c>
      <c r="D216" t="inlineStr">
        <is>
          <t>Medium</t>
        </is>
      </c>
      <c r="E216" t="inlineStr">
        <is>
          <t>Not Started</t>
        </is>
      </c>
    </row>
    <row r="217">
      <c r="A217" t="inlineStr">
        <is>
          <t>REQ-00782</t>
        </is>
      </c>
      <c r="B217" t="inlineStr">
        <is>
          <t>(2) Provide any specification, standard, drawing, or other document that establishes a test, operation, or maintenance requirement that can only be met 
by use of a Class I ODS as part of this cont...</t>
        </is>
      </c>
      <c r="C217" t="inlineStr">
        <is>
          <t>No</t>
        </is>
      </c>
      <c r="D217" t="inlineStr">
        <is>
          <t>Low</t>
        </is>
      </c>
      <c r="E217" t="inlineStr">
        <is>
          <t>Not Started</t>
        </is>
      </c>
    </row>
    <row r="218">
      <c r="A218" t="inlineStr">
        <is>
          <t>REQ-00783</t>
        </is>
      </c>
      <c r="B218" t="inlineStr">
        <is>
          <t>(b) For the purposes of Department of the Air Force policy, the following products that are pure (i.e., they meet the relevant product specification 
identified in AFI 32-7086) are Class I ODSs:</t>
        </is>
      </c>
      <c r="C218" t="inlineStr">
        <is>
          <t>No</t>
        </is>
      </c>
      <c r="D218" t="inlineStr">
        <is>
          <t>Medium</t>
        </is>
      </c>
      <c r="E218" t="inlineStr">
        <is>
          <t>Not Started</t>
        </is>
      </c>
    </row>
    <row r="219">
      <c r="A219" t="inlineStr">
        <is>
          <t>REQ-00785</t>
        </is>
      </c>
      <c r="B219" t="inlineStr">
        <is>
          <t>(2) Chlorofluorocarbons (CFCs): CFC-11, CFC-12, CFC-13, CFC-111, CFC-112, CFC-113, CFC-114, CFC-115, CFC-211, CFC-212, CFC-213, 
CFC-214, CFC-215, CFC-216, and CFC-217, and the blends R-500, R-501,...</t>
        </is>
      </c>
      <c r="C219" t="inlineStr">
        <is>
          <t>No</t>
        </is>
      </c>
      <c r="D219" t="inlineStr">
        <is>
          <t>Medium</t>
        </is>
      </c>
      <c r="E219" t="inlineStr">
        <is>
          <t>Not Started</t>
        </is>
      </c>
    </row>
    <row r="220">
      <c r="A220" t="inlineStr">
        <is>
          <t>REQ-00786</t>
        </is>
      </c>
      <c r="B220" t="inlineStr">
        <is>
          <t>(3) Carbon Tetrachloride, Methyl Chloroform, and Methyl Bromide.
[NOTE: Material that uses one or more of these Class I ODSs as minor constituents do not meet the Department of the Air Force defini...</t>
        </is>
      </c>
      <c r="C220" t="inlineStr">
        <is>
          <t>No</t>
        </is>
      </c>
      <c r="D220" t="inlineStr">
        <is>
          <t>Medium</t>
        </is>
      </c>
      <c r="E220" t="inlineStr">
        <is>
          <t>Not Started</t>
        </is>
      </c>
    </row>
    <row r="221">
      <c r="A221" t="inlineStr">
        <is>
          <t>REQ-00787</t>
        </is>
      </c>
      <c r="B221" t="inlineStr">
        <is>
          <t>5352.223-9001 Health and Safety on Government Installations (Jul 2023)</t>
        </is>
      </c>
      <c r="C221" t="inlineStr">
        <is>
          <t>No</t>
        </is>
      </c>
      <c r="D221" t="inlineStr">
        <is>
          <t>Medium</t>
        </is>
      </c>
      <c r="E221" t="inlineStr">
        <is>
          <t>Not Started</t>
        </is>
      </c>
    </row>
    <row r="222">
      <c r="A222" t="inlineStr">
        <is>
          <t>REQ-00788</t>
        </is>
      </c>
      <c r="B222" t="inlineStr">
        <is>
          <t>(a) In performing work under this contract on a Government installation, the contractor shall:</t>
        </is>
      </c>
      <c r="C222" t="inlineStr">
        <is>
          <t>Yes</t>
        </is>
      </c>
      <c r="D222" t="inlineStr">
        <is>
          <t>High</t>
        </is>
      </c>
      <c r="E222" t="inlineStr">
        <is>
          <t>Not Started</t>
        </is>
      </c>
    </row>
    <row r="223">
      <c r="A223" t="inlineStr">
        <is>
          <t>REQ-00789</t>
        </is>
      </c>
      <c r="B223" t="inlineStr">
        <is>
          <t>(1) Take all reasonable steps and precautions to prevent accidents and preserve the health and safety of contractor and Government personnel 
performing or in any way coming in contact with the per...</t>
        </is>
      </c>
      <c r="C223" t="inlineStr">
        <is>
          <t>No</t>
        </is>
      </c>
      <c r="D223" t="inlineStr">
        <is>
          <t>Medium</t>
        </is>
      </c>
      <c r="E223" t="inlineStr">
        <is>
          <t>Not Started</t>
        </is>
      </c>
    </row>
    <row r="224">
      <c r="A224" t="inlineStr">
        <is>
          <t>REQ-00790</t>
        </is>
      </c>
      <c r="B224" t="inlineStr">
        <is>
          <t>(2) Take such additional immediate precautions as the contracting officer may reasonably require for health and safety purposes.</t>
        </is>
      </c>
      <c r="C224" t="inlineStr">
        <is>
          <t>No</t>
        </is>
      </c>
      <c r="D224" t="inlineStr">
        <is>
          <t>Low</t>
        </is>
      </c>
      <c r="E224" t="inlineStr">
        <is>
          <t>Not Started</t>
        </is>
      </c>
    </row>
    <row r="225">
      <c r="A225" t="inlineStr">
        <is>
          <t>REQ-00791</t>
        </is>
      </c>
      <c r="B225" t="inlineStr">
        <is>
          <t>(b) The contracting officer may, by written order, direct Air Force Occupational Safety and Health (AFOSH) Standards and/or health/safety standards 
as may be required in the performance of this co...</t>
        </is>
      </c>
      <c r="C225" t="inlineStr">
        <is>
          <t>Yes</t>
        </is>
      </c>
      <c r="D225" t="inlineStr">
        <is>
          <t>Low</t>
        </is>
      </c>
      <c r="E225" t="inlineStr">
        <is>
          <t>Not Started</t>
        </is>
      </c>
    </row>
    <row r="226">
      <c r="A226" t="inlineStr">
        <is>
          <t>REQ-00792</t>
        </is>
      </c>
      <c r="B226" t="inlineStr">
        <is>
          <t>(c) Any violation of these health and safety rules and requirements, unless promptly corrected as directed by the contracting officer, shall be grounds 
for termination of this contract in accordan...</t>
        </is>
      </c>
      <c r="C226" t="inlineStr">
        <is>
          <t>Yes</t>
        </is>
      </c>
      <c r="D226" t="inlineStr">
        <is>
          <t>High</t>
        </is>
      </c>
      <c r="E226" t="inlineStr">
        <is>
          <t>Not Started</t>
        </is>
      </c>
    </row>
    <row r="227">
      <c r="A227" t="inlineStr">
        <is>
          <t>REQ-00793</t>
        </is>
      </c>
      <c r="B227" t="inlineStr">
        <is>
          <t>5352.242-9000 Contractor Access to Air Force Installations (Jun 2024)</t>
        </is>
      </c>
      <c r="C227" t="inlineStr">
        <is>
          <t>No</t>
        </is>
      </c>
      <c r="D227" t="inlineStr">
        <is>
          <t>Medium</t>
        </is>
      </c>
      <c r="E227" t="inlineStr">
        <is>
          <t>Not Started</t>
        </is>
      </c>
    </row>
    <row r="228">
      <c r="A228" t="inlineStr">
        <is>
          <t>REQ-00794</t>
        </is>
      </c>
      <c r="B228" t="inlineStr">
        <is>
          <t>(a) The contractor shall obtain base identification and vehicle passes, if required, for all contractor personnel who make frequent visits to or perform 
work on the Department of the Air Force ins...</t>
        </is>
      </c>
      <c r="C228" t="inlineStr">
        <is>
          <t>Yes</t>
        </is>
      </c>
      <c r="D228" t="inlineStr">
        <is>
          <t>High</t>
        </is>
      </c>
      <c r="E228" t="inlineStr">
        <is>
          <t>Not Started</t>
        </is>
      </c>
    </row>
    <row r="229">
      <c r="A229" t="inlineStr">
        <is>
          <t>REQ-00795</t>
        </is>
      </c>
      <c r="B229" t="inlineStr">
        <is>
          <t>(b) The contractor shall submit a written request on company letterhead to the contracting officer listing the following: contract number, location of 
work site, start and stop dates, and names of...</t>
        </is>
      </c>
      <c r="C229" t="inlineStr">
        <is>
          <t>Yes</t>
        </is>
      </c>
      <c r="D229" t="inlineStr">
        <is>
          <t>High</t>
        </is>
      </c>
      <c r="E229" t="inlineStr">
        <is>
          <t>Not Started</t>
        </is>
      </c>
    </row>
    <row r="230">
      <c r="A230" t="inlineStr">
        <is>
          <t>REQ-00796</t>
        </is>
      </c>
      <c r="B230" t="inlineStr">
        <is>
          <t>(c) During performance of the contract, the contractor shall be responsible for obtaining required identification for newly assigned personnel and for 
prompt return of credentials and vehicle pass...</t>
        </is>
      </c>
      <c r="C230" t="inlineStr">
        <is>
          <t>Yes</t>
        </is>
      </c>
      <c r="D230" t="inlineStr">
        <is>
          <t>High</t>
        </is>
      </c>
      <c r="E230" t="inlineStr">
        <is>
          <t>Not Started</t>
        </is>
      </c>
    </row>
    <row r="231">
      <c r="A231" t="inlineStr">
        <is>
          <t>REQ-00797</t>
        </is>
      </c>
      <c r="B231" t="inlineStr">
        <is>
          <t>(d) When work under this contract requires unescorted entry to controlled or restricted areas, the contractor shall comply with  citing the &lt;&lt;2&gt;&gt; 
appropriate paragraphs as applicable.</t>
        </is>
      </c>
      <c r="C231" t="inlineStr">
        <is>
          <t>Yes</t>
        </is>
      </c>
      <c r="D231" t="inlineStr">
        <is>
          <t>High</t>
        </is>
      </c>
      <c r="E231" t="inlineStr">
        <is>
          <t>Not Started</t>
        </is>
      </c>
    </row>
    <row r="232">
      <c r="A232" t="inlineStr">
        <is>
          <t>REQ-00798</t>
        </is>
      </c>
      <c r="B232" t="inlineStr">
        <is>
          <t>(e) Upon completion or termination of the contract or expiration of the identification passes, the prime contractor shall ensure that all base 
identification passes issued to employees and subcont...</t>
        </is>
      </c>
      <c r="C232" t="inlineStr">
        <is>
          <t>Yes</t>
        </is>
      </c>
      <c r="D232" t="inlineStr">
        <is>
          <t>High</t>
        </is>
      </c>
      <c r="E232" t="inlineStr">
        <is>
          <t>Not Started</t>
        </is>
      </c>
    </row>
    <row r="233">
      <c r="A233" t="inlineStr">
        <is>
          <t>REQ-00799</t>
        </is>
      </c>
      <c r="B233" t="inlineStr">
        <is>
          <t>(f) The contractor shall provide an after-hours contact number or after-hours email in the Emergency Mass Notification System (EMNS) for each of 
their personnel, whose normal place of duty is on a...</t>
        </is>
      </c>
      <c r="C233" t="inlineStr">
        <is>
          <t>Yes</t>
        </is>
      </c>
      <c r="D233" t="inlineStr">
        <is>
          <t>High</t>
        </is>
      </c>
      <c r="E233" t="inlineStr">
        <is>
          <t>Not Started</t>
        </is>
      </c>
    </row>
    <row r="234">
      <c r="A234" t="inlineStr">
        <is>
          <t>REQ-00800</t>
        </is>
      </c>
      <c r="B234" t="inlineStr">
        <is>
          <t>requirements in DAFMAN 10-206 for emergency operational reporting. Foreign Nationals may participate and may remove themselves from the 
Emergency Mass Notification System at any time. To update in...</t>
        </is>
      </c>
      <c r="C234" t="inlineStr">
        <is>
          <t>No</t>
        </is>
      </c>
      <c r="D234" t="inlineStr">
        <is>
          <t>Low</t>
        </is>
      </c>
      <c r="E234" t="inlineStr">
        <is>
          <t>Not Started</t>
        </is>
      </c>
    </row>
    <row r="235">
      <c r="A235" t="inlineStr">
        <is>
          <t>REQ-00801</t>
        </is>
      </c>
      <c r="B235" t="inlineStr">
        <is>
          <t>5352.242-9001 Common Access Cards (CAC) for Contractor Personnel (Jul 2023)</t>
        </is>
      </c>
      <c r="C235" t="inlineStr">
        <is>
          <t>No</t>
        </is>
      </c>
      <c r="D235" t="inlineStr">
        <is>
          <t>Medium</t>
        </is>
      </c>
      <c r="E235" t="inlineStr">
        <is>
          <t>Not Started</t>
        </is>
      </c>
    </row>
    <row r="236">
      <c r="A236" t="inlineStr">
        <is>
          <t>REQ-00802</t>
        </is>
      </c>
      <c r="B236" t="inlineStr">
        <is>
          <t>(a) For installation(s)/location(s) cited in the contract, contractors shall ensure Common Access Cards (CACs) are obtained by all contract or 
subcontract personnel who meet one or both of the fol...</t>
        </is>
      </c>
      <c r="C236" t="inlineStr">
        <is>
          <t>Yes</t>
        </is>
      </c>
      <c r="D236" t="inlineStr">
        <is>
          <t>High</t>
        </is>
      </c>
      <c r="E236" t="inlineStr">
        <is>
          <t>Not Started</t>
        </is>
      </c>
    </row>
    <row r="237">
      <c r="A237" t="inlineStr">
        <is>
          <t>REQ-00803</t>
        </is>
      </c>
      <c r="B237" t="inlineStr">
        <is>
          <t>(1) Require logical access to Department of Defense computer networks and systems in either:</t>
        </is>
      </c>
      <c r="C237" t="inlineStr">
        <is>
          <t>No</t>
        </is>
      </c>
      <c r="D237" t="inlineStr">
        <is>
          <t>Medium</t>
        </is>
      </c>
      <c r="E237" t="inlineStr">
        <is>
          <t>Not Started</t>
        </is>
      </c>
    </row>
    <row r="238">
      <c r="A238" t="inlineStr">
        <is>
          <t>REQ-00804</t>
        </is>
      </c>
      <c r="B238" t="inlineStr">
        <is>
          <t>(i) the unclassified environment; or
(ii) the classified environment where authorized by governing security directives.</t>
        </is>
      </c>
      <c r="C238" t="inlineStr">
        <is>
          <t>No</t>
        </is>
      </c>
      <c r="D238" t="inlineStr">
        <is>
          <t>Medium</t>
        </is>
      </c>
      <c r="E238" t="inlineStr">
        <is>
          <t>Not Started</t>
        </is>
      </c>
    </row>
    <row r="239">
      <c r="A239" t="inlineStr">
        <is>
          <t>REQ-00805</t>
        </is>
      </c>
      <c r="B239" t="inlineStr">
        <is>
          <t>(2) Perform work, which requires the use of a CAC for installation entry control or physical access to facilities and buildings.</t>
        </is>
      </c>
      <c r="C239" t="inlineStr">
        <is>
          <t>No</t>
        </is>
      </c>
      <c r="D239" t="inlineStr">
        <is>
          <t>Medium</t>
        </is>
      </c>
      <c r="E239" t="inlineStr">
        <is>
          <t>Not Started</t>
        </is>
      </c>
    </row>
    <row r="240">
      <c r="A240" t="inlineStr">
        <is>
          <t>REQ-00806</t>
        </is>
      </c>
      <c r="B240" t="inlineStr">
        <is>
          <t>(b) Contractors and their personnel shall use the following procedures to obtain CACs:</t>
        </is>
      </c>
      <c r="C240" t="inlineStr">
        <is>
          <t>Yes</t>
        </is>
      </c>
      <c r="D240" t="inlineStr">
        <is>
          <t>High</t>
        </is>
      </c>
      <c r="E240" t="inlineStr">
        <is>
          <t>Not Started</t>
        </is>
      </c>
    </row>
    <row r="241">
      <c r="A241" t="inlineStr">
        <is>
          <t>REQ-00807</t>
        </is>
      </c>
      <c r="B241" t="inlineStr">
        <is>
          <t>(1) Contractors shall provide a listing of personnel who require a CAC to the contracting officer. The government will provide the contractor 
instruction on how to complete the Contractor Verifica...</t>
        </is>
      </c>
      <c r="C241" t="inlineStr">
        <is>
          <t>Yes</t>
        </is>
      </c>
      <c r="D241" t="inlineStr">
        <is>
          <t>High</t>
        </is>
      </c>
      <c r="E241" t="inlineStr">
        <is>
          <t>Not Started</t>
        </is>
      </c>
    </row>
    <row r="242">
      <c r="A242" t="inlineStr">
        <is>
          <t>REQ-00808</t>
        </is>
      </c>
      <c r="B242" t="inlineStr">
        <is>
          <t>(2) Contractor personnel shall obtain a CAC from the nearest Real Time Automated Personnel Identification Documentation System (RAPIDS) 
Issuing Facility (typically the local Military Personnel Fli...</t>
        </is>
      </c>
      <c r="C242" t="inlineStr">
        <is>
          <t>Yes</t>
        </is>
      </c>
      <c r="D242" t="inlineStr">
        <is>
          <t>High</t>
        </is>
      </c>
      <c r="E242" t="inlineStr">
        <is>
          <t>Not Started</t>
        </is>
      </c>
    </row>
    <row r="243">
      <c r="A243" t="inlineStr">
        <is>
          <t>REQ-00809</t>
        </is>
      </c>
      <c r="B243" t="inlineStr">
        <is>
          <t>(c) While visiting or performing work on installation(s)/location(s), contractor personnel shall wear or prominently display the CAC as required by 
the governing local policy.</t>
        </is>
      </c>
      <c r="C243" t="inlineStr">
        <is>
          <t>Yes</t>
        </is>
      </c>
      <c r="D243" t="inlineStr">
        <is>
          <t>High</t>
        </is>
      </c>
      <c r="E243" t="inlineStr">
        <is>
          <t>Not Started</t>
        </is>
      </c>
    </row>
    <row r="244">
      <c r="A244" t="inlineStr">
        <is>
          <t>REQ-00810</t>
        </is>
      </c>
      <c r="B244" t="inlineStr">
        <is>
          <t>(d) During the performance period of the contract, the contractor shall:</t>
        </is>
      </c>
      <c r="C244" t="inlineStr">
        <is>
          <t>Yes</t>
        </is>
      </c>
      <c r="D244" t="inlineStr">
        <is>
          <t>High</t>
        </is>
      </c>
      <c r="E244" t="inlineStr">
        <is>
          <t>Not Started</t>
        </is>
      </c>
    </row>
    <row r="245">
      <c r="A245" t="inlineStr">
        <is>
          <t>REQ-00811</t>
        </is>
      </c>
      <c r="B245" t="inlineStr">
        <is>
          <t>(1) Within 7 working days of any changes to the listing of the contract personnel authorized a CAC, provide an updated listing to the contracting 
officer who will provide the updated listing to th...</t>
        </is>
      </c>
      <c r="C245" t="inlineStr">
        <is>
          <t>No</t>
        </is>
      </c>
      <c r="D245" t="inlineStr">
        <is>
          <t>Medium</t>
        </is>
      </c>
      <c r="E245" t="inlineStr">
        <is>
          <t>Not Started</t>
        </is>
      </c>
    </row>
    <row r="246">
      <c r="A246" t="inlineStr">
        <is>
          <t>REQ-00812</t>
        </is>
      </c>
      <c r="B246" t="inlineStr">
        <is>
          <t>(2) Return CACs in accordance with local policy/directives within 7 working days of a change in status for contractor personnel who no longer 
require logical or physical access;</t>
        </is>
      </c>
      <c r="C246" t="inlineStr">
        <is>
          <t>No</t>
        </is>
      </c>
      <c r="D246" t="inlineStr">
        <is>
          <t>Medium</t>
        </is>
      </c>
      <c r="E246" t="inlineStr">
        <is>
          <t>Not Started</t>
        </is>
      </c>
    </row>
    <row r="247">
      <c r="A247" t="inlineStr">
        <is>
          <t>REQ-00813</t>
        </is>
      </c>
      <c r="B247" t="inlineStr">
        <is>
          <t>(3) Return CACs in accordance with local policy/directives within 7 working days following a CACs expiration date; and</t>
        </is>
      </c>
      <c r="C247" t="inlineStr">
        <is>
          <t>No</t>
        </is>
      </c>
      <c r="D247" t="inlineStr">
        <is>
          <t>Medium</t>
        </is>
      </c>
      <c r="E247" t="inlineStr">
        <is>
          <t>Not Started</t>
        </is>
      </c>
    </row>
    <row r="248">
      <c r="A248" t="inlineStr">
        <is>
          <t>REQ-00814</t>
        </is>
      </c>
      <c r="B248" t="inlineStr">
        <is>
          <t>(4) Report lost or stolen CACs in accordance with local policy/directives.</t>
        </is>
      </c>
      <c r="C248" t="inlineStr">
        <is>
          <t>No</t>
        </is>
      </c>
      <c r="D248" t="inlineStr">
        <is>
          <t>Medium</t>
        </is>
      </c>
      <c r="E248" t="inlineStr">
        <is>
          <t>Not Started</t>
        </is>
      </c>
    </row>
    <row r="249">
      <c r="A249" t="inlineStr">
        <is>
          <t>REQ-00815</t>
        </is>
      </c>
      <c r="B249" t="inlineStr">
        <is>
          <t>(e) Within 7 working days following completion/termination of the contract, the contractor shall return all CACs issued to their personnel to the 
issuing office or the location specified by local ...</t>
        </is>
      </c>
      <c r="C249" t="inlineStr">
        <is>
          <t>Yes</t>
        </is>
      </c>
      <c r="D249" t="inlineStr">
        <is>
          <t>High</t>
        </is>
      </c>
      <c r="E249" t="inlineStr">
        <is>
          <t>Not Started</t>
        </is>
      </c>
    </row>
    <row r="250">
      <c r="A250" t="inlineStr">
        <is>
          <t>REQ-00816</t>
        </is>
      </c>
      <c r="B250" t="inlineStr">
        <is>
          <t>(f) Failure to comply with these requirements may result in withholding of final payment.
(End of clause)
FA880625RB003
Page 12 of 15
DRAFT</t>
        </is>
      </c>
      <c r="C250" t="inlineStr">
        <is>
          <t>No</t>
        </is>
      </c>
      <c r="D250" t="inlineStr">
        <is>
          <t>Low</t>
        </is>
      </c>
      <c r="E250" t="inlineStr">
        <is>
          <t>Not Started</t>
        </is>
      </c>
    </row>
    <row r="251">
      <c r="A251" t="inlineStr">
        <is>
          <t>REQ-00817</t>
        </is>
      </c>
      <c r="B251" t="inlineStr">
        <is>
          <t>List of Attachments
Number Attachment 
Name Attachment Description Reference 
Identifier Date Line 
Item
01
Attachment 1. 
Stament Of 
Work
Statement of Work 09 Oct 
2024
02
Attachment 2. 
Placemen...</t>
        </is>
      </c>
      <c r="C251" t="inlineStr">
        <is>
          <t>No</t>
        </is>
      </c>
      <c r="D251" t="inlineStr">
        <is>
          <t>Medium</t>
        </is>
      </c>
      <c r="E251" t="inlineStr">
        <is>
          <t>Not Started</t>
        </is>
      </c>
    </row>
    <row r="252">
      <c r="A252" t="inlineStr">
        <is>
          <t>REQ-00818</t>
        </is>
      </c>
      <c r="B252" t="inlineStr">
        <is>
          <t>Representations, Certification, &amp; Other Statements
Instructions, Conditions, &amp; Notices to Offerors or Quoters
See Attachment 2 Placement Procedures.
FA880625RB003
Page 14 of 15
DRAFT</t>
        </is>
      </c>
      <c r="C252" t="inlineStr">
        <is>
          <t>No</t>
        </is>
      </c>
      <c r="D252" t="inlineStr">
        <is>
          <t>Medium</t>
        </is>
      </c>
      <c r="E252" t="inlineStr">
        <is>
          <t>Not Started</t>
        </is>
      </c>
    </row>
    <row r="253">
      <c r="A253" t="inlineStr">
        <is>
          <t>REQ-00819</t>
        </is>
      </c>
      <c r="B253" t="inlineStr">
        <is>
          <t>Evaluation Factors for Award
See Attachment 2 Placement Procedures.
FA880625RB003
Page 15 of 15
DRAFT</t>
        </is>
      </c>
      <c r="C253" t="inlineStr">
        <is>
          <t>No</t>
        </is>
      </c>
      <c r="D253" t="inlineStr">
        <is>
          <t>Medium</t>
        </is>
      </c>
      <c r="E253" t="inlineStr">
        <is>
          <t>Not Started</t>
        </is>
      </c>
    </row>
    <row r="254">
      <c r="A254" t="inlineStr">
        <is>
          <t>REQ-00821</t>
        </is>
      </c>
      <c r="B254" t="inlineStr">
        <is>
          <t>The environment agnostic and each environment tab should include columns for each application team being supported in the KM Baseline Description and each platform team being proposed</t>
        </is>
      </c>
      <c r="C254" t="inlineStr">
        <is>
          <t>No</t>
        </is>
      </c>
      <c r="D254" t="inlineStr">
        <is>
          <t>Medium</t>
        </is>
      </c>
      <c r="E254" t="inlineStr">
        <is>
          <t>Not Started</t>
        </is>
      </c>
    </row>
    <row r="255">
      <c r="A255" t="inlineStr">
        <is>
          <t>REQ-00822</t>
        </is>
      </c>
      <c r="B255" t="inlineStr">
        <is>
          <t>Supply Payments shall not exceed once per month. |  |  |  |  |  |  |  |  |  |  |  |</t>
        </is>
      </c>
      <c r="C255" t="inlineStr">
        <is>
          <t>Yes</t>
        </is>
      </c>
      <c r="D255" t="inlineStr">
        <is>
          <t>High</t>
        </is>
      </c>
      <c r="E255" t="inlineStr">
        <is>
          <t>Not Started</t>
        </is>
      </c>
    </row>
    <row r="256">
      <c r="A256" t="inlineStr">
        <is>
          <t>REQ-00824</t>
        </is>
      </c>
      <c r="B256">
        <f>== Sheet: CLIN Breakdown ===
** This is meant to be a guide and not prescriptive, but it should include the total costs to delivery the supply in this Delivery Order
** Vendor should modify to inc...</f>
        <v/>
      </c>
      <c r="C256" t="inlineStr">
        <is>
          <t>No</t>
        </is>
      </c>
      <c r="D256" t="inlineStr">
        <is>
          <t>Medium</t>
        </is>
      </c>
      <c r="E256" t="inlineStr">
        <is>
          <t>Not Started</t>
        </is>
      </c>
    </row>
    <row r="257">
      <c r="A257" t="inlineStr">
        <is>
          <t>REQ-00838</t>
        </is>
      </c>
      <c r="B257" t="inlineStr">
        <is>
          <t>CUI 
CUI 
ATTACHMENT 1 
24/7 N
etwork Operations Center (NOC) 
Statement of Work (SOW) 
(U) United States Space Force (USSF)
(U) Space Systems Command (SSC)
(U) Space Command and Control (Space C2)...</t>
        </is>
      </c>
      <c r="C257" t="inlineStr">
        <is>
          <t>No</t>
        </is>
      </c>
      <c r="D257" t="inlineStr">
        <is>
          <t>Medium</t>
        </is>
      </c>
      <c r="E257" t="inlineStr">
        <is>
          <t>Not Started</t>
        </is>
      </c>
    </row>
    <row r="258">
      <c r="A258" t="inlineStr">
        <is>
          <t>REQ-00839</t>
        </is>
      </c>
      <c r="B258" t="inlineStr">
        <is>
          <t>Controlled by: Space Systems Command (SSC) 
Controlled by: Space Command and Control (Space C2) 
CUI Category: CUI//PROCURE 
Distribution/Dissemination Control: FEDCON 
POC: Maj Logan Bolitho, loga...</t>
        </is>
      </c>
      <c r="C258" t="inlineStr">
        <is>
          <t>No</t>
        </is>
      </c>
      <c r="D258" t="inlineStr">
        <is>
          <t>Medium</t>
        </is>
      </c>
      <c r="E258" t="inlineStr">
        <is>
          <t>Not Started</t>
        </is>
      </c>
    </row>
    <row r="259">
      <c r="A259" t="inlineStr">
        <is>
          <t>REQ-00840</t>
        </is>
      </c>
      <c r="B259" t="inlineStr">
        <is>
          <t>Revision (Rev).  A revision should be used to identify a new base product associated with a 
contract modification. Do not remove changes from the cha nge table when the document is 
revised since ...</t>
        </is>
      </c>
      <c r="C259" t="inlineStr">
        <is>
          <t>No</t>
        </is>
      </c>
      <c r="D259" t="inlineStr">
        <is>
          <t>Medium</t>
        </is>
      </c>
      <c r="E259" t="inlineStr">
        <is>
          <t>Not Started</t>
        </is>
      </c>
    </row>
    <row r="260">
      <c r="A260" t="inlineStr">
        <is>
          <t>REQ-00841</t>
        </is>
      </c>
      <c r="B260" t="inlineStr">
        <is>
          <t>Version (Ver).  A change that is administra tive in nature does not require the document to be re-
staffed. Changes that remove or add items peri odically assessed or affect items assessed in 
freq...</t>
        </is>
      </c>
      <c r="C260" t="inlineStr">
        <is>
          <t>No</t>
        </is>
      </c>
      <c r="D260" t="inlineStr">
        <is>
          <t>High</t>
        </is>
      </c>
      <c r="E260" t="inlineStr">
        <is>
          <t>Not Started</t>
        </is>
      </c>
    </row>
    <row r="261">
      <c r="A261" t="inlineStr">
        <is>
          <t>REQ-00842</t>
        </is>
      </c>
      <c r="B261" t="inlineStr">
        <is>
          <t>CUI 
 CUI 5  
1 Introduction 
The Space Command and Control (C2) government System Program Office (SPO) is responsible 
for developing software and the supporting architecture for the Organize, Und...</t>
        </is>
      </c>
      <c r="C261" t="inlineStr">
        <is>
          <t>No</t>
        </is>
      </c>
      <c r="D261" t="inlineStr">
        <is>
          <t>Medium</t>
        </is>
      </c>
      <c r="E261" t="inlineStr">
        <is>
          <t>Not Started</t>
        </is>
      </c>
    </row>
    <row r="262">
      <c r="A262" t="inlineStr">
        <is>
          <t>REQ-00843</t>
        </is>
      </c>
      <c r="B262" t="inlineStr">
        <is>
          <t>CUI 
 CUI 6  
- Network support and monitoring of all network feeds that impact C2 SDA to include Tier 1 
support to SPARTAN and SDAnet.   
- Infrastructure support to physical hardware.  
- Legacy...</t>
        </is>
      </c>
      <c r="C262" t="inlineStr">
        <is>
          <t>No</t>
        </is>
      </c>
      <c r="D262" t="inlineStr">
        <is>
          <t>Medium</t>
        </is>
      </c>
      <c r="E262" t="inlineStr">
        <is>
          <t>Not Started</t>
        </is>
      </c>
    </row>
    <row r="263">
      <c r="A263" t="inlineStr">
        <is>
          <t>REQ-00844</t>
        </is>
      </c>
      <c r="B263" t="inlineStr">
        <is>
          <t>CUI 
 CUI 7  
Figure 2: Notional Product Support Tier Structure</t>
        </is>
      </c>
      <c r="C263" t="inlineStr">
        <is>
          <t>No</t>
        </is>
      </c>
      <c r="D263" t="inlineStr">
        <is>
          <t>Medium</t>
        </is>
      </c>
      <c r="E263" t="inlineStr">
        <is>
          <t>Not Started</t>
        </is>
      </c>
    </row>
    <row r="264">
      <c r="A264" t="inlineStr">
        <is>
          <t>REQ-00845</t>
        </is>
      </c>
      <c r="B264" t="inlineStr">
        <is>
          <t>2.1.1 The Contractor shall provide program management and staffing resources necessary to 
plan, manage, direct, control, and report on all activities contributing to requirements 
identified herein.</t>
        </is>
      </c>
      <c r="C264" t="inlineStr">
        <is>
          <t>Yes</t>
        </is>
      </c>
      <c r="D264" t="inlineStr">
        <is>
          <t>High</t>
        </is>
      </c>
      <c r="E264" t="inlineStr">
        <is>
          <t>Not Started</t>
        </is>
      </c>
    </row>
    <row r="265">
      <c r="A265" t="inlineStr">
        <is>
          <t>REQ-00846</t>
        </is>
      </c>
      <c r="B265" t="inlineStr">
        <is>
          <t>2.1.2 The Contractor shall utilize government-furnished communication tools to include, but 
not limited to: Google Electronic Mail (e-mail) (Impact Level (IL)-4 e-mail), Microsoft 
(MS) Teams, Mat...</t>
        </is>
      </c>
      <c r="C265" t="inlineStr">
        <is>
          <t>Yes</t>
        </is>
      </c>
      <c r="D265" t="inlineStr">
        <is>
          <t>High</t>
        </is>
      </c>
      <c r="E265" t="inlineStr">
        <is>
          <t>Not Started</t>
        </is>
      </c>
    </row>
    <row r="266">
      <c r="A266" t="inlineStr">
        <is>
          <t>REQ-00847</t>
        </is>
      </c>
      <c r="B266" t="inlineStr">
        <is>
          <t>2.1.3 The Contractor shall utilize government-furnished common services identified within the 
current Service Description Document managed via the Space C2 Configuration 
Management Board (CMB). E...</t>
        </is>
      </c>
      <c r="C266" t="inlineStr">
        <is>
          <t>Yes</t>
        </is>
      </c>
      <c r="D266" t="inlineStr">
        <is>
          <t>High</t>
        </is>
      </c>
      <c r="E266" t="inlineStr">
        <is>
          <t>Not Started</t>
        </is>
      </c>
    </row>
    <row r="267">
      <c r="A267" t="inlineStr">
        <is>
          <t>REQ-00848</t>
        </is>
      </c>
      <c r="B267" t="inlineStr">
        <is>
          <t>2.1.4 The Contractor shall maintain awareness of the Space C2 Development Teams 
implementation of a Development, Security, and Operations (DevSecOps) approach as 
managed by the Space C2 CMB.</t>
        </is>
      </c>
      <c r="C267" t="inlineStr">
        <is>
          <t>Yes</t>
        </is>
      </c>
      <c r="D267" t="inlineStr">
        <is>
          <t>High</t>
        </is>
      </c>
      <c r="E267" t="inlineStr">
        <is>
          <t>Not Started</t>
        </is>
      </c>
    </row>
    <row r="268">
      <c r="A268" t="inlineStr">
        <is>
          <t>REQ-00849</t>
        </is>
      </c>
      <c r="B268" t="inlineStr">
        <is>
          <t>2.1.5 The Contractor shall proactively support collaborative root cause analysis and 
incorporate results in future processes, tooling, instrumentation, procedural changes, 
and/or software develop...</t>
        </is>
      </c>
      <c r="C268" t="inlineStr">
        <is>
          <t>Yes</t>
        </is>
      </c>
      <c r="D268" t="inlineStr">
        <is>
          <t>High</t>
        </is>
      </c>
      <c r="E268" t="inlineStr">
        <is>
          <t>Not Started</t>
        </is>
      </c>
    </row>
    <row r="269">
      <c r="A269" t="inlineStr">
        <is>
          <t>REQ-00850</t>
        </is>
      </c>
      <c r="B269" t="inlineStr">
        <is>
          <t>2.1.6 The Contractor shall provide contract status information for SPO management purposes.  
This includes SPO level reviews, executive reviews, independent program reviews and 
assessments, inspe...</t>
        </is>
      </c>
      <c r="C269" t="inlineStr">
        <is>
          <t>Yes</t>
        </is>
      </c>
      <c r="D269" t="inlineStr">
        <is>
          <t>High</t>
        </is>
      </c>
      <c r="E269" t="inlineStr">
        <is>
          <t>Not Started</t>
        </is>
      </c>
    </row>
    <row r="270">
      <c r="A270" t="inlineStr">
        <is>
          <t>REQ-00851</t>
        </is>
      </c>
      <c r="B270" t="inlineStr">
        <is>
          <t>2.1.7 The Contractor shall define conditions and process in writing for notifying the SPO of 
significant events to include security violations, cyber/network intrusions, criminal 
investigations, ...</t>
        </is>
      </c>
      <c r="C270" t="inlineStr">
        <is>
          <t>Yes</t>
        </is>
      </c>
      <c r="D270" t="inlineStr">
        <is>
          <t>High</t>
        </is>
      </c>
      <c r="E270" t="inlineStr">
        <is>
          <t>Not Started</t>
        </is>
      </c>
    </row>
    <row r="271">
      <c r="A271" t="inlineStr">
        <is>
          <t>REQ-00852</t>
        </is>
      </c>
      <c r="B271" t="inlineStr">
        <is>
          <t>2.1.8 The Contractor shall notify the Government Lead, or their designee, of Government 
Senior Leadership or other stakeholder program visits as well as program media 
exposures. The contractor sh...</t>
        </is>
      </c>
      <c r="C271" t="inlineStr">
        <is>
          <t>Yes</t>
        </is>
      </c>
      <c r="D271" t="inlineStr">
        <is>
          <t>High</t>
        </is>
      </c>
      <c r="E271" t="inlineStr">
        <is>
          <t>Not Started</t>
        </is>
      </c>
    </row>
    <row r="272">
      <c r="A272" t="inlineStr">
        <is>
          <t>REQ-00853</t>
        </is>
      </c>
      <c r="B272" t="inlineStr">
        <is>
          <t>2.1.9 The Contractor shall establish necessary subcontracts and ensure the flow down of 
Intellectual Property assertions, Program Management requirements, and Personnel and 
Staffing requirements....</t>
        </is>
      </c>
      <c r="C272" t="inlineStr">
        <is>
          <t>Yes</t>
        </is>
      </c>
      <c r="D272" t="inlineStr">
        <is>
          <t>High</t>
        </is>
      </c>
      <c r="E272" t="inlineStr">
        <is>
          <t>Not Started</t>
        </is>
      </c>
    </row>
    <row r="273">
      <c r="A273" t="inlineStr">
        <is>
          <t>REQ-00854</t>
        </is>
      </c>
      <c r="B273" t="inlineStr">
        <is>
          <t>2.1.10 The Contractor shall maintain an Organizational Conflict of Interest (OCI) plan as 
applicable.</t>
        </is>
      </c>
      <c r="C273" t="inlineStr">
        <is>
          <t>Yes</t>
        </is>
      </c>
      <c r="D273" t="inlineStr">
        <is>
          <t>High</t>
        </is>
      </c>
      <c r="E273" t="inlineStr">
        <is>
          <t>Not Started</t>
        </is>
      </c>
    </row>
    <row r="274">
      <c r="A274" t="inlineStr">
        <is>
          <t>REQ-00855</t>
        </is>
      </c>
      <c r="B274" t="inlineStr">
        <is>
          <t>2.2.1 The Contractor shall support Agile team planning and provide input for dependencies 
between expected product support and software and development, as well as on-prem 
infrastructure impacts ...</t>
        </is>
      </c>
      <c r="C274" t="inlineStr">
        <is>
          <t>Yes</t>
        </is>
      </c>
      <c r="D274" t="inlineStr">
        <is>
          <t>High</t>
        </is>
      </c>
      <c r="E274" t="inlineStr">
        <is>
          <t>Not Started</t>
        </is>
      </c>
    </row>
    <row r="275">
      <c r="A275" t="inlineStr">
        <is>
          <t>REQ-00856</t>
        </is>
      </c>
      <c r="B275" t="inlineStr">
        <is>
          <t>2.2.2 The Contractor shall collect metrics to include, but not limited to, System uptime, Cost 
per incident, Mean time between critical failures and mean time to restore.</t>
        </is>
      </c>
      <c r="C275" t="inlineStr">
        <is>
          <t>Yes</t>
        </is>
      </c>
      <c r="D275" t="inlineStr">
        <is>
          <t>High</t>
        </is>
      </c>
      <c r="E275" t="inlineStr">
        <is>
          <t>Not Started</t>
        </is>
      </c>
    </row>
    <row r="276">
      <c r="A276" t="inlineStr">
        <is>
          <t>REQ-00857</t>
        </is>
      </c>
      <c r="B276" t="inlineStr">
        <is>
          <t>2.2.3 The Contractor shall maintain a quarterly, one-year, and five-year roadmap forecast 
within the SPO-provided Jira instance that includes at a minimum: major upgrades, 
technology changes, sig...</t>
        </is>
      </c>
      <c r="C276" t="inlineStr">
        <is>
          <t>Yes</t>
        </is>
      </c>
      <c r="D276" t="inlineStr">
        <is>
          <t>High</t>
        </is>
      </c>
      <c r="E276" t="inlineStr">
        <is>
          <t>Not Started</t>
        </is>
      </c>
    </row>
    <row r="277">
      <c r="A277" t="inlineStr">
        <is>
          <t>REQ-00858</t>
        </is>
      </c>
      <c r="B277" t="inlineStr">
        <is>
          <t>2.2.4 The Contractor shall coordinate and gain approval of product technical baseline changes 
and the timing of any migration / adoption through the Space C2 CMB ahead of change 
implementation. T...</t>
        </is>
      </c>
      <c r="C277" t="inlineStr">
        <is>
          <t>Yes</t>
        </is>
      </c>
      <c r="D277" t="inlineStr">
        <is>
          <t>High</t>
        </is>
      </c>
      <c r="E277" t="inlineStr">
        <is>
          <t>Not Started</t>
        </is>
      </c>
    </row>
    <row r="278">
      <c r="A278" t="inlineStr">
        <is>
          <t>REQ-00859</t>
        </is>
      </c>
      <c r="B278" t="inlineStr">
        <is>
          <t>2.2.5 The Contractor shall provide weekly activity reports summarizing key milestones, 
activities, and operational benefits (e.g., removed X-hours of manual tasks with 
automated function).</t>
        </is>
      </c>
      <c r="C278" t="inlineStr">
        <is>
          <t>Yes</t>
        </is>
      </c>
      <c r="D278" t="inlineStr">
        <is>
          <t>High</t>
        </is>
      </c>
      <c r="E278" t="inlineStr">
        <is>
          <t>Not Started</t>
        </is>
      </c>
    </row>
    <row r="279">
      <c r="A279" t="inlineStr">
        <is>
          <t>REQ-00860</t>
        </is>
      </c>
      <c r="B279" t="inlineStr">
        <is>
          <t>2.3.1 The Contractor shall conduct a Kick-off Meeting within 30 days of contract award to 
include, at a minimum: special topics, roadmap review, and risk and mitigation plans.  
Meeting read ahead...</t>
        </is>
      </c>
      <c r="C279" t="inlineStr">
        <is>
          <t>Yes</t>
        </is>
      </c>
      <c r="D279" t="inlineStr">
        <is>
          <t>High</t>
        </is>
      </c>
      <c r="E279" t="inlineStr">
        <is>
          <t>Not Started</t>
        </is>
      </c>
    </row>
    <row r="280">
      <c r="A280" t="inlineStr">
        <is>
          <t>REQ-00861</t>
        </is>
      </c>
      <c r="B280" t="inlineStr">
        <is>
          <t>2.3.2 The Contractor shall develop post-meeting minutes and respond to post-meeting action 
items as requested by the SPO within 24 hours of the meeting ending.</t>
        </is>
      </c>
      <c r="C280" t="inlineStr">
        <is>
          <t>Yes</t>
        </is>
      </c>
      <c r="D280" t="inlineStr">
        <is>
          <t>High</t>
        </is>
      </c>
      <c r="E280" t="inlineStr">
        <is>
          <t>Not Started</t>
        </is>
      </c>
    </row>
    <row r="281">
      <c r="A281" t="inlineStr">
        <is>
          <t>REQ-00862</t>
        </is>
      </c>
      <c r="B281" t="inlineStr">
        <is>
          <t>2.3.3 The Contractor shall conduct a monthly Program Management Review (PMR) 
alternating each month between an Executive-level PMR and a Program Manager-level 
PMR. The PMR shall be virtual, unles...</t>
        </is>
      </c>
      <c r="C281" t="inlineStr">
        <is>
          <t>Yes</t>
        </is>
      </c>
      <c r="D281" t="inlineStr">
        <is>
          <t>High</t>
        </is>
      </c>
      <c r="E281" t="inlineStr">
        <is>
          <t>Not Started</t>
        </is>
      </c>
    </row>
    <row r="282">
      <c r="A282" t="inlineStr">
        <is>
          <t>REQ-00863</t>
        </is>
      </c>
      <c r="B282" t="inlineStr">
        <is>
          <t>2.3.4 The Contractor shall develop post-PMR minutes and respond to post-PMR action items.</t>
        </is>
      </c>
      <c r="C282" t="inlineStr">
        <is>
          <t>Yes</t>
        </is>
      </c>
      <c r="D282" t="inlineStr">
        <is>
          <t>High</t>
        </is>
      </c>
      <c r="E282" t="inlineStr">
        <is>
          <t>Not Started</t>
        </is>
      </c>
    </row>
    <row r="283">
      <c r="A283" t="inlineStr">
        <is>
          <t>REQ-00864</t>
        </is>
      </c>
      <c r="B283" t="inlineStr">
        <is>
          <t>2.3.5 The Contractor shall obtain written approval by the Government Lead, or their designee, 
ahead of travel that is already authorized in the contract. 
DRAFT</t>
        </is>
      </c>
      <c r="C283" t="inlineStr">
        <is>
          <t>Yes</t>
        </is>
      </c>
      <c r="D283" t="inlineStr">
        <is>
          <t>High</t>
        </is>
      </c>
      <c r="E283" t="inlineStr">
        <is>
          <t>Not Started</t>
        </is>
      </c>
    </row>
    <row r="284">
      <c r="A284" t="inlineStr">
        <is>
          <t>REQ-00865</t>
        </is>
      </c>
      <c r="B284" t="inlineStr">
        <is>
          <t>2.3.6 The Contractor shall support quarterly, multi-day (nominally three-day), in-person 
Program Increment events in Colorado Springs, Colorado. The location, duration, and 
frequency may change a...</t>
        </is>
      </c>
      <c r="C284" t="inlineStr">
        <is>
          <t>Yes</t>
        </is>
      </c>
      <c r="D284" t="inlineStr">
        <is>
          <t>High</t>
        </is>
      </c>
      <c r="E284" t="inlineStr">
        <is>
          <t>Not Started</t>
        </is>
      </c>
    </row>
    <row r="285">
      <c r="A285" t="inlineStr">
        <is>
          <t>REQ-00866</t>
        </is>
      </c>
      <c r="B285" t="inlineStr">
        <is>
          <t>2.3.7 The Contractor shall support quarterly, two-week long, in-person test events at operator 
location(s). Initial operator location will be at Vandenberg Space Force Base, CA; 
alternative locat...</t>
        </is>
      </c>
      <c r="C285" t="inlineStr">
        <is>
          <t>Yes</t>
        </is>
      </c>
      <c r="D285" t="inlineStr">
        <is>
          <t>High</t>
        </is>
      </c>
      <c r="E285" t="inlineStr">
        <is>
          <t>Not Started</t>
        </is>
      </c>
    </row>
    <row r="286">
      <c r="A286" t="inlineStr">
        <is>
          <t>REQ-00867</t>
        </is>
      </c>
      <c r="B286" t="inlineStr">
        <is>
          <t>2.3.8 The Contractor shall make their own travel and lodging arrangements and shall ensure all 
required security requirements (e.g., Visit Requests) required for access to installations 
and/or fa...</t>
        </is>
      </c>
      <c r="C286" t="inlineStr">
        <is>
          <t>Yes</t>
        </is>
      </c>
      <c r="D286" t="inlineStr">
        <is>
          <t>High</t>
        </is>
      </c>
      <c r="E286" t="inlineStr">
        <is>
          <t>Not Started</t>
        </is>
      </c>
    </row>
    <row r="287">
      <c r="A287" t="inlineStr">
        <is>
          <t>REQ-00868</t>
        </is>
      </c>
      <c r="B287" t="inlineStr">
        <is>
          <t>2.3.9 The Contractor shall support meetings with mission partners and stakeholders as needed 
at required classification levels at a minimum Quarterly.</t>
        </is>
      </c>
      <c r="C287" t="inlineStr">
        <is>
          <t>Yes</t>
        </is>
      </c>
      <c r="D287" t="inlineStr">
        <is>
          <t>High</t>
        </is>
      </c>
      <c r="E287" t="inlineStr">
        <is>
          <t>Not Started</t>
        </is>
      </c>
    </row>
    <row r="288">
      <c r="A288" t="inlineStr">
        <is>
          <t>REQ-00869</t>
        </is>
      </c>
      <c r="B288" t="inlineStr">
        <is>
          <t>2.4 Contract Data Requirements List (CDRL)</t>
        </is>
      </c>
      <c r="C288" t="inlineStr">
        <is>
          <t>No</t>
        </is>
      </c>
      <c r="D288" t="inlineStr">
        <is>
          <t>Medium</t>
        </is>
      </c>
      <c r="E288" t="inlineStr">
        <is>
          <t>Not Started</t>
        </is>
      </c>
    </row>
    <row r="289">
      <c r="A289" t="inlineStr">
        <is>
          <t>REQ-00870</t>
        </is>
      </c>
      <c r="B289" t="inlineStr">
        <is>
          <t>2.4.1 The Contractor shall provide the CDRLs identified in Table 2. The SPO will review the 
submission of data per the CDRL prior to acceptance, acceptance criteria will include 
verification of a...</t>
        </is>
      </c>
      <c r="C289" t="inlineStr">
        <is>
          <t>Yes</t>
        </is>
      </c>
      <c r="D289" t="inlineStr">
        <is>
          <t>High</t>
        </is>
      </c>
      <c r="E289" t="inlineStr">
        <is>
          <t>Not Started</t>
        </is>
      </c>
    </row>
    <row r="290">
      <c r="A290" t="inlineStr">
        <is>
          <t>REQ-00871</t>
        </is>
      </c>
      <c r="B290" t="inlineStr">
        <is>
          <t>2.4.2 A001 CFSR shall follow SPO-provided template.</t>
        </is>
      </c>
      <c r="C290" t="inlineStr">
        <is>
          <t>Yes</t>
        </is>
      </c>
      <c r="D290" t="inlineStr">
        <is>
          <t>High</t>
        </is>
      </c>
      <c r="E290" t="inlineStr">
        <is>
          <t>Not Started</t>
        </is>
      </c>
    </row>
    <row r="291">
      <c r="A291" t="inlineStr">
        <is>
          <t>REQ-00872</t>
        </is>
      </c>
      <c r="B291" t="inlineStr">
        <is>
          <t>2.4.3 A002 PPIP shall address the Government’s Program Protection Plan and follow the 
section formatting contained within</t>
        </is>
      </c>
      <c r="C291" t="inlineStr">
        <is>
          <t>Yes</t>
        </is>
      </c>
      <c r="D291" t="inlineStr">
        <is>
          <t>High</t>
        </is>
      </c>
      <c r="E291" t="inlineStr">
        <is>
          <t>Not Started</t>
        </is>
      </c>
    </row>
    <row r="292">
      <c r="A292" t="inlineStr">
        <is>
          <t>REQ-00873</t>
        </is>
      </c>
      <c r="B292" t="inlineStr">
        <is>
          <t>2.4.4 A003 DAL shall include the below items at a minimum. A003 DAL Submission shall 
include meeting minutes, briefing material, bill of materials, and other documentation as 
requested by the SPO...</t>
        </is>
      </c>
      <c r="C292" t="inlineStr">
        <is>
          <t>Yes</t>
        </is>
      </c>
      <c r="D292" t="inlineStr">
        <is>
          <t>High</t>
        </is>
      </c>
      <c r="E292" t="inlineStr">
        <is>
          <t>Not Started</t>
        </is>
      </c>
    </row>
    <row r="293">
      <c r="A293" t="inlineStr">
        <is>
          <t>REQ-00874</t>
        </is>
      </c>
      <c r="B293" t="inlineStr">
        <is>
          <t>CUI 
 CUI 11  
• Program Management plan, 
• Staffing Plan, 
• Subcontract information, 
• Organizational Conflict of Interest Plan</t>
        </is>
      </c>
      <c r="C293" t="inlineStr">
        <is>
          <t>No</t>
        </is>
      </c>
      <c r="D293" t="inlineStr">
        <is>
          <t>Medium</t>
        </is>
      </c>
      <c r="E293" t="inlineStr">
        <is>
          <t>Not Started</t>
        </is>
      </c>
    </row>
    <row r="294">
      <c r="A294" t="inlineStr">
        <is>
          <t>REQ-00875</t>
        </is>
      </c>
      <c r="B294" t="inlineStr">
        <is>
          <t>2.4.5 A004 PMR shall include content provided within the SPO-provided template. This 
includes, but is not limited to: 
• Internal (execution) product risks,  
• External (dependency) product risks...</t>
        </is>
      </c>
      <c r="C294" t="inlineStr">
        <is>
          <t>Yes</t>
        </is>
      </c>
      <c r="D294" t="inlineStr">
        <is>
          <t>High</t>
        </is>
      </c>
      <c r="E294" t="inlineStr">
        <is>
          <t>Not Started</t>
        </is>
      </c>
    </row>
    <row r="295">
      <c r="A295" t="inlineStr">
        <is>
          <t>REQ-00876</t>
        </is>
      </c>
      <c r="B295" t="inlineStr">
        <is>
          <t>2.6         Associate Contractor Agreements &amp; Other Agreements</t>
        </is>
      </c>
      <c r="C295" t="inlineStr">
        <is>
          <t>No</t>
        </is>
      </c>
      <c r="D295" t="inlineStr">
        <is>
          <t>Medium</t>
        </is>
      </c>
      <c r="E295" t="inlineStr">
        <is>
          <t>Not Started</t>
        </is>
      </c>
    </row>
    <row r="296">
      <c r="A296" t="inlineStr">
        <is>
          <t>REQ-00877</t>
        </is>
      </c>
      <c r="B296" t="inlineStr">
        <is>
          <t>2.4.6 The Contractor shall enter into ACAs with the contractors listed at Vandenberg Space 
Force Base (VSFB) to support cross-project integration for accomplishment of the SPO’s 
requirement. Addi...</t>
        </is>
      </c>
      <c r="C296" t="inlineStr">
        <is>
          <t>Yes</t>
        </is>
      </c>
      <c r="D296" t="inlineStr">
        <is>
          <t>High</t>
        </is>
      </c>
      <c r="E296" t="inlineStr">
        <is>
          <t>Not Started</t>
        </is>
      </c>
    </row>
    <row r="297">
      <c r="A297" t="inlineStr">
        <is>
          <t>REQ-00878</t>
        </is>
      </c>
      <c r="B297" t="inlineStr">
        <is>
          <t>2.4.7 The Contractor shall establish ACAs with new vendors within 45 days of notification by 
the Government.</t>
        </is>
      </c>
      <c r="C297" t="inlineStr">
        <is>
          <t>Yes</t>
        </is>
      </c>
      <c r="D297" t="inlineStr">
        <is>
          <t>High</t>
        </is>
      </c>
      <c r="E297" t="inlineStr">
        <is>
          <t>Not Started</t>
        </is>
      </c>
    </row>
    <row r="298">
      <c r="A298" t="inlineStr">
        <is>
          <t>REQ-00879</t>
        </is>
      </c>
      <c r="B298" t="inlineStr">
        <is>
          <t>2.4.8 The ACA(s) shall include the basis for sharing information, data, technical knowledge, 
expertise and resources essential to integration, which shall ensure the greatest degree of 
cooperatio...</t>
        </is>
      </c>
      <c r="C298" t="inlineStr">
        <is>
          <t>Yes</t>
        </is>
      </c>
      <c r="D298" t="inlineStr">
        <is>
          <t>High</t>
        </is>
      </c>
      <c r="E298" t="inlineStr">
        <is>
          <t>Not Started</t>
        </is>
      </c>
    </row>
    <row r="299">
      <c r="A299" t="inlineStr">
        <is>
          <t>REQ-00880</t>
        </is>
      </c>
      <c r="B299" t="inlineStr">
        <is>
          <t>2.4.9 The ACA(s) shall include the following general information: 
• Identification of the associate contractors and their relationships; 
• Identification of the program involved and the relevant ...</t>
        </is>
      </c>
      <c r="C299" t="inlineStr">
        <is>
          <t>Yes</t>
        </is>
      </c>
      <c r="D299" t="inlineStr">
        <is>
          <t>High</t>
        </is>
      </c>
      <c r="E299" t="inlineStr">
        <is>
          <t>Not Started</t>
        </is>
      </c>
    </row>
    <row r="300">
      <c r="A300" t="inlineStr">
        <is>
          <t>REQ-00881</t>
        </is>
      </c>
      <c r="B300" t="inlineStr">
        <is>
          <t>CUI 
 CUI 12  
• Inclusion of agreements on protection of proprietary data and restrictions on 
employees.</t>
        </is>
      </c>
      <c r="C300" t="inlineStr">
        <is>
          <t>No</t>
        </is>
      </c>
      <c r="D300" t="inlineStr">
        <is>
          <t>Medium</t>
        </is>
      </c>
      <c r="E300" t="inlineStr">
        <is>
          <t>Not Started</t>
        </is>
      </c>
    </row>
    <row r="301">
      <c r="A301" t="inlineStr">
        <is>
          <t>REQ-00882</t>
        </is>
      </c>
      <c r="B301" t="inlineStr">
        <is>
          <t>2.4.10 The Contractor shall provide a copy of the ACA(s) to the Contracting Officer(s) for 
review before execution of the document by the cooperating contractors.</t>
        </is>
      </c>
      <c r="C301" t="inlineStr">
        <is>
          <t>Yes</t>
        </is>
      </c>
      <c r="D301" t="inlineStr">
        <is>
          <t>High</t>
        </is>
      </c>
      <c r="E301" t="inlineStr">
        <is>
          <t>Not Started</t>
        </is>
      </c>
    </row>
    <row r="302">
      <c r="A302" t="inlineStr">
        <is>
          <t>REQ-00883</t>
        </is>
      </c>
      <c r="B302" t="inlineStr">
        <is>
          <t>2.4.11 The Contractor shall not be relieved of contract requirements or entitled to adjustments to 
the contract terms because of a failure to resolve a disagreement with an associate 
contractor.</t>
        </is>
      </c>
      <c r="C302" t="inlineStr">
        <is>
          <t>Yes</t>
        </is>
      </c>
      <c r="D302" t="inlineStr">
        <is>
          <t>High</t>
        </is>
      </c>
      <c r="E302" t="inlineStr">
        <is>
          <t>Not Started</t>
        </is>
      </c>
    </row>
    <row r="303">
      <c r="A303" t="inlineStr">
        <is>
          <t>REQ-00884</t>
        </is>
      </c>
      <c r="B303" t="inlineStr">
        <is>
          <t>2.4.12 Liability for the improper disclosure of proprietary data contained in or referenced by 
agreements shall rest with the parties to the agreement and not the Government.  If 
improper disclos...</t>
        </is>
      </c>
      <c r="C303" t="inlineStr">
        <is>
          <t>Yes</t>
        </is>
      </c>
      <c r="D303" t="inlineStr">
        <is>
          <t>High</t>
        </is>
      </c>
      <c r="E303" t="inlineStr">
        <is>
          <t>Not Started</t>
        </is>
      </c>
    </row>
    <row r="304">
      <c r="A304" t="inlineStr">
        <is>
          <t>REQ-00885</t>
        </is>
      </c>
      <c r="B304" t="inlineStr">
        <is>
          <t>2.4.13 All costs associated with the agreements are included in the negotiated cost of this 
contract. Agreements may be amended by the Government during the performance of 
this contract.</t>
        </is>
      </c>
      <c r="C304" t="inlineStr">
        <is>
          <t>No</t>
        </is>
      </c>
      <c r="D304" t="inlineStr">
        <is>
          <t>Low</t>
        </is>
      </c>
      <c r="E304" t="inlineStr">
        <is>
          <t>Not Started</t>
        </is>
      </c>
    </row>
    <row r="305">
      <c r="A305" t="inlineStr">
        <is>
          <t>REQ-00886</t>
        </is>
      </c>
      <c r="B305" t="inlineStr">
        <is>
          <t>2.4.14 The contractor shall cooperate with Federally Funded Research and Development Center 
(FFRDC) contracts, as identified within the Space C2 contractors list. 
3 Personnel &amp; Staffing</t>
        </is>
      </c>
      <c r="C305" t="inlineStr">
        <is>
          <t>Yes</t>
        </is>
      </c>
      <c r="D305" t="inlineStr">
        <is>
          <t>High</t>
        </is>
      </c>
      <c r="E305" t="inlineStr">
        <is>
          <t>Not Started</t>
        </is>
      </c>
    </row>
    <row r="306">
      <c r="A306" t="inlineStr">
        <is>
          <t>REQ-00887</t>
        </is>
      </c>
      <c r="B306" t="inlineStr">
        <is>
          <t>3.1.1 The Contractor direct support personnel shall be located on-site at VSFB.</t>
        </is>
      </c>
      <c r="C306" t="inlineStr">
        <is>
          <t>Yes</t>
        </is>
      </c>
      <c r="D306" t="inlineStr">
        <is>
          <t>High</t>
        </is>
      </c>
      <c r="E306" t="inlineStr">
        <is>
          <t>Not Started</t>
        </is>
      </c>
    </row>
    <row r="307">
      <c r="A307" t="inlineStr">
        <is>
          <t>REQ-00888</t>
        </is>
      </c>
      <c r="B307" t="inlineStr">
        <is>
          <t>3.1.2 The Contractor shall provide coverage to provide on-site 24/7 support.</t>
        </is>
      </c>
      <c r="C307" t="inlineStr">
        <is>
          <t>Yes</t>
        </is>
      </c>
      <c r="D307" t="inlineStr">
        <is>
          <t>High</t>
        </is>
      </c>
      <c r="E307" t="inlineStr">
        <is>
          <t>Not Started</t>
        </is>
      </c>
    </row>
    <row r="308">
      <c r="A308" t="inlineStr">
        <is>
          <t>REQ-00889</t>
        </is>
      </c>
      <c r="B308" t="inlineStr">
        <is>
          <t>3.1.3 The Contractor shall provide infrastructure support on a 5-days-a-week, 12-hours-a-day 
(5/12) basis, as well as limited weekend and late-night support during test events, with 
on-call suppo...</t>
        </is>
      </c>
      <c r="C308" t="inlineStr">
        <is>
          <t>Yes</t>
        </is>
      </c>
      <c r="D308" t="inlineStr">
        <is>
          <t>High</t>
        </is>
      </c>
      <c r="E308" t="inlineStr">
        <is>
          <t>Not Started</t>
        </is>
      </c>
    </row>
    <row r="309">
      <c r="A309" t="inlineStr">
        <is>
          <t>REQ-00890</t>
        </is>
      </c>
      <c r="B309" t="inlineStr">
        <is>
          <t>3.2.1 The Contractor shall establish and maintain an organizational team structure possessing 
the knowledge, skills, and experience capable of performing all requirements.</t>
        </is>
      </c>
      <c r="C309" t="inlineStr">
        <is>
          <t>Yes</t>
        </is>
      </c>
      <c r="D309" t="inlineStr">
        <is>
          <t>High</t>
        </is>
      </c>
      <c r="E309" t="inlineStr">
        <is>
          <t>Not Started</t>
        </is>
      </c>
    </row>
    <row r="310">
      <c r="A310" t="inlineStr">
        <is>
          <t>REQ-00891</t>
        </is>
      </c>
      <c r="B310" t="inlineStr">
        <is>
          <t>3.2.2 The Contractor shall assign to the contract those persons, whose resumes, were submitted 
in their proposal as required in the Request for Proposal (RFP) to fill the Key Personnel 
requiremen...</t>
        </is>
      </c>
      <c r="C310" t="inlineStr">
        <is>
          <t>Yes</t>
        </is>
      </c>
      <c r="D310" t="inlineStr">
        <is>
          <t>High</t>
        </is>
      </c>
      <c r="E310" t="inlineStr">
        <is>
          <t>Not Started</t>
        </is>
      </c>
    </row>
    <row r="311">
      <c r="A311" t="inlineStr">
        <is>
          <t>REQ-00892</t>
        </is>
      </c>
      <c r="B311" t="inlineStr">
        <is>
          <t>3.2.3 The Contractor shall ensure that during the first year of contract performance period; no 
Key Personnel substitutions will be permitted unless such substitutions are necessitated 
by an indi...</t>
        </is>
      </c>
      <c r="C311" t="inlineStr">
        <is>
          <t>Yes</t>
        </is>
      </c>
      <c r="D311" t="inlineStr">
        <is>
          <t>High</t>
        </is>
      </c>
      <c r="E311" t="inlineStr">
        <is>
          <t>Not Started</t>
        </is>
      </c>
    </row>
    <row r="312">
      <c r="A312" t="inlineStr">
        <is>
          <t>REQ-00893</t>
        </is>
      </c>
      <c r="B312" t="inlineStr">
        <is>
          <t>3.2.4 Key Personnel are required to be 100% assigned to this effort for a minimum of the first 
12 months unless there is an unforeseen circumstance.  If Key Personnel for whatever 
reason become u...</t>
        </is>
      </c>
      <c r="C312" t="inlineStr">
        <is>
          <t>Yes</t>
        </is>
      </c>
      <c r="D312" t="inlineStr">
        <is>
          <t>High</t>
        </is>
      </c>
      <c r="E312" t="inlineStr">
        <is>
          <t>Not Started</t>
        </is>
      </c>
    </row>
    <row r="313">
      <c r="A313" t="inlineStr">
        <is>
          <t>REQ-00894</t>
        </is>
      </c>
      <c r="B313" t="inlineStr">
        <is>
          <t>3.2.5 All proposed Key Personnel substitutions shall be submitted, in writing, to the 
Contracting Officer and Contracting Officer Representative (COR) at least fifteen (15) 
calendar days before m...</t>
        </is>
      </c>
      <c r="C313" t="inlineStr">
        <is>
          <t>Yes</t>
        </is>
      </c>
      <c r="D313" t="inlineStr">
        <is>
          <t>High</t>
        </is>
      </c>
      <c r="E313" t="inlineStr">
        <is>
          <t>Not Started</t>
        </is>
      </c>
    </row>
    <row r="314">
      <c r="A314" t="inlineStr">
        <is>
          <t>REQ-00895</t>
        </is>
      </c>
      <c r="B314" t="inlineStr">
        <is>
          <t>3.2.6 The Contracting Officer and COR will evaluate Key Personnel substitution requests and 
promptly notify the Contractor, in writing, of whether the request is approved or 
disapproved. All disa...</t>
        </is>
      </c>
      <c r="C314" t="inlineStr">
        <is>
          <t>No</t>
        </is>
      </c>
      <c r="D314" t="inlineStr">
        <is>
          <t>Medium</t>
        </is>
      </c>
      <c r="E314" t="inlineStr">
        <is>
          <t>Not Started</t>
        </is>
      </c>
    </row>
    <row r="315">
      <c r="A315" t="inlineStr">
        <is>
          <t>REQ-00896</t>
        </is>
      </c>
      <c r="B315" t="inlineStr">
        <is>
          <t>3.2.7 If the Contracting Officer determines that suitable and timely replacement of Key 
Personnel who have been reassigned, terminated, or have otherwise become unavailable 
to perform under the c...</t>
        </is>
      </c>
      <c r="C315" t="inlineStr">
        <is>
          <t>No</t>
        </is>
      </c>
      <c r="D315" t="inlineStr">
        <is>
          <t>High</t>
        </is>
      </c>
      <c r="E315" t="inlineStr">
        <is>
          <t>Not Started</t>
        </is>
      </c>
    </row>
    <row r="316">
      <c r="A316" t="inlineStr">
        <is>
          <t>REQ-00897</t>
        </is>
      </c>
      <c r="B316" t="inlineStr">
        <is>
          <t>3.2.8 The labor categories and personnel listed below are identified as key personnel for this 
contract:</t>
        </is>
      </c>
      <c r="C316" t="inlineStr">
        <is>
          <t>No</t>
        </is>
      </c>
      <c r="D316" t="inlineStr">
        <is>
          <t>Medium</t>
        </is>
      </c>
      <c r="E316" t="inlineStr">
        <is>
          <t>Not Started</t>
        </is>
      </c>
    </row>
    <row r="317">
      <c r="A317" t="inlineStr">
        <is>
          <t>REQ-00898</t>
        </is>
      </c>
      <c r="B317" t="inlineStr">
        <is>
          <t>3.2.8.1 List to be filled in by Contract Awardee: &lt;Key Personnel Duty Title&gt; (&lt;labor 
category&gt;) – Responsible for &lt;insert responsibilities here&gt;.</t>
        </is>
      </c>
      <c r="C317" t="inlineStr">
        <is>
          <t>No</t>
        </is>
      </c>
      <c r="D317" t="inlineStr">
        <is>
          <t>Medium</t>
        </is>
      </c>
      <c r="E317" t="inlineStr">
        <is>
          <t>Not Started</t>
        </is>
      </c>
    </row>
    <row r="318">
      <c r="A318" t="inlineStr">
        <is>
          <t>REQ-00899</t>
        </is>
      </c>
      <c r="B318" t="inlineStr">
        <is>
          <t>3.3 Personnel Clearances, Network, and Facility Access</t>
        </is>
      </c>
      <c r="C318" t="inlineStr">
        <is>
          <t>No</t>
        </is>
      </c>
      <c r="D318" t="inlineStr">
        <is>
          <t>Medium</t>
        </is>
      </c>
      <c r="E318" t="inlineStr">
        <is>
          <t>Not Started</t>
        </is>
      </c>
    </row>
    <row r="319">
      <c r="A319" t="inlineStr">
        <is>
          <t>REQ-00900</t>
        </is>
      </c>
      <c r="B319" t="inlineStr">
        <is>
          <t>3.3.1 All Contractor direct support personnel shall be TS/SCI eligible.</t>
        </is>
      </c>
      <c r="C319" t="inlineStr">
        <is>
          <t>Yes</t>
        </is>
      </c>
      <c r="D319" t="inlineStr">
        <is>
          <t>High</t>
        </is>
      </c>
      <c r="E319" t="inlineStr">
        <is>
          <t>Not Started</t>
        </is>
      </c>
    </row>
    <row r="320">
      <c r="A320" t="inlineStr">
        <is>
          <t>REQ-00901</t>
        </is>
      </c>
      <c r="B320" t="inlineStr">
        <is>
          <t>3.3.2 All Contractor direct support personnel shall be US citizens and shall obtain and 
maintain a Common Access Card (CAC) (see DoD Manual (DoDM-1000.13-M-V1) for 
CAC issuance criteria).</t>
        </is>
      </c>
      <c r="C320" t="inlineStr">
        <is>
          <t>Yes</t>
        </is>
      </c>
      <c r="D320" t="inlineStr">
        <is>
          <t>High</t>
        </is>
      </c>
      <c r="E320" t="inlineStr">
        <is>
          <t>Not Started</t>
        </is>
      </c>
    </row>
    <row r="321">
      <c r="A321" t="inlineStr">
        <is>
          <t>REQ-00902</t>
        </is>
      </c>
      <c r="B321" t="inlineStr">
        <is>
          <t>3.3.3 All Contractor direct support personnel shall obtain and maintain Secret Internet Protocol 
Router Network (SIPRNet) access.</t>
        </is>
      </c>
      <c r="C321" t="inlineStr">
        <is>
          <t>Yes</t>
        </is>
      </c>
      <c r="D321" t="inlineStr">
        <is>
          <t>High</t>
        </is>
      </c>
      <c r="E321" t="inlineStr">
        <is>
          <t>Not Started</t>
        </is>
      </c>
    </row>
    <row r="322">
      <c r="A322" t="inlineStr">
        <is>
          <t>REQ-00903</t>
        </is>
      </c>
      <c r="B322" t="inlineStr">
        <is>
          <t>3.3.4 A minimum of 25% of contractor direct support personnel shall obtain and maintain Joint 
Worldwide Intelligence Communications System (JWICS) access. 
DRAFT</t>
        </is>
      </c>
      <c r="C322" t="inlineStr">
        <is>
          <t>Yes</t>
        </is>
      </c>
      <c r="D322" t="inlineStr">
        <is>
          <t>High</t>
        </is>
      </c>
      <c r="E322" t="inlineStr">
        <is>
          <t>Not Started</t>
        </is>
      </c>
    </row>
    <row r="323">
      <c r="A323" t="inlineStr">
        <is>
          <t>REQ-00904</t>
        </is>
      </c>
      <c r="B323" t="inlineStr">
        <is>
          <t>3.3.5 The Government Contracting Officer’s Representative will determine who is nominated 
for SCI access based upon recommendations from the Contractor’s Program Manager</t>
        </is>
      </c>
      <c r="C323" t="inlineStr">
        <is>
          <t>No</t>
        </is>
      </c>
      <c r="D323" t="inlineStr">
        <is>
          <t>Medium</t>
        </is>
      </c>
      <c r="E323" t="inlineStr">
        <is>
          <t>Not Started</t>
        </is>
      </c>
    </row>
    <row r="324">
      <c r="A324" t="inlineStr">
        <is>
          <t>REQ-00905</t>
        </is>
      </c>
      <c r="B324" t="inlineStr">
        <is>
          <t>3.3.6 The SPO will provide the system security classification and guidance as required. Work 
involving access to or production of classified information will be performed at the 
direction of the ...</t>
        </is>
      </c>
      <c r="C324" t="inlineStr">
        <is>
          <t>Yes</t>
        </is>
      </c>
      <c r="D324" t="inlineStr">
        <is>
          <t>Medium</t>
        </is>
      </c>
      <c r="E324" t="inlineStr">
        <is>
          <t>Not Started</t>
        </is>
      </c>
    </row>
    <row r="325">
      <c r="A325" t="inlineStr">
        <is>
          <t>REQ-00906</t>
        </is>
      </c>
      <c r="B325" t="inlineStr">
        <is>
          <t>3.3.7 The Contractor shall obtain the latest facility/installation and IT requirements for 
network access from the applicable local Security Office. Granting of logical and 
physical access privil...</t>
        </is>
      </c>
      <c r="C325" t="inlineStr">
        <is>
          <t>Yes</t>
        </is>
      </c>
      <c r="D325" t="inlineStr">
        <is>
          <t>High</t>
        </is>
      </c>
      <c r="E325" t="inlineStr">
        <is>
          <t>Not Started</t>
        </is>
      </c>
    </row>
    <row r="326">
      <c r="A326" t="inlineStr">
        <is>
          <t>REQ-00907</t>
        </is>
      </c>
      <c r="B326" t="inlineStr">
        <is>
          <t>4.1.1 The Contractor shall establish and maintain a 24/7 NOC at VSFB.</t>
        </is>
      </c>
      <c r="C326" t="inlineStr">
        <is>
          <t>Yes</t>
        </is>
      </c>
      <c r="D326" t="inlineStr">
        <is>
          <t>High</t>
        </is>
      </c>
      <c r="E326" t="inlineStr">
        <is>
          <t>Not Started</t>
        </is>
      </c>
    </row>
    <row r="327">
      <c r="A327" t="inlineStr">
        <is>
          <t>REQ-00908</t>
        </is>
      </c>
      <c r="B327" t="inlineStr">
        <is>
          <t>4.1.2 The Contractor shall modify and maintain Government provided procedures, training, 
call trees, and other product support material as needed. Where necessary, the Contractor 
shall coordinate...</t>
        </is>
      </c>
      <c r="C327" t="inlineStr">
        <is>
          <t>Yes</t>
        </is>
      </c>
      <c r="D327" t="inlineStr">
        <is>
          <t>High</t>
        </is>
      </c>
      <c r="E327" t="inlineStr">
        <is>
          <t>Not Started</t>
        </is>
      </c>
    </row>
    <row r="328">
      <c r="A328" t="inlineStr">
        <is>
          <t>REQ-00909</t>
        </is>
      </c>
      <c r="B328" t="inlineStr">
        <is>
          <t>4.1.3 The Contractor shall coordinate with platform, data, and application teams to modify 
monitoring / operational dashboards as needed to support the Contractor’s ability to 
efficiently run thr...</t>
        </is>
      </c>
      <c r="C328" t="inlineStr">
        <is>
          <t>Yes</t>
        </is>
      </c>
      <c r="D328" t="inlineStr">
        <is>
          <t>High</t>
        </is>
      </c>
      <c r="E328" t="inlineStr">
        <is>
          <t>Not Started</t>
        </is>
      </c>
    </row>
    <row r="329">
      <c r="A329" t="inlineStr">
        <is>
          <t>REQ-00910</t>
        </is>
      </c>
      <c r="B329" t="inlineStr">
        <is>
          <t>4.1.4 The Contractor shall develop a consolidated training plan for 24/7 NOC team member 
certification.</t>
        </is>
      </c>
      <c r="C329" t="inlineStr">
        <is>
          <t>Yes</t>
        </is>
      </c>
      <c r="D329" t="inlineStr">
        <is>
          <t>High</t>
        </is>
      </c>
      <c r="E329" t="inlineStr">
        <is>
          <t>Not Started</t>
        </is>
      </c>
    </row>
    <row r="330">
      <c r="A330" t="inlineStr">
        <is>
          <t>REQ-00911</t>
        </is>
      </c>
      <c r="B330" t="inlineStr">
        <is>
          <t>4.1.5 The Contractor shall develop and implement 24/7 NOC crew facility layout in 
coordination with 18 SDS, Space C2 platform teams, and other Contractor-identified 
units. Note: The SPO anticipat...</t>
        </is>
      </c>
      <c r="C330" t="inlineStr">
        <is>
          <t>Yes</t>
        </is>
      </c>
      <c r="D330" t="inlineStr">
        <is>
          <t>High</t>
        </is>
      </c>
      <c r="E330" t="inlineStr">
        <is>
          <t>Not Started</t>
        </is>
      </c>
    </row>
    <row r="331">
      <c r="A331" t="inlineStr">
        <is>
          <t>REQ-00912</t>
        </is>
      </c>
      <c r="B331" t="inlineStr">
        <is>
          <t>4.1.5.1 A minimum of 50% of crew strength must be maintained as bench strength in the 
event of incapacitation.</t>
        </is>
      </c>
      <c r="C331" t="inlineStr">
        <is>
          <t>Yes</t>
        </is>
      </c>
      <c r="D331" t="inlineStr">
        <is>
          <t>High</t>
        </is>
      </c>
      <c r="E331" t="inlineStr">
        <is>
          <t>Not Started</t>
        </is>
      </c>
    </row>
    <row r="332">
      <c r="A332" t="inlineStr">
        <is>
          <t>REQ-00913</t>
        </is>
      </c>
      <c r="B332" t="inlineStr">
        <is>
          <t>4.2.1 The Contractor shall provide 24/7 Tier 1 support to Space C2 software products, network 
interfaces, network infrastructure, infrastructure, and platform services. Tier 1 support 
can be gene...</t>
        </is>
      </c>
      <c r="C332" t="inlineStr">
        <is>
          <t>Yes</t>
        </is>
      </c>
      <c r="D332" t="inlineStr">
        <is>
          <t>High</t>
        </is>
      </c>
      <c r="E332" t="inlineStr">
        <is>
          <t>Not Started</t>
        </is>
      </c>
    </row>
    <row r="333">
      <c r="A333" t="inlineStr">
        <is>
          <t>REQ-00914</t>
        </is>
      </c>
      <c r="B333" t="inlineStr">
        <is>
          <t>4.2.2 The Contractor shall provide system health utilizing dashboards and call tree procedures.</t>
        </is>
      </c>
      <c r="C333" t="inlineStr">
        <is>
          <t>Yes</t>
        </is>
      </c>
      <c r="D333" t="inlineStr">
        <is>
          <t>High</t>
        </is>
      </c>
      <c r="E333" t="inlineStr">
        <is>
          <t>Not Started</t>
        </is>
      </c>
    </row>
    <row r="334">
      <c r="A334" t="inlineStr">
        <is>
          <t>REQ-00915</t>
        </is>
      </c>
      <c r="B334" t="inlineStr">
        <is>
          <t>4.2.3 The Contractor shall utilize screen captures, user-reported symptoms, and any other 
available information to document off nominal conditions.</t>
        </is>
      </c>
      <c r="C334" t="inlineStr">
        <is>
          <t>Yes</t>
        </is>
      </c>
      <c r="D334" t="inlineStr">
        <is>
          <t>High</t>
        </is>
      </c>
      <c r="E334" t="inlineStr">
        <is>
          <t>Not Started</t>
        </is>
      </c>
    </row>
    <row r="335">
      <c r="A335" t="inlineStr">
        <is>
          <t>REQ-00916</t>
        </is>
      </c>
      <c r="B335" t="inlineStr">
        <is>
          <t>4.2.4 The Contractor shall report deviations from nominal system conditions in an end of shift 
report, to include what software or systems are showing off nominal conditions, the 
symptoms, and th...</t>
        </is>
      </c>
      <c r="C335" t="inlineStr">
        <is>
          <t>Yes</t>
        </is>
      </c>
      <c r="D335" t="inlineStr">
        <is>
          <t>High</t>
        </is>
      </c>
      <c r="E335" t="inlineStr">
        <is>
          <t>Not Started</t>
        </is>
      </c>
    </row>
    <row r="336">
      <c r="A336" t="inlineStr">
        <is>
          <t>REQ-00917</t>
        </is>
      </c>
      <c r="B336" t="inlineStr">
        <is>
          <t>4.2.5 The Contractor shall relay off-nominal conditions to Tier 2 and/or Tier 3 product support 
tiers based on documented procedures. The information shall be relayed at the lowest 
security level...</t>
        </is>
      </c>
      <c r="C336" t="inlineStr">
        <is>
          <t>Yes</t>
        </is>
      </c>
      <c r="D336" t="inlineStr">
        <is>
          <t>High</t>
        </is>
      </c>
      <c r="E336" t="inlineStr">
        <is>
          <t>Not Started</t>
        </is>
      </c>
    </row>
    <row r="337">
      <c r="A337" t="inlineStr">
        <is>
          <t>REQ-00918</t>
        </is>
      </c>
      <c r="B337" t="inlineStr">
        <is>
          <t>4.2.6 The Contractor shall coordinate with the Space C2 configuration management and cyber 
teams to disposition any system configuration changes required to respond to system 
outages.</t>
        </is>
      </c>
      <c r="C337" t="inlineStr">
        <is>
          <t>Yes</t>
        </is>
      </c>
      <c r="D337" t="inlineStr">
        <is>
          <t>High</t>
        </is>
      </c>
      <c r="E337" t="inlineStr">
        <is>
          <t>Not Started</t>
        </is>
      </c>
    </row>
    <row r="338">
      <c r="A338" t="inlineStr">
        <is>
          <t>REQ-00919</t>
        </is>
      </c>
      <c r="B338" t="inlineStr">
        <is>
          <t>4.3.1 The Contractor shall provide 24/7 on-site support for Space C2 software capabilities. 
This includes monitoring at Secret for on-prem and cloud-hosted (Impact Level-6) 
software applications ...</t>
        </is>
      </c>
      <c r="C338" t="inlineStr">
        <is>
          <t>Yes</t>
        </is>
      </c>
      <c r="D338" t="inlineStr">
        <is>
          <t>High</t>
        </is>
      </c>
      <c r="E338" t="inlineStr">
        <is>
          <t>Not Started</t>
        </is>
      </c>
    </row>
    <row r="339">
      <c r="A339" t="inlineStr">
        <is>
          <t>REQ-00920</t>
        </is>
      </c>
      <c r="B339" t="inlineStr">
        <is>
          <t>4.3.2 The Contractor shall resolve basic user system access issues identified in Section 4.2.</t>
        </is>
      </c>
      <c r="C339" t="inlineStr">
        <is>
          <t>Yes</t>
        </is>
      </c>
      <c r="D339" t="inlineStr">
        <is>
          <t>High</t>
        </is>
      </c>
      <c r="E339" t="inlineStr">
        <is>
          <t>Not Started</t>
        </is>
      </c>
    </row>
    <row r="340">
      <c r="A340" t="inlineStr">
        <is>
          <t>REQ-00921</t>
        </is>
      </c>
      <c r="B340" t="inlineStr">
        <is>
          <t>4.3.3 The Contractor shall track system status and trends from the provided dashboards to 
predict and restore system operational capabilities in a Government approved report.</t>
        </is>
      </c>
      <c r="C340" t="inlineStr">
        <is>
          <t>Yes</t>
        </is>
      </c>
      <c r="D340" t="inlineStr">
        <is>
          <t>High</t>
        </is>
      </c>
      <c r="E340" t="inlineStr">
        <is>
          <t>Not Started</t>
        </is>
      </c>
    </row>
    <row r="341">
      <c r="A341" t="inlineStr">
        <is>
          <t>REQ-00922</t>
        </is>
      </c>
      <c r="B341" t="inlineStr">
        <is>
          <t>4.3.4 The Contractor shall execute workflows to inform and track Tier 2 support regarding a 
failure mode or degradation of service pertaining to that system. In the case of unclear 
DRAFT</t>
        </is>
      </c>
      <c r="C341" t="inlineStr">
        <is>
          <t>Yes</t>
        </is>
      </c>
      <c r="D341" t="inlineStr">
        <is>
          <t>High</t>
        </is>
      </c>
      <c r="E341" t="inlineStr">
        <is>
          <t>Not Started</t>
        </is>
      </c>
    </row>
    <row r="342">
      <c r="A342" t="inlineStr">
        <is>
          <t>REQ-00923</t>
        </is>
      </c>
      <c r="B342" t="inlineStr">
        <is>
          <t>CUI 
 CUI 16  
cause of degradation, the Contractor shall perform initial contact to multiple Tier 2 
contacts to further identify the source of the failure.</t>
        </is>
      </c>
      <c r="C342" t="inlineStr">
        <is>
          <t>Yes</t>
        </is>
      </c>
      <c r="D342" t="inlineStr">
        <is>
          <t>High</t>
        </is>
      </c>
      <c r="E342" t="inlineStr">
        <is>
          <t>Not Started</t>
        </is>
      </c>
    </row>
    <row r="343">
      <c r="A343" t="inlineStr">
        <is>
          <t>REQ-00924</t>
        </is>
      </c>
      <c r="B343" t="inlineStr">
        <is>
          <t>4.3.5 The Contractor shall provide 24/7 on-call software support to include reach-back 
capabilities for all Commercial-Off-The-Shelf (COTS) and Government-Off-The-Shelf 
(GOTS) software.</t>
        </is>
      </c>
      <c r="C343" t="inlineStr">
        <is>
          <t>Yes</t>
        </is>
      </c>
      <c r="D343" t="inlineStr">
        <is>
          <t>High</t>
        </is>
      </c>
      <c r="E343" t="inlineStr">
        <is>
          <t>Not Started</t>
        </is>
      </c>
    </row>
    <row r="344">
      <c r="A344" t="inlineStr">
        <is>
          <t>REQ-00925</t>
        </is>
      </c>
      <c r="B344" t="inlineStr">
        <is>
          <t>4.3.6 The Contractor shall serve as a 24/7 help desk. This includes assisting users with 
resolving basic system access issues and maintaining track of system status to understand 
which systems ar...</t>
        </is>
      </c>
      <c r="C344" t="inlineStr">
        <is>
          <t>Yes</t>
        </is>
      </c>
      <c r="D344" t="inlineStr">
        <is>
          <t>High</t>
        </is>
      </c>
      <c r="E344" t="inlineStr">
        <is>
          <t>Not Started</t>
        </is>
      </c>
    </row>
    <row r="345">
      <c r="A345" t="inlineStr">
        <is>
          <t>REQ-00926</t>
        </is>
      </c>
      <c r="B345" t="inlineStr">
        <is>
          <t>4.4.1 The Contractor shall provide 24/7 on-site support for Space C2 networking capabilities. 
This includes network monitoring across Secret and TS/SCI for the following systems:  
• SPARTAN (netw...</t>
        </is>
      </c>
      <c r="C345" t="inlineStr">
        <is>
          <t>Yes</t>
        </is>
      </c>
      <c r="D345" t="inlineStr">
        <is>
          <t>High</t>
        </is>
      </c>
      <c r="E345" t="inlineStr">
        <is>
          <t>Not Started</t>
        </is>
      </c>
    </row>
    <row r="346">
      <c r="A346" t="inlineStr">
        <is>
          <t>REQ-00927</t>
        </is>
      </c>
      <c r="B346" t="inlineStr">
        <is>
          <t>4.4.2 The Contractor shall leverage the SPO JIRA ticketing system to track and close all 
networking issues regarding system failures.</t>
        </is>
      </c>
      <c r="C346" t="inlineStr">
        <is>
          <t>Yes</t>
        </is>
      </c>
      <c r="D346" t="inlineStr">
        <is>
          <t>High</t>
        </is>
      </c>
      <c r="E346" t="inlineStr">
        <is>
          <t>Not Started</t>
        </is>
      </c>
    </row>
    <row r="347">
      <c r="A347" t="inlineStr">
        <is>
          <t>REQ-00928</t>
        </is>
      </c>
      <c r="B347" t="inlineStr">
        <is>
          <t>4.4.3 The Contractor shall provide trained personnel that are continuously observing delivered 
dashboards, executing procedures that have been approved by the Government, and 
notifying Tier 2 and...</t>
        </is>
      </c>
      <c r="C347" t="inlineStr">
        <is>
          <t>Yes</t>
        </is>
      </c>
      <c r="D347" t="inlineStr">
        <is>
          <t>High</t>
        </is>
      </c>
      <c r="E347" t="inlineStr">
        <is>
          <t>Not Started</t>
        </is>
      </c>
    </row>
    <row r="348">
      <c r="A348" t="inlineStr">
        <is>
          <t>REQ-00930</t>
        </is>
      </c>
      <c r="B348" t="inlineStr">
        <is>
          <t>4.5 24/7 Network Monitor Function – Tier 1 Support</t>
        </is>
      </c>
      <c r="C348" t="inlineStr">
        <is>
          <t>No</t>
        </is>
      </c>
      <c r="D348" t="inlineStr">
        <is>
          <t>Medium</t>
        </is>
      </c>
      <c r="E348" t="inlineStr">
        <is>
          <t>Not Started</t>
        </is>
      </c>
    </row>
    <row r="349">
      <c r="A349" t="inlineStr">
        <is>
          <t>REQ-00931</t>
        </is>
      </c>
      <c r="B349" t="inlineStr">
        <is>
          <t>4.5.1 The Contractor shall execute tier 1 support directly for SPARTAN and SDANet.</t>
        </is>
      </c>
      <c r="C349" t="inlineStr">
        <is>
          <t>Yes</t>
        </is>
      </c>
      <c r="D349" t="inlineStr">
        <is>
          <t>High</t>
        </is>
      </c>
      <c r="E349" t="inlineStr">
        <is>
          <t>Not Started</t>
        </is>
      </c>
    </row>
    <row r="350">
      <c r="A350" t="inlineStr">
        <is>
          <t>REQ-00932</t>
        </is>
      </c>
      <c r="B350" t="inlineStr">
        <is>
          <t>4.5.2 The Contractor shall execute additional network connectivity checks to validate all 
network failures and to further identify the source of failed connection.</t>
        </is>
      </c>
      <c r="C350" t="inlineStr">
        <is>
          <t>Yes</t>
        </is>
      </c>
      <c r="D350" t="inlineStr">
        <is>
          <t>High</t>
        </is>
      </c>
      <c r="E350" t="inlineStr">
        <is>
          <t>Not Started</t>
        </is>
      </c>
    </row>
    <row r="351">
      <c r="A351" t="inlineStr">
        <is>
          <t>REQ-00933</t>
        </is>
      </c>
      <c r="B351" t="inlineStr">
        <is>
          <t>4.5.3 The Contractor shall monitor networking metrics to identify network congestion or other 
aspects of network degradation and report to the appropriate.</t>
        </is>
      </c>
      <c r="C351" t="inlineStr">
        <is>
          <t>Yes</t>
        </is>
      </c>
      <c r="D351" t="inlineStr">
        <is>
          <t>High</t>
        </is>
      </c>
      <c r="E351" t="inlineStr">
        <is>
          <t>Not Started</t>
        </is>
      </c>
    </row>
    <row r="352">
      <c r="A352" t="inlineStr">
        <is>
          <t>REQ-00934</t>
        </is>
      </c>
      <c r="B352" t="inlineStr">
        <is>
          <t>4.5.4 The Contractor shall continuously analyze workflow of metrics to further identify root 
causes in order to support reduction in cost latency, and increased throughput quarterly.   
DRAFT</t>
        </is>
      </c>
      <c r="C352" t="inlineStr">
        <is>
          <t>Yes</t>
        </is>
      </c>
      <c r="D352" t="inlineStr">
        <is>
          <t>High</t>
        </is>
      </c>
      <c r="E352" t="inlineStr">
        <is>
          <t>Not Started</t>
        </is>
      </c>
    </row>
    <row r="353">
      <c r="A353" t="inlineStr">
        <is>
          <t>REQ-00935</t>
        </is>
      </c>
      <c r="B353" t="inlineStr">
        <is>
          <t>4.5.5 The Contractor shall execute pre-determined contingency plans in the case of significant 
degradation to restore network service to critical operations.</t>
        </is>
      </c>
      <c r="C353" t="inlineStr">
        <is>
          <t>Yes</t>
        </is>
      </c>
      <c r="D353" t="inlineStr">
        <is>
          <t>High</t>
        </is>
      </c>
      <c r="E353" t="inlineStr">
        <is>
          <t>Not Started</t>
        </is>
      </c>
    </row>
    <row r="354">
      <c r="A354" t="inlineStr">
        <is>
          <t>REQ-00936</t>
        </is>
      </c>
      <c r="B354" t="inlineStr">
        <is>
          <t>4.5.6 The Contractor shall notify affected operators regarding a degradation in capability of 
network connectivity and perform pre-determined workflows.</t>
        </is>
      </c>
      <c r="C354" t="inlineStr">
        <is>
          <t>Yes</t>
        </is>
      </c>
      <c r="D354" t="inlineStr">
        <is>
          <t>High</t>
        </is>
      </c>
      <c r="E354" t="inlineStr">
        <is>
          <t>Not Started</t>
        </is>
      </c>
    </row>
    <row r="355">
      <c r="A355" t="inlineStr">
        <is>
          <t>REQ-00937</t>
        </is>
      </c>
      <c r="B355" t="inlineStr">
        <is>
          <t>4.5.7 The Contractor shall notify affected operators when network capabilities are restored or 
improved to nominal capabilities.</t>
        </is>
      </c>
      <c r="C355" t="inlineStr">
        <is>
          <t>Yes</t>
        </is>
      </c>
      <c r="D355" t="inlineStr">
        <is>
          <t>High</t>
        </is>
      </c>
      <c r="E355" t="inlineStr">
        <is>
          <t>Not Started</t>
        </is>
      </c>
    </row>
    <row r="356">
      <c r="A356" t="inlineStr">
        <is>
          <t>REQ-00938</t>
        </is>
      </c>
      <c r="B356" t="inlineStr">
        <is>
          <t>4.6 24/7 Infrastructure and Platform Monitoring</t>
        </is>
      </c>
      <c r="C356" t="inlineStr">
        <is>
          <t>No</t>
        </is>
      </c>
      <c r="D356" t="inlineStr">
        <is>
          <t>Medium</t>
        </is>
      </c>
      <c r="E356" t="inlineStr">
        <is>
          <t>Not Started</t>
        </is>
      </c>
    </row>
    <row r="357">
      <c r="A357" t="inlineStr">
        <is>
          <t>REQ-00939</t>
        </is>
      </c>
      <c r="B357" t="inlineStr">
        <is>
          <t>4.6.1 The Contractor shall provide Tier 1 24/7 support to include monitoring dashboards, 
performing trend analysis using key data parameters from dashboards, notification of 
"yellow" system state...</t>
        </is>
      </c>
      <c r="C357" t="inlineStr">
        <is>
          <t>Yes</t>
        </is>
      </c>
      <c r="D357" t="inlineStr">
        <is>
          <t>High</t>
        </is>
      </c>
      <c r="E357" t="inlineStr">
        <is>
          <t>Not Started</t>
        </is>
      </c>
    </row>
    <row r="358">
      <c r="A358" t="inlineStr">
        <is>
          <t>REQ-00940</t>
        </is>
      </c>
      <c r="B358" t="inlineStr">
        <is>
          <t>4.6.2 The Contractor shall execute workflows to inform and track Tier 2 support regarding a 
failure mode or degradation of platform or infrastructure service. In the case of unclear 
cause of degr...</t>
        </is>
      </c>
      <c r="C358" t="inlineStr">
        <is>
          <t>Yes</t>
        </is>
      </c>
      <c r="D358" t="inlineStr">
        <is>
          <t>High</t>
        </is>
      </c>
      <c r="E358" t="inlineStr">
        <is>
          <t>Not Started</t>
        </is>
      </c>
    </row>
    <row r="359">
      <c r="A359" t="inlineStr">
        <is>
          <t>REQ-00941</t>
        </is>
      </c>
      <c r="B359" t="inlineStr">
        <is>
          <t>5.1.1 The Contractor shall provide 5/12 support as specified in Section 3.1.3. This support 
shall include: 
• One primary and one secondary technician on call via telecom 
• 2-hour response time f...</t>
        </is>
      </c>
      <c r="C359" t="inlineStr">
        <is>
          <t>Yes</t>
        </is>
      </c>
      <c r="D359" t="inlineStr">
        <is>
          <t>High</t>
        </is>
      </c>
      <c r="E359" t="inlineStr">
        <is>
          <t>Not Started</t>
        </is>
      </c>
    </row>
    <row r="360">
      <c r="A360" t="inlineStr">
        <is>
          <t>REQ-00942</t>
        </is>
      </c>
      <c r="B360" t="inlineStr">
        <is>
          <t>5.1.2 The Contractor shall document discrepancies using three categories: 
• Routine: no impact to operational mission, can be resolved during normal duty hours 
• Urgent: results in limited system...</t>
        </is>
      </c>
      <c r="C360" t="inlineStr">
        <is>
          <t>Yes</t>
        </is>
      </c>
      <c r="D360" t="inlineStr">
        <is>
          <t>High</t>
        </is>
      </c>
      <c r="E360" t="inlineStr">
        <is>
          <t>Not Started</t>
        </is>
      </c>
    </row>
    <row r="361">
      <c r="A361" t="inlineStr">
        <is>
          <t>REQ-00943</t>
        </is>
      </c>
      <c r="B361" t="inlineStr">
        <is>
          <t>5.2.1 The Contractor shall maintain the below Space C2 Infrastructure items located in VSFB 
Building 8401. All Section 5.2 actions are in regards to the below infrastructure items. 
• Firewalls 
•...</t>
        </is>
      </c>
      <c r="C361" t="inlineStr">
        <is>
          <t>Yes</t>
        </is>
      </c>
      <c r="D361" t="inlineStr">
        <is>
          <t>High</t>
        </is>
      </c>
      <c r="E361" t="inlineStr">
        <is>
          <t>Not Started</t>
        </is>
      </c>
    </row>
    <row r="362">
      <c r="A362" t="inlineStr">
        <is>
          <t>REQ-00944</t>
        </is>
      </c>
      <c r="B362" t="inlineStr">
        <is>
          <t>CUI 
 CUI 18  
• Desktop support 
• Storage arrays  
• Edge Devices 
• Last mile connectivity to KM environment(s) 
• Manage external data feeds to Space C2 environments</t>
        </is>
      </c>
      <c r="C362" t="inlineStr">
        <is>
          <t>No</t>
        </is>
      </c>
      <c r="D362" t="inlineStr">
        <is>
          <t>Medium</t>
        </is>
      </c>
      <c r="E362" t="inlineStr">
        <is>
          <t>Not Started</t>
        </is>
      </c>
    </row>
    <row r="363">
      <c r="A363" t="inlineStr">
        <is>
          <t>REQ-00945</t>
        </is>
      </c>
      <c r="B363" t="inlineStr">
        <is>
          <t>5.2.2 The Contractor shall provide support to transition Space C2 mission operations from 
existing systems to modern products through scheduled and unscheduled support actions 
that maintain the s...</t>
        </is>
      </c>
      <c r="C363" t="inlineStr">
        <is>
          <t>Yes</t>
        </is>
      </c>
      <c r="D363" t="inlineStr">
        <is>
          <t>High</t>
        </is>
      </c>
      <c r="E363" t="inlineStr">
        <is>
          <t>Not Started</t>
        </is>
      </c>
    </row>
    <row r="364">
      <c r="A364" t="inlineStr">
        <is>
          <t>REQ-00946</t>
        </is>
      </c>
      <c r="B364" t="inlineStr">
        <is>
          <t>5.2.3 The Contractor shall train and provide on-prem support to the Space C2 Hardware as a 
Service (HaaS) team.</t>
        </is>
      </c>
      <c r="C364" t="inlineStr">
        <is>
          <t>Yes</t>
        </is>
      </c>
      <c r="D364" t="inlineStr">
        <is>
          <t>High</t>
        </is>
      </c>
      <c r="E364" t="inlineStr">
        <is>
          <t>Not Started</t>
        </is>
      </c>
    </row>
    <row r="365">
      <c r="A365" t="inlineStr">
        <is>
          <t>REQ-00947</t>
        </is>
      </c>
      <c r="B365" t="inlineStr">
        <is>
          <t>5.2.4 The Contractor shall deliver hands-on expertise and configuration as well as maintain 
admin and super user accounts for each.</t>
        </is>
      </c>
      <c r="C365" t="inlineStr">
        <is>
          <t>Yes</t>
        </is>
      </c>
      <c r="D365" t="inlineStr">
        <is>
          <t>High</t>
        </is>
      </c>
      <c r="E365" t="inlineStr">
        <is>
          <t>Not Started</t>
        </is>
      </c>
    </row>
    <row r="366">
      <c r="A366" t="inlineStr">
        <is>
          <t>REQ-00948</t>
        </is>
      </c>
      <c r="B366" t="inlineStr">
        <is>
          <t>5.2.5 The Contractor shall ensure each of the items are properly documented, configuration 
controlled through Space C2 CMB process, and up to date with security relevant 
software/firmware upgrades.</t>
        </is>
      </c>
      <c r="C366" t="inlineStr">
        <is>
          <t>Yes</t>
        </is>
      </c>
      <c r="D366" t="inlineStr">
        <is>
          <t>High</t>
        </is>
      </c>
      <c r="E366" t="inlineStr">
        <is>
          <t>Not Started</t>
        </is>
      </c>
    </row>
    <row r="367">
      <c r="A367" t="inlineStr">
        <is>
          <t>REQ-00949</t>
        </is>
      </c>
      <c r="B367" t="inlineStr">
        <is>
          <t>5.2.6 The Contractor shall conduct and support system level troubleshooting and fault 
isolation.</t>
        </is>
      </c>
      <c r="C367" t="inlineStr">
        <is>
          <t>Yes</t>
        </is>
      </c>
      <c r="D367" t="inlineStr">
        <is>
          <t>High</t>
        </is>
      </c>
      <c r="E367" t="inlineStr">
        <is>
          <t>Not Started</t>
        </is>
      </c>
    </row>
    <row r="368">
      <c r="A368" t="inlineStr">
        <is>
          <t>REQ-00950</t>
        </is>
      </c>
      <c r="B368" t="inlineStr">
        <is>
          <t>5.2.7 The Contractor shall maintain an operational relevant spare posture for on-prem 
infrastructure.</t>
        </is>
      </c>
      <c r="C368" t="inlineStr">
        <is>
          <t>Yes</t>
        </is>
      </c>
      <c r="D368" t="inlineStr">
        <is>
          <t>High</t>
        </is>
      </c>
      <c r="E368" t="inlineStr">
        <is>
          <t>Not Started</t>
        </is>
      </c>
    </row>
    <row r="369">
      <c r="A369" t="inlineStr">
        <is>
          <t>REQ-00951</t>
        </is>
      </c>
      <c r="B369" t="inlineStr">
        <is>
          <t>5.2.8 The Contractor shall manage software licenses and warranties required to run and 
support all on-prem infrastructure. This includes managing license and certificate 
expirations, ensuring tha...</t>
        </is>
      </c>
      <c r="C369" t="inlineStr">
        <is>
          <t>Yes</t>
        </is>
      </c>
      <c r="D369" t="inlineStr">
        <is>
          <t>High</t>
        </is>
      </c>
      <c r="E369" t="inlineStr">
        <is>
          <t>Not Started</t>
        </is>
      </c>
    </row>
    <row r="370">
      <c r="A370" t="inlineStr">
        <is>
          <t>REQ-00952</t>
        </is>
      </c>
      <c r="B370" t="inlineStr">
        <is>
          <t>5.2.9 The Contractor shall coordinate with Base IT, Infrastructure Teams, the SPO, and other 
relevant organizations for connections and approvals for changes.</t>
        </is>
      </c>
      <c r="C370" t="inlineStr">
        <is>
          <t>Yes</t>
        </is>
      </c>
      <c r="D370" t="inlineStr">
        <is>
          <t>High</t>
        </is>
      </c>
      <c r="E370" t="inlineStr">
        <is>
          <t>Not Started</t>
        </is>
      </c>
    </row>
    <row r="371">
      <c r="A371" t="inlineStr">
        <is>
          <t>REQ-00953</t>
        </is>
      </c>
      <c r="B371" t="inlineStr">
        <is>
          <t>5.2.10 The Contractor shall participate in local area and Space C2 change boards when they 
impact or have the potential to impact Space C2 efforts. 
DRAFT</t>
        </is>
      </c>
      <c r="C371" t="inlineStr">
        <is>
          <t>Yes</t>
        </is>
      </c>
      <c r="D371" t="inlineStr">
        <is>
          <t>High</t>
        </is>
      </c>
      <c r="E371" t="inlineStr">
        <is>
          <t>Not Started</t>
        </is>
      </c>
    </row>
    <row r="372">
      <c r="A372" t="inlineStr">
        <is>
          <t>REQ-00954</t>
        </is>
      </c>
      <c r="B372" t="inlineStr">
        <is>
          <t>5.2.11 The Contractor shall coordinate and support the execution of various cybersecurity 
analyses to include both hands-on vulnerability tests as well as passive cyber analyses.</t>
        </is>
      </c>
      <c r="C372" t="inlineStr">
        <is>
          <t>Yes</t>
        </is>
      </c>
      <c r="D372" t="inlineStr">
        <is>
          <t>High</t>
        </is>
      </c>
      <c r="E372" t="inlineStr">
        <is>
          <t>Not Started</t>
        </is>
      </c>
    </row>
    <row r="373">
      <c r="A373" t="inlineStr">
        <is>
          <t>REQ-00955</t>
        </is>
      </c>
      <c r="B373" t="inlineStr">
        <is>
          <t>5.2.12 The Contractor shall maintain appropriate on-prem expertise to complete all urgent and 
non-urgent tasking to include on-boarding and training new members of the team.</t>
        </is>
      </c>
      <c r="C373" t="inlineStr">
        <is>
          <t>Yes</t>
        </is>
      </c>
      <c r="D373" t="inlineStr">
        <is>
          <t>High</t>
        </is>
      </c>
      <c r="E373" t="inlineStr">
        <is>
          <t>Not Started</t>
        </is>
      </c>
    </row>
    <row r="374">
      <c r="A374" t="inlineStr">
        <is>
          <t>REQ-00956</t>
        </is>
      </c>
      <c r="B374" t="inlineStr">
        <is>
          <t>5.2.13 The Contractor shall work with the SPO and HaaS teams to determine and prioritize 
tasking.</t>
        </is>
      </c>
      <c r="C374" t="inlineStr">
        <is>
          <t>Yes</t>
        </is>
      </c>
      <c r="D374" t="inlineStr">
        <is>
          <t>High</t>
        </is>
      </c>
      <c r="E374" t="inlineStr">
        <is>
          <t>Not Started</t>
        </is>
      </c>
    </row>
    <row r="375">
      <c r="A375" t="inlineStr">
        <is>
          <t>REQ-00957</t>
        </is>
      </c>
      <c r="B375" t="inlineStr">
        <is>
          <t>5.2.14 The Contractor shall inform the SPO and HaaS teams in a timely manner for high-risk 
tasks or those to which the on-prem team does not have the full scope or skills required 
to complete the...</t>
        </is>
      </c>
      <c r="C375" t="inlineStr">
        <is>
          <t>Yes</t>
        </is>
      </c>
      <c r="D375" t="inlineStr">
        <is>
          <t>High</t>
        </is>
      </c>
      <c r="E375" t="inlineStr">
        <is>
          <t>Not Started</t>
        </is>
      </c>
    </row>
    <row r="376">
      <c r="A376" t="inlineStr">
        <is>
          <t>REQ-00958</t>
        </is>
      </c>
      <c r="B376" t="inlineStr">
        <is>
          <t>5.3.1 The Contractor shall serve as an extension of Space C2 teams, acting as a standalone 
service desk to users during regular hours.</t>
        </is>
      </c>
      <c r="C376" t="inlineStr">
        <is>
          <t>Yes</t>
        </is>
      </c>
      <c r="D376" t="inlineStr">
        <is>
          <t>High</t>
        </is>
      </c>
      <c r="E376" t="inlineStr">
        <is>
          <t>Not Started</t>
        </is>
      </c>
    </row>
    <row r="377">
      <c r="A377" t="inlineStr">
        <is>
          <t>REQ-00959</t>
        </is>
      </c>
      <c r="B377" t="inlineStr">
        <is>
          <t>5.3.2 The Contractor shall assist with access and visit requests to the facility with Government 
coordination and approval.</t>
        </is>
      </c>
      <c r="C377" t="inlineStr">
        <is>
          <t>Yes</t>
        </is>
      </c>
      <c r="D377" t="inlineStr">
        <is>
          <t>High</t>
        </is>
      </c>
      <c r="E377" t="inlineStr">
        <is>
          <t>Not Started</t>
        </is>
      </c>
    </row>
    <row r="378">
      <c r="A378" t="inlineStr">
        <is>
          <t>REQ-00960</t>
        </is>
      </c>
      <c r="B378" t="inlineStr">
        <is>
          <t>5.3.3 The Contractor shall perform file transfers from low to high side to support tests and/or 
operations with Government approval.</t>
        </is>
      </c>
      <c r="C378" t="inlineStr">
        <is>
          <t>Yes</t>
        </is>
      </c>
      <c r="D378" t="inlineStr">
        <is>
          <t>High</t>
        </is>
      </c>
      <c r="E378" t="inlineStr">
        <is>
          <t>Not Started</t>
        </is>
      </c>
    </row>
    <row r="379">
      <c r="A379" t="inlineStr">
        <is>
          <t>REQ-00961</t>
        </is>
      </c>
      <c r="B379" t="inlineStr">
        <is>
          <t>5.3.4 The Contractor shall establish and maintain user accounts and role-based access controls 
(RBAC).</t>
        </is>
      </c>
      <c r="C379" t="inlineStr">
        <is>
          <t>Yes</t>
        </is>
      </c>
      <c r="D379" t="inlineStr">
        <is>
          <t>High</t>
        </is>
      </c>
      <c r="E379" t="inlineStr">
        <is>
          <t>Not Started</t>
        </is>
      </c>
    </row>
    <row r="380">
      <c r="A380" t="inlineStr">
        <is>
          <t>REQ-00962</t>
        </is>
      </c>
      <c r="B380" t="inlineStr">
        <is>
          <t>5.3.5 The Contractor shall assign, renew, and change account passwords (also discussed in 
Section 4.2). 
6 Placeholder – any MOSSAIC Scope</t>
        </is>
      </c>
      <c r="C380" t="inlineStr">
        <is>
          <t>Yes</t>
        </is>
      </c>
      <c r="D380" t="inlineStr">
        <is>
          <t>High</t>
        </is>
      </c>
      <c r="E380" t="inlineStr">
        <is>
          <t>Not Started</t>
        </is>
      </c>
    </row>
    <row r="381">
      <c r="A381" t="inlineStr">
        <is>
          <t>REQ-00963</t>
        </is>
      </c>
      <c r="B381" t="inlineStr">
        <is>
          <t>7.1.1 The Contractor shall develop and ensure the successful implementation of a transition-in 
plan and identify dependencies which will require government acceptance.</t>
        </is>
      </c>
      <c r="C381" t="inlineStr">
        <is>
          <t>Yes</t>
        </is>
      </c>
      <c r="D381" t="inlineStr">
        <is>
          <t>High</t>
        </is>
      </c>
      <c r="E381" t="inlineStr">
        <is>
          <t>Not Started</t>
        </is>
      </c>
    </row>
    <row r="382">
      <c r="A382" t="inlineStr">
        <is>
          <t>REQ-00964</t>
        </is>
      </c>
      <c r="B382" t="inlineStr">
        <is>
          <t>7.1.2 The on-ramp plan shall include a plan for the successful transfer of the MOSSAIC Scope 
under the MOSSAIC DSC2-D contract, current 24/7 support under the NISSC II 
contract, and the Space C2 ...</t>
        </is>
      </c>
      <c r="C382" t="inlineStr">
        <is>
          <t>Yes</t>
        </is>
      </c>
      <c r="D382" t="inlineStr">
        <is>
          <t>High</t>
        </is>
      </c>
      <c r="E382" t="inlineStr">
        <is>
          <t>Not Started</t>
        </is>
      </c>
    </row>
    <row r="383">
      <c r="A383" t="inlineStr">
        <is>
          <t>REQ-00965</t>
        </is>
      </c>
      <c r="B383" t="inlineStr">
        <is>
          <t>7.1.3 The on-ramp plan shall include how the Contractor shall successfully integrate services 
and products and their respective environments. This includes, but is not limited to 
SDANet, SPARTAN,...</t>
        </is>
      </c>
      <c r="C383" t="inlineStr">
        <is>
          <t>Yes</t>
        </is>
      </c>
      <c r="D383" t="inlineStr">
        <is>
          <t>High</t>
        </is>
      </c>
      <c r="E383" t="inlineStr">
        <is>
          <t>Not Started</t>
        </is>
      </c>
    </row>
    <row r="384">
      <c r="A384" t="inlineStr">
        <is>
          <t>REQ-00966</t>
        </is>
      </c>
      <c r="B384" t="inlineStr">
        <is>
          <t>7.1.4 The on-ramp plan shall include the staffing required over time to complete the on-ramp 
and the Contractor’s plan for obtaining the associated staffing profile.</t>
        </is>
      </c>
      <c r="C384" t="inlineStr">
        <is>
          <t>Yes</t>
        </is>
      </c>
      <c r="D384" t="inlineStr">
        <is>
          <t>High</t>
        </is>
      </c>
      <c r="E384" t="inlineStr">
        <is>
          <t>Not Started</t>
        </is>
      </c>
    </row>
    <row r="385">
      <c r="A385" t="inlineStr">
        <is>
          <t>REQ-00967</t>
        </is>
      </c>
      <c r="B385" t="inlineStr">
        <is>
          <t>7.1.5 The Contractor shall develop and maintain a checklist and schedule of actions that must 
be accomplished by the end of the on-ramp period, not to exceed a 60-day duration.</t>
        </is>
      </c>
      <c r="C385" t="inlineStr">
        <is>
          <t>Yes</t>
        </is>
      </c>
      <c r="D385" t="inlineStr">
        <is>
          <t>High</t>
        </is>
      </c>
      <c r="E385" t="inlineStr">
        <is>
          <t>Not Started</t>
        </is>
      </c>
    </row>
    <row r="386">
      <c r="A386" t="inlineStr">
        <is>
          <t>REQ-00968</t>
        </is>
      </c>
      <c r="B386" t="inlineStr">
        <is>
          <t>7.1.6 The Contractor shall identify within the first 30 days of the on-ramp period all the 
government property, information, and/or data that the Contractor plans to transition for 
use on this ef...</t>
        </is>
      </c>
      <c r="C386" t="inlineStr">
        <is>
          <t>Yes</t>
        </is>
      </c>
      <c r="D386" t="inlineStr">
        <is>
          <t>High</t>
        </is>
      </c>
      <c r="E386" t="inlineStr">
        <is>
          <t>Not Started</t>
        </is>
      </c>
    </row>
    <row r="387">
      <c r="A387" t="inlineStr">
        <is>
          <t>REQ-00969</t>
        </is>
      </c>
      <c r="B387" t="inlineStr">
        <is>
          <t>7.1.7 The Contractor shall manage and execute the on-ramp plan to support transition of 
sustainment responsibilities, ensuring mission requirements are met without interruption.</t>
        </is>
      </c>
      <c r="C387" t="inlineStr">
        <is>
          <t>Yes</t>
        </is>
      </c>
      <c r="D387" t="inlineStr">
        <is>
          <t>High</t>
        </is>
      </c>
      <c r="E387" t="inlineStr">
        <is>
          <t>Not Started</t>
        </is>
      </c>
    </row>
    <row r="388">
      <c r="A388" t="inlineStr">
        <is>
          <t>REQ-00970</t>
        </is>
      </c>
      <c r="B388" t="inlineStr">
        <is>
          <t>7.1.8 The Contractor shall assume management responsibility for all government property, 
information, and/or data identified and approved by the SPO by the end of the on-ramp 
period.</t>
        </is>
      </c>
      <c r="C388" t="inlineStr">
        <is>
          <t>Yes</t>
        </is>
      </c>
      <c r="D388" t="inlineStr">
        <is>
          <t>High</t>
        </is>
      </c>
      <c r="E388" t="inlineStr">
        <is>
          <t>Not Started</t>
        </is>
      </c>
    </row>
    <row r="389">
      <c r="A389" t="inlineStr">
        <is>
          <t>REQ-00971</t>
        </is>
      </c>
      <c r="B389" t="inlineStr">
        <is>
          <t>7.1.9 The Contractor shall perform an accounting inventory during the on-ramp period to 
transfer equipment accountability.</t>
        </is>
      </c>
      <c r="C389" t="inlineStr">
        <is>
          <t>Yes</t>
        </is>
      </c>
      <c r="D389" t="inlineStr">
        <is>
          <t>High</t>
        </is>
      </c>
      <c r="E389" t="inlineStr">
        <is>
          <t>Not Started</t>
        </is>
      </c>
    </row>
    <row r="390">
      <c r="A390" t="inlineStr">
        <is>
          <t>REQ-00972</t>
        </is>
      </c>
      <c r="B390" t="inlineStr">
        <is>
          <t>7.1.10 The Contactor shall work with the SPO within the first 21 days of the on-ramp period to 
identify Associated Contractor Agreements (ACA) and Agreements with government 
organizations needed ...</t>
        </is>
      </c>
      <c r="C390" t="inlineStr">
        <is>
          <t>Yes</t>
        </is>
      </c>
      <c r="D390" t="inlineStr">
        <is>
          <t>High</t>
        </is>
      </c>
      <c r="E390" t="inlineStr">
        <is>
          <t>Not Started</t>
        </is>
      </c>
    </row>
    <row r="391">
      <c r="A391" t="inlineStr">
        <is>
          <t>REQ-00973</t>
        </is>
      </c>
      <c r="B391" t="inlineStr">
        <is>
          <t>7.1.11 The Contractor shall conduct an initial kick-off meeting and bi-weekly management 
reviews, during the on-ramp period, to provide status of the transition tasks, risks, and 
issues. The Cont...</t>
        </is>
      </c>
      <c r="C391" t="inlineStr">
        <is>
          <t>Yes</t>
        </is>
      </c>
      <c r="D391" t="inlineStr">
        <is>
          <t>High</t>
        </is>
      </c>
      <c r="E391" t="inlineStr">
        <is>
          <t>Not Started</t>
        </is>
      </c>
    </row>
    <row r="392">
      <c r="A392" t="inlineStr">
        <is>
          <t>REQ-00974</t>
        </is>
      </c>
      <c r="B392" t="inlineStr">
        <is>
          <t>7.2.1 The Contractor shall support a transition to a new contract(s) and/or new contractor(s) 
upon period of performance completion. Transition support shall begin up to 6-months 
prior to contrac...</t>
        </is>
      </c>
      <c r="C392" t="inlineStr">
        <is>
          <t>Yes</t>
        </is>
      </c>
      <c r="D392" t="inlineStr">
        <is>
          <t>High</t>
        </is>
      </c>
      <c r="E392" t="inlineStr">
        <is>
          <t>Not Started</t>
        </is>
      </c>
    </row>
    <row r="393">
      <c r="A393" t="inlineStr">
        <is>
          <t>REQ-00975</t>
        </is>
      </c>
      <c r="B393" t="inlineStr">
        <is>
          <t>7.2.2 The Contractor shall ensure the successful implementation of a transition plan and 
identify dependencies which will require government acceptance.</t>
        </is>
      </c>
      <c r="C393" t="inlineStr">
        <is>
          <t>Yes</t>
        </is>
      </c>
      <c r="D393" t="inlineStr">
        <is>
          <t>High</t>
        </is>
      </c>
      <c r="E393" t="inlineStr">
        <is>
          <t>Not Started</t>
        </is>
      </c>
    </row>
    <row r="394">
      <c r="A394" t="inlineStr">
        <is>
          <t>REQ-00976</t>
        </is>
      </c>
      <c r="B394" t="inlineStr">
        <is>
          <t>7.2.3 The transition plan shall ensure the successful transfer of responsibility for the total 
contract scope, or alternative sub-scope as specified by the SPO. Transfer of 
DRAFT</t>
        </is>
      </c>
      <c r="C394" t="inlineStr">
        <is>
          <t>Yes</t>
        </is>
      </c>
      <c r="D394" t="inlineStr">
        <is>
          <t>High</t>
        </is>
      </c>
      <c r="E394" t="inlineStr">
        <is>
          <t>Not Started</t>
        </is>
      </c>
    </row>
    <row r="395">
      <c r="A395" t="inlineStr">
        <is>
          <t>REQ-00977</t>
        </is>
      </c>
      <c r="B395" t="inlineStr">
        <is>
          <t>CUI 
 CUI 21  
responsibility includes ensuring the successful integration of services and products and 
their respective environments.</t>
        </is>
      </c>
      <c r="C395" t="inlineStr">
        <is>
          <t>No</t>
        </is>
      </c>
      <c r="D395" t="inlineStr">
        <is>
          <t>Medium</t>
        </is>
      </c>
      <c r="E395" t="inlineStr">
        <is>
          <t>Not Started</t>
        </is>
      </c>
    </row>
    <row r="396">
      <c r="A396" t="inlineStr">
        <is>
          <t>REQ-00978</t>
        </is>
      </c>
      <c r="B396" t="inlineStr">
        <is>
          <t>7.2.4 The Contractor shall manage and execute the transition, ensuring mission requirements 
are met without interruption. 
DRAFT</t>
        </is>
      </c>
      <c r="C396" t="inlineStr">
        <is>
          <t>Yes</t>
        </is>
      </c>
      <c r="D396" t="inlineStr">
        <is>
          <t>High</t>
        </is>
      </c>
      <c r="E396" t="inlineStr">
        <is>
          <t>Not Started</t>
        </is>
      </c>
    </row>
    <row r="398">
      <c r="A398" s="3" t="inlineStr">
        <is>
          <t>Section D (5 requirements)</t>
        </is>
      </c>
    </row>
    <row r="399">
      <c r="A399" s="4" t="inlineStr">
        <is>
          <t>ID</t>
        </is>
      </c>
      <c r="B399" s="4" t="inlineStr">
        <is>
          <t>Requirement</t>
        </is>
      </c>
      <c r="C399" s="4" t="inlineStr">
        <is>
          <t>Mandatory?</t>
        </is>
      </c>
      <c r="D399" s="4" t="inlineStr">
        <is>
          <t>Priority</t>
        </is>
      </c>
      <c r="E399" s="4" t="inlineStr">
        <is>
          <t>Status</t>
        </is>
      </c>
    </row>
    <row r="400">
      <c r="A400" t="inlineStr">
        <is>
          <t>REQ-00326</t>
        </is>
      </c>
      <c r="B400" t="inlineStr">
        <is>
          <t>(d) For each item that requires item unique identification under paragraph (c)(1)(i), (ii), or (iv) of         
this clause or when item unique identification is provided under paragraph (c)(1)(v),...</t>
        </is>
      </c>
      <c r="C400" t="inlineStr">
        <is>
          <t>No</t>
        </is>
      </c>
      <c r="D400" t="inlineStr">
        <is>
          <t>High</t>
        </is>
      </c>
      <c r="E400" t="inlineStr">
        <is>
          <t>Not Started</t>
        </is>
      </c>
    </row>
    <row r="401">
      <c r="A401" t="inlineStr">
        <is>
          <t>REQ-00379</t>
        </is>
      </c>
      <c r="B401" t="inlineStr">
        <is>
          <t>(d) .        
Requirements for data other than certified cost or pricing data</t>
        </is>
      </c>
      <c r="C401" t="inlineStr">
        <is>
          <t>No</t>
        </is>
      </c>
      <c r="D401" t="inlineStr">
        <is>
          <t>Medium</t>
        </is>
      </c>
      <c r="E401" t="inlineStr">
        <is>
          <t>Not Started</t>
        </is>
      </c>
    </row>
    <row r="402">
      <c r="A402" t="inlineStr">
        <is>
          <t>REQ-00399</t>
        </is>
      </c>
      <c r="B402" t="inlineStr">
        <is>
          <t>(d) The Contractor should follow the training instructions of the WAWF Web-        WAWF training.  
Based Training Course and use the Practice Training Site before submitting payment requests throu...</t>
        </is>
      </c>
      <c r="C402" t="inlineStr">
        <is>
          <t>No</t>
        </is>
      </c>
      <c r="D402" t="inlineStr">
        <is>
          <t>Medium</t>
        </is>
      </c>
      <c r="E402" t="inlineStr">
        <is>
          <t>Not Started</t>
        </is>
      </c>
    </row>
    <row r="403">
      <c r="A403" t="inlineStr">
        <is>
          <t>REQ-00423</t>
        </is>
      </c>
      <c r="B403" t="inlineStr">
        <is>
          <t>(d) In the event of termination for the convenience of the Government, this clause shall not be         
construed as affecting the allowability of special termination costs in any manner other tha...</t>
        </is>
      </c>
      <c r="C403" t="inlineStr">
        <is>
          <t>Yes</t>
        </is>
      </c>
      <c r="D403" t="inlineStr">
        <is>
          <t>High</t>
        </is>
      </c>
      <c r="E403" t="inlineStr">
        <is>
          <t>Not Started</t>
        </is>
      </c>
    </row>
    <row r="404">
      <c r="A404" t="inlineStr">
        <is>
          <t>REQ-00704</t>
        </is>
      </c>
      <c r="B404" t="inlineStr">
        <is>
          <t>(d) 
 . The Contractor shall comply with the provisions of Comptroller General Examination of Record
this paragraph (d) if this contract was awarded using other than sealed bid, is in excess of the...</t>
        </is>
      </c>
      <c r="C404" t="inlineStr">
        <is>
          <t>Yes</t>
        </is>
      </c>
      <c r="D404" t="inlineStr">
        <is>
          <t>High</t>
        </is>
      </c>
      <c r="E404" t="inlineStr">
        <is>
          <t>Not Started</t>
        </is>
      </c>
    </row>
    <row r="406">
      <c r="A406" s="3" t="inlineStr">
        <is>
          <t>Section E (7 requirements)</t>
        </is>
      </c>
    </row>
    <row r="407">
      <c r="A407" s="4" t="inlineStr">
        <is>
          <t>ID</t>
        </is>
      </c>
      <c r="B407" s="4" t="inlineStr">
        <is>
          <t>Requirement</t>
        </is>
      </c>
      <c r="C407" s="4" t="inlineStr">
        <is>
          <t>Mandatory?</t>
        </is>
      </c>
      <c r="D407" s="4" t="inlineStr">
        <is>
          <t>Priority</t>
        </is>
      </c>
      <c r="E407" s="4" t="inlineStr">
        <is>
          <t>Status</t>
        </is>
      </c>
    </row>
    <row r="408">
      <c r="A408" t="inlineStr">
        <is>
          <t>REQ-00338</t>
        </is>
      </c>
      <c r="B408" t="inlineStr">
        <is>
          <t>(e) For embedded subassemblies, components, and parts that require DoD item unique         
identification under paragraph (c)(1)(iii) of this clause or when item unique identification is provided ...</t>
        </is>
      </c>
      <c r="C408" t="inlineStr">
        <is>
          <t>No</t>
        </is>
      </c>
      <c r="D408" t="inlineStr">
        <is>
          <t>High</t>
        </is>
      </c>
      <c r="E408" t="inlineStr">
        <is>
          <t>Not Started</t>
        </is>
      </c>
    </row>
    <row r="409">
      <c r="A409" t="inlineStr">
        <is>
          <t>REQ-00388</t>
        </is>
      </c>
      <c r="B409" t="inlineStr">
        <is>
          <t>(e) . The Offeror shall insert the substance of this provision, including this paragraph         Subcontracts</t>
        </is>
      </c>
      <c r="C409" t="inlineStr">
        <is>
          <t>Yes</t>
        </is>
      </c>
      <c r="D409" t="inlineStr">
        <is>
          <t>High</t>
        </is>
      </c>
      <c r="E409" t="inlineStr">
        <is>
          <t>Not Started</t>
        </is>
      </c>
    </row>
    <row r="410">
      <c r="A410" t="inlineStr">
        <is>
          <t>REQ-00389</t>
        </is>
      </c>
      <c r="B410" t="inlineStr">
        <is>
          <t>(e), in all subcontracts exceeding the simplified acquisition threshold defined in FAR part 2. The Offeror 
shall require prospective subcontractors to adhere to the requirements of-</t>
        </is>
      </c>
      <c r="C410" t="inlineStr">
        <is>
          <t>Yes</t>
        </is>
      </c>
      <c r="D410" t="inlineStr">
        <is>
          <t>High</t>
        </is>
      </c>
      <c r="E410" t="inlineStr">
        <is>
          <t>Not Started</t>
        </is>
      </c>
    </row>
    <row r="411">
      <c r="A411" t="inlineStr">
        <is>
          <t>REQ-00400</t>
        </is>
      </c>
      <c r="B411" t="inlineStr">
        <is>
          <t>(e) Document submissions may be via web entry,         
WAWF methods of document submission.  
Electronic Data Interchange, or File Transfer Protocol.</t>
        </is>
      </c>
      <c r="C411" t="inlineStr">
        <is>
          <t>No</t>
        </is>
      </c>
      <c r="D411" t="inlineStr">
        <is>
          <t>Low</t>
        </is>
      </c>
      <c r="E411" t="inlineStr">
        <is>
          <t>Not Started</t>
        </is>
      </c>
    </row>
    <row r="412">
      <c r="A412" t="inlineStr">
        <is>
          <t>REQ-00424</t>
        </is>
      </c>
      <c r="B412" t="inlineStr">
        <is>
          <t>(e) This clause shall remain in full force and effect until this contract is fully funded.        
(End of clause)</t>
        </is>
      </c>
      <c r="C412" t="inlineStr">
        <is>
          <t>Yes</t>
        </is>
      </c>
      <c r="D412" t="inlineStr">
        <is>
          <t>High</t>
        </is>
      </c>
      <c r="E412" t="inlineStr">
        <is>
          <t>Not Started</t>
        </is>
      </c>
    </row>
    <row r="413">
      <c r="A413" t="inlineStr">
        <is>
          <t>REQ-00494</t>
        </is>
      </c>
      <c r="B413" t="inlineStr">
        <is>
          <t>(e)  Certification Regarding Payments to Influence Federal Transactions (31 http://uscode.house.gov/ 
. (Applies only if the contract is expected to exceed $150,000.) By submission of its offer, U....</t>
        </is>
      </c>
      <c r="C413" t="inlineStr">
        <is>
          <t>No</t>
        </is>
      </c>
      <c r="D413" t="inlineStr">
        <is>
          <t>High</t>
        </is>
      </c>
      <c r="E413" t="inlineStr">
        <is>
          <t>Not Started</t>
        </is>
      </c>
    </row>
    <row r="414">
      <c r="A414" t="inlineStr">
        <is>
          <t>REQ-00586</t>
        </is>
      </c>
      <c r="B414" t="inlineStr">
        <is>
          <t>(e)  (1) The clause at FAR 52.202-1, Definitions, is incorporated herein by reference. As Definitions.
used in this clause-</t>
        </is>
      </c>
      <c r="C414" t="inlineStr">
        <is>
          <t>No</t>
        </is>
      </c>
      <c r="D414" t="inlineStr">
        <is>
          <t>Medium</t>
        </is>
      </c>
      <c r="E414" t="inlineStr">
        <is>
          <t>Not Started</t>
        </is>
      </c>
    </row>
    <row r="416">
      <c r="A416" s="3" t="inlineStr">
        <is>
          <t>Section F (3 requirements)</t>
        </is>
      </c>
    </row>
    <row r="417">
      <c r="A417" s="4" t="inlineStr">
        <is>
          <t>ID</t>
        </is>
      </c>
      <c r="B417" s="4" t="inlineStr">
        <is>
          <t>Requirement</t>
        </is>
      </c>
      <c r="C417" s="4" t="inlineStr">
        <is>
          <t>Mandatory?</t>
        </is>
      </c>
      <c r="D417" s="4" t="inlineStr">
        <is>
          <t>Priority</t>
        </is>
      </c>
      <c r="E417" s="4" t="inlineStr">
        <is>
          <t>Status</t>
        </is>
      </c>
    </row>
    <row r="418">
      <c r="A418" t="inlineStr">
        <is>
          <t>REQ-00349</t>
        </is>
      </c>
      <c r="B418" t="inlineStr">
        <is>
          <t>(f) The Contractor shall submit the information required by paragraphs (d) and (e) of this clause as         
follows:</t>
        </is>
      </c>
      <c r="C418" t="inlineStr">
        <is>
          <t>Yes</t>
        </is>
      </c>
      <c r="D418" t="inlineStr">
        <is>
          <t>High</t>
        </is>
      </c>
      <c r="E418" t="inlineStr">
        <is>
          <t>Not Started</t>
        </is>
      </c>
    </row>
    <row r="419">
      <c r="A419" t="inlineStr">
        <is>
          <t>REQ-00401</t>
        </is>
      </c>
      <c r="B419" t="inlineStr">
        <is>
          <t>(f) The Contractor shall use the following information when         WAWF payment instructions.  
submitting payment requests and receiving reports in WAWF for this contract or task or delivery order:</t>
        </is>
      </c>
      <c r="C419" t="inlineStr">
        <is>
          <t>Yes</t>
        </is>
      </c>
      <c r="D419" t="inlineStr">
        <is>
          <t>High</t>
        </is>
      </c>
      <c r="E419" t="inlineStr">
        <is>
          <t>Not Started</t>
        </is>
      </c>
    </row>
    <row r="420">
      <c r="A420" t="inlineStr">
        <is>
          <t>REQ-00495</t>
        </is>
      </c>
      <c r="B420" t="inlineStr">
        <is>
          <t>(f)  . (Applies only if the clause at Federal Acquisition Regulation (FAR) Buy American Certificate</t>
        </is>
      </c>
      <c r="C420" t="inlineStr">
        <is>
          <t>No</t>
        </is>
      </c>
      <c r="D420" t="inlineStr">
        <is>
          <t>Medium</t>
        </is>
      </c>
      <c r="E420" t="inlineStr">
        <is>
          <t>Not Started</t>
        </is>
      </c>
    </row>
    <row r="422">
      <c r="A422" s="3" t="inlineStr">
        <is>
          <t>Section G (4 requirements)</t>
        </is>
      </c>
    </row>
    <row r="423">
      <c r="A423" s="4" t="inlineStr">
        <is>
          <t>ID</t>
        </is>
      </c>
      <c r="B423" s="4" t="inlineStr">
        <is>
          <t>Requirement</t>
        </is>
      </c>
      <c r="C423" s="4" t="inlineStr">
        <is>
          <t>Mandatory?</t>
        </is>
      </c>
      <c r="D423" s="4" t="inlineStr">
        <is>
          <t>Priority</t>
        </is>
      </c>
      <c r="E423" s="4" t="inlineStr">
        <is>
          <t>Status</t>
        </is>
      </c>
    </row>
    <row r="424">
      <c r="A424" t="inlineStr">
        <is>
          <t>REQ-00353</t>
        </is>
      </c>
      <c r="B424" t="inlineStr">
        <is>
          <t>(g) . If the Contractor acquires by subcontract, any item(s) for which item unique         Subcontracts   
identification is required in accordance with paragraph (c)(1) of this clause, the Contrac...</t>
        </is>
      </c>
      <c r="C424" t="inlineStr">
        <is>
          <t>Yes</t>
        </is>
      </c>
      <c r="D424" t="inlineStr">
        <is>
          <t>High</t>
        </is>
      </c>
      <c r="E424" t="inlineStr">
        <is>
          <t>Not Started</t>
        </is>
      </c>
    </row>
    <row r="425">
      <c r="A425" t="inlineStr">
        <is>
          <t>REQ-00507</t>
        </is>
      </c>
      <c r="B425" t="inlineStr">
        <is>
          <t>(g)(1)(ii) The offeror certifies that the following supplies are Israeli end products as defined in the 
clause of this solicitation entitled "Buy American-Free Trade Agreements-Israeli Trade Act":...</t>
        </is>
      </c>
      <c r="C425" t="inlineStr">
        <is>
          <t>No</t>
        </is>
      </c>
      <c r="D425" t="inlineStr">
        <is>
          <t>Medium</t>
        </is>
      </c>
      <c r="E425" t="inlineStr">
        <is>
          <t>Not Started</t>
        </is>
      </c>
    </row>
    <row r="426">
      <c r="A426" t="inlineStr">
        <is>
          <t>REQ-00509</t>
        </is>
      </c>
      <c r="B426" t="inlineStr">
        <is>
          <t>(g)(1)(i)(B) The terms "Korean end product", "commercially available off-the-shelf (COTS) item," 
"critical component," "domestic end product," "end product," "foreign end product," "Free Trade 
Ag...</t>
        </is>
      </c>
      <c r="C426" t="inlineStr">
        <is>
          <t>No</t>
        </is>
      </c>
      <c r="D426" t="inlineStr">
        <is>
          <t>Medium</t>
        </is>
      </c>
      <c r="E426" t="inlineStr">
        <is>
          <t>Not Started</t>
        </is>
      </c>
    </row>
    <row r="427">
      <c r="A427" t="inlineStr">
        <is>
          <t>REQ-00510</t>
        </is>
      </c>
      <c r="B427" t="inlineStr">
        <is>
          <t>(g)(1)(ii) The Offeror certifies that the following supplies are Korean end products or Israeli end 
products as defined in the clause of this solicitation entitled "Buy American-Free Trade Agreeme...</t>
        </is>
      </c>
      <c r="C427" t="inlineStr">
        <is>
          <t>No</t>
        </is>
      </c>
      <c r="D427" t="inlineStr">
        <is>
          <t>Medium</t>
        </is>
      </c>
      <c r="E427" t="inlineStr">
        <is>
          <t>Not Started</t>
        </is>
      </c>
    </row>
    <row r="429">
      <c r="A429" s="3" t="inlineStr">
        <is>
          <t>Section H (1 requirements)</t>
        </is>
      </c>
    </row>
    <row r="430">
      <c r="A430" s="4" t="inlineStr">
        <is>
          <t>ID</t>
        </is>
      </c>
      <c r="B430" s="4" t="inlineStr">
        <is>
          <t>Requirement</t>
        </is>
      </c>
      <c r="C430" s="4" t="inlineStr">
        <is>
          <t>Mandatory?</t>
        </is>
      </c>
      <c r="D430" s="4" t="inlineStr">
        <is>
          <t>Priority</t>
        </is>
      </c>
      <c r="E430" s="4" t="inlineStr">
        <is>
          <t>Status</t>
        </is>
      </c>
    </row>
    <row r="431">
      <c r="A431" t="inlineStr">
        <is>
          <t>REQ-00513</t>
        </is>
      </c>
      <c r="B431" t="inlineStr">
        <is>
          <t>(h) 
 ). (Applies only if the Certification Regarding Responsibility Matters (Executive Order 12689
contract value is expected to exceed the simplified acquisition threshold.) The offeror certifies...</t>
        </is>
      </c>
      <c r="C431" t="inlineStr">
        <is>
          <t>No</t>
        </is>
      </c>
      <c r="D431" t="inlineStr">
        <is>
          <t>Medium</t>
        </is>
      </c>
      <c r="E431" t="inlineStr">
        <is>
          <t>Not Started</t>
        </is>
      </c>
    </row>
    <row r="433">
      <c r="A433" s="3" t="inlineStr">
        <is>
          <t>Section I (47 requirements)</t>
        </is>
      </c>
    </row>
    <row r="434">
      <c r="A434" s="4" t="inlineStr">
        <is>
          <t>ID</t>
        </is>
      </c>
      <c r="B434" s="4" t="inlineStr">
        <is>
          <t>Requirement</t>
        </is>
      </c>
      <c r="C434" s="4" t="inlineStr">
        <is>
          <t>Mandatory?</t>
        </is>
      </c>
      <c r="D434" s="4" t="inlineStr">
        <is>
          <t>Priority</t>
        </is>
      </c>
      <c r="E434" s="4" t="inlineStr">
        <is>
          <t>Status</t>
        </is>
      </c>
    </row>
    <row r="435">
      <c r="A435" t="inlineStr">
        <is>
          <t>REQ-00317</t>
        </is>
      </c>
      <c r="B435" t="inlineStr">
        <is>
          <t>(i) Delivered items for which the Government's unit acquisition cost is $5,000 or more,                       
except for the following line items:    
Contract Line, Subline, or                   ...</t>
        </is>
      </c>
      <c r="C435" t="inlineStr">
        <is>
          <t>No</t>
        </is>
      </c>
      <c r="D435" t="inlineStr">
        <is>
          <t>Medium</t>
        </is>
      </c>
      <c r="E435" t="inlineStr">
        <is>
          <t>Not Started</t>
        </is>
      </c>
    </row>
    <row r="436">
      <c r="A436" t="inlineStr">
        <is>
          <t>REQ-00322</t>
        </is>
      </c>
      <c r="B436" t="inlineStr">
        <is>
          <t>(i) The data elements (except issuing agency code) of the unique item identifier are                       
encoded within the data matrix symbol that is marked on the item using one of the followi...</t>
        </is>
      </c>
      <c r="C436" t="inlineStr">
        <is>
          <t>No</t>
        </is>
      </c>
      <c r="D436" t="inlineStr">
        <is>
          <t>Medium</t>
        </is>
      </c>
      <c r="E436" t="inlineStr">
        <is>
          <t>Not Started</t>
        </is>
      </c>
    </row>
    <row r="437">
      <c r="A437" t="inlineStr">
        <is>
          <t>REQ-00324</t>
        </is>
      </c>
      <c r="B437" t="inlineStr">
        <is>
          <t>(i) The Contractor shall-                      
(A) Determine whether to-                              
Serialize within the enterprise identifier;                                    (1)   
DRAFT</t>
        </is>
      </c>
      <c r="C437" t="inlineStr">
        <is>
          <t>Yes</t>
        </is>
      </c>
      <c r="D437" t="inlineStr">
        <is>
          <t>High</t>
        </is>
      </c>
      <c r="E437" t="inlineStr">
        <is>
          <t>Not Started</t>
        </is>
      </c>
    </row>
    <row r="438">
      <c r="A438" t="inlineStr">
        <is>
          <t>REQ-00352</t>
        </is>
      </c>
      <c r="B438" t="inlineStr">
        <is>
          <t>(i) Use of the embedded items capability in WAWF;                      
(ii) Direct data submission to the IUID Registry following the procedures and formats at                       
http://dodpro...</t>
        </is>
      </c>
      <c r="C438" t="inlineStr">
        <is>
          <t>No</t>
        </is>
      </c>
      <c r="D438" t="inlineStr">
        <is>
          <t>Medium</t>
        </is>
      </c>
      <c r="E438" t="inlineStr">
        <is>
          <t>Not Started</t>
        </is>
      </c>
    </row>
    <row r="439">
      <c r="A439" t="inlineStr">
        <is>
          <t>REQ-00370</t>
        </is>
      </c>
      <c r="B439" t="inlineStr">
        <is>
          <t>(i)                      
Exception for price set by law or regulation - Identification of the law or regulation 
. If the price is controlled under law by periodic rulings, reviews, or similar est...</t>
        </is>
      </c>
      <c r="C439" t="inlineStr">
        <is>
          <t>No</t>
        </is>
      </c>
      <c r="D439" t="inlineStr">
        <is>
          <t>High</t>
        </is>
      </c>
      <c r="E439" t="inlineStr">
        <is>
          <t>Not Started</t>
        </is>
      </c>
    </row>
    <row r="440">
      <c r="A440" t="inlineStr">
        <is>
          <t>REQ-00387</t>
        </is>
      </c>
      <c r="B440" t="inlineStr">
        <is>
          <t>(i) Offerors shall obtain from subcontractors the information necessary to support a                       
determination of price reasonableness, as described in FAR part 15 and DFARS part 215.
(i...</t>
        </is>
      </c>
      <c r="C440" t="inlineStr">
        <is>
          <t>Yes</t>
        </is>
      </c>
      <c r="D440" t="inlineStr">
        <is>
          <t>High</t>
        </is>
      </c>
      <c r="E440" t="inlineStr">
        <is>
          <t>Not Started</t>
        </is>
      </c>
    </row>
    <row r="441">
      <c r="A441" t="inlineStr">
        <is>
          <t>REQ-00403</t>
        </is>
      </c>
      <c r="B441" t="inlineStr">
        <is>
          <t>(i) For cost-type line items, including labor-hour or time-and-materials, submit a cost                       
voucher.
(ii) For fixed price line items-                      
(A) That require shipm...</t>
        </is>
      </c>
      <c r="C441" t="inlineStr">
        <is>
          <t>No</t>
        </is>
      </c>
      <c r="D441" t="inlineStr">
        <is>
          <t>Medium</t>
        </is>
      </c>
      <c r="E441" t="inlineStr">
        <is>
          <t>Not Started</t>
        </is>
      </c>
    </row>
    <row r="442">
      <c r="A442" t="inlineStr">
        <is>
          <t>REQ-00449</t>
        </is>
      </c>
      <c r="B442" t="inlineStr">
        <is>
          <t>(i)  To restrict the free flow of unbiased information in Iran; or
(ii)  To disrupt, monitor, or otherwise restrict speech of the people of Iran; and</t>
        </is>
      </c>
      <c r="C442" t="inlineStr">
        <is>
          <t>No</t>
        </is>
      </c>
      <c r="D442" t="inlineStr">
        <is>
          <t>Medium</t>
        </is>
      </c>
      <c r="E442" t="inlineStr">
        <is>
          <t>Not Started</t>
        </is>
      </c>
    </row>
    <row r="443">
      <c r="A443" t="inlineStr">
        <is>
          <t>REQ-00451</t>
        </is>
      </c>
      <c r="B443" t="inlineStr">
        <is>
          <t>(i)  Not less than 51 percent of which is owned and controlled by one or more service-disabled 
veterans or, in the case of any publicly owned business, not less than 51 percent of the stock of whi...</t>
        </is>
      </c>
      <c r="C443" t="inlineStr">
        <is>
          <t>No</t>
        </is>
      </c>
      <c r="D443" t="inlineStr">
        <is>
          <t>Medium</t>
        </is>
      </c>
      <c r="E443" t="inlineStr">
        <is>
          <t>Not Started</t>
        </is>
      </c>
    </row>
    <row r="444">
      <c r="A444" t="inlineStr">
        <is>
          <t>REQ-00460</t>
        </is>
      </c>
      <c r="B444" t="inlineStr">
        <is>
          <t>(i)  One or more socially disadvantaged (as defined at13 CFR 124.103) and economically 
disadvantaged (as defined at ) individuals who are citizens of the United States; and13 CFR 124.104
(ii)  Eac...</t>
        </is>
      </c>
      <c r="C444" t="inlineStr">
        <is>
          <t>No</t>
        </is>
      </c>
      <c r="D444" t="inlineStr">
        <is>
          <t>Medium</t>
        </is>
      </c>
      <c r="E444" t="inlineStr">
        <is>
          <t>Not Started</t>
        </is>
      </c>
    </row>
    <row r="445">
      <c r="A445" t="inlineStr">
        <is>
          <t>REQ-00476</t>
        </is>
      </c>
      <c r="B445" t="inlineStr">
        <is>
          <t>(i)  It
is,
is not a small business concern; or
(ii)  It
is,
is not a small business joint venture that complies with the requirements of 13 CFR 121.103(h) and 13 
CFR 125.8(a) and (b). [ The offer...</t>
        </is>
      </c>
      <c r="C445" t="inlineStr">
        <is>
          <t>No</t>
        </is>
      </c>
      <c r="D445" t="inlineStr">
        <is>
          <t>High</t>
        </is>
      </c>
      <c r="E445" t="inlineStr">
        <is>
          <t>Not Started</t>
        </is>
      </c>
    </row>
    <row r="446">
      <c r="A446" t="inlineStr">
        <is>
          <t>REQ-00491</t>
        </is>
      </c>
      <c r="B446" t="inlineStr">
        <is>
          <t>(i)  It
has,
has not participated in a previous contract or subcontract subject to the Equal Opportunity clause of 
this solicitation; and
(ii)  It
has,
has not filed all required compliance reports.</t>
        </is>
      </c>
      <c r="C446" t="inlineStr">
        <is>
          <t>Yes</t>
        </is>
      </c>
      <c r="D446" t="inlineStr">
        <is>
          <t>Medium</t>
        </is>
      </c>
      <c r="E446" t="inlineStr">
        <is>
          <t>Not Started</t>
        </is>
      </c>
    </row>
    <row r="447">
      <c r="A447" t="inlineStr">
        <is>
          <t>REQ-00493</t>
        </is>
      </c>
      <c r="B447" t="inlineStr">
        <is>
          <t>(i)  It
has developed and has on file,
has not developed and does not have on file, at each establishment, affirmative action programs 
required by rules and regulations of the Secretary of Labor (...</t>
        </is>
      </c>
      <c r="C447" t="inlineStr">
        <is>
          <t>Yes</t>
        </is>
      </c>
      <c r="D447" t="inlineStr">
        <is>
          <t>Medium</t>
        </is>
      </c>
      <c r="E447" t="inlineStr">
        <is>
          <t>Not Started</t>
        </is>
      </c>
    </row>
    <row r="448">
      <c r="A448" t="inlineStr">
        <is>
          <t>REQ-00497</t>
        </is>
      </c>
      <c r="B448" t="inlineStr">
        <is>
          <t>(i)  The Offeror certifies that each end product, except those listed in paragraph (f)(2) of this provision, 
is a domestic end product and that each domestic end product listed in paragraph (f)(3)...</t>
        </is>
      </c>
      <c r="C448" t="inlineStr">
        <is>
          <t>No</t>
        </is>
      </c>
      <c r="D448" t="inlineStr">
        <is>
          <t>High</t>
        </is>
      </c>
      <c r="E448" t="inlineStr">
        <is>
          <t>Not Started</t>
        </is>
      </c>
    </row>
    <row r="449">
      <c r="A449" t="inlineStr">
        <is>
          <t>REQ-00502</t>
        </is>
      </c>
      <c r="B449" t="inlineStr">
        <is>
          <t>(i) 
(A) 
 The Offeror certifies that each end product, except those listed in paragraph (g)(1)(ii) or (iii) of 
this provision, is a domestic end product and that each domestic end product listed ...</t>
        </is>
      </c>
      <c r="C449" t="inlineStr">
        <is>
          <t>No</t>
        </is>
      </c>
      <c r="D449" t="inlineStr">
        <is>
          <t>Medium</t>
        </is>
      </c>
      <c r="E449" t="inlineStr">
        <is>
          <t>Not Started</t>
        </is>
      </c>
    </row>
    <row r="450">
      <c r="A450" t="inlineStr">
        <is>
          <t>REQ-00512</t>
        </is>
      </c>
      <c r="B450" t="inlineStr">
        <is>
          <t>(i)  The offeror certifies that each end product, except those listed in paragraph (g)(4)(ii) of this 
provision, is a U.S.-made or designated country end product, as defined in the clause of this ...</t>
        </is>
      </c>
      <c r="C450" t="inlineStr">
        <is>
          <t>No</t>
        </is>
      </c>
      <c r="D450" t="inlineStr">
        <is>
          <t>High</t>
        </is>
      </c>
      <c r="E450" t="inlineStr">
        <is>
          <t>Not Started</t>
        </is>
      </c>
    </row>
    <row r="451">
      <c r="A451" t="inlineStr">
        <is>
          <t>REQ-00519</t>
        </is>
      </c>
      <c r="B451" t="inlineStr">
        <is>
          <t>(i) 
 Taxes are considered delinquent if both of the following criteria apply:
(A)  . The liability is finally determined if it has been assessed. A The tax liability is finally determined
liabilit...</t>
        </is>
      </c>
      <c r="C451" t="inlineStr">
        <is>
          <t>No</t>
        </is>
      </c>
      <c r="D451" t="inlineStr">
        <is>
          <t>Medium</t>
        </is>
      </c>
      <c r="E451" t="inlineStr">
        <is>
          <t>Not Started</t>
        </is>
      </c>
    </row>
    <row r="452">
      <c r="A452" t="inlineStr">
        <is>
          <t>REQ-00520</t>
        </is>
      </c>
      <c r="B452" t="inlineStr">
        <is>
          <t>(i)  Certification Regarding Knowledge of Child Labor for Listed End Products (Executive Order 
13126). [The Contracting Officer must list in paragraph (i)(1) any end products being acquired under ...</t>
        </is>
      </c>
      <c r="C452" t="inlineStr">
        <is>
          <t>Yes</t>
        </is>
      </c>
      <c r="D452" t="inlineStr">
        <is>
          <t>High</t>
        </is>
      </c>
      <c r="E452" t="inlineStr">
        <is>
          <t>Not Started</t>
        </is>
      </c>
    </row>
    <row r="453">
      <c r="A453" t="inlineStr">
        <is>
          <t>REQ-00527</t>
        </is>
      </c>
      <c r="B453" t="inlineStr">
        <is>
          <t>(i)  The items of equipment to be serviced under this contract are used regularly for other than 
Governmental purposes and are sold or traded by the offeror (or subcontractor in the case of an exe...</t>
        </is>
      </c>
      <c r="C453" t="inlineStr">
        <is>
          <t>No</t>
        </is>
      </c>
      <c r="D453" t="inlineStr">
        <is>
          <t>Medium</t>
        </is>
      </c>
      <c r="E453" t="inlineStr">
        <is>
          <t>Not Started</t>
        </is>
      </c>
    </row>
    <row r="454">
      <c r="A454" t="inlineStr">
        <is>
          <t>REQ-00529</t>
        </is>
      </c>
      <c r="B454" t="inlineStr">
        <is>
          <t>(i) 
 The services under the contract are offered and sold regularly to non-Governmental customers, and 
are provided by the offeror (or subcontractor in the case of an exempt subcontract) to the g...</t>
        </is>
      </c>
      <c r="C454" t="inlineStr">
        <is>
          <t>No</t>
        </is>
      </c>
      <c r="D454" t="inlineStr">
        <is>
          <t>Medium</t>
        </is>
      </c>
      <c r="E454" t="inlineStr">
        <is>
          <t>Not Started</t>
        </is>
      </c>
    </row>
    <row r="455">
      <c r="A455" t="inlineStr">
        <is>
          <t>REQ-00531</t>
        </is>
      </c>
      <c r="B455" t="inlineStr">
        <is>
          <t>(i)  If the offeror does not certify to the conditions in paragraph (k)(1) or (k)(2) and the Contracting 
Officer did not attach a Service Contract Labor Standards wage determination to the solicit...</t>
        </is>
      </c>
      <c r="C455" t="inlineStr">
        <is>
          <t>No</t>
        </is>
      </c>
      <c r="D455" t="inlineStr">
        <is>
          <t>High</t>
        </is>
      </c>
      <c r="E455" t="inlineStr">
        <is>
          <t>Not Started</t>
        </is>
      </c>
    </row>
    <row r="456">
      <c r="A456" t="inlineStr">
        <is>
          <t>REQ-00542</t>
        </is>
      </c>
      <c r="B456" t="inlineStr">
        <is>
          <t>(i)  It
is,
is not an inverted domestic corporation; and
DRAFT</t>
        </is>
      </c>
      <c r="C456" t="inlineStr">
        <is>
          <t>No</t>
        </is>
      </c>
      <c r="D456" t="inlineStr">
        <is>
          <t>Medium</t>
        </is>
      </c>
      <c r="E456" t="inlineStr">
        <is>
          <t>Not Started</t>
        </is>
      </c>
    </row>
    <row r="457">
      <c r="A457" t="inlineStr">
        <is>
          <t>REQ-00546</t>
        </is>
      </c>
      <c r="B457" t="inlineStr">
        <is>
          <t>(i)  Represents, to the best of its knowledge and belief, that the offeror does not export any sensitive 
technology to the government of Iran or any entities or individuals owned or controlled by,...</t>
        </is>
      </c>
      <c r="C457" t="inlineStr">
        <is>
          <t>No</t>
        </is>
      </c>
      <c r="D457" t="inlineStr">
        <is>
          <t>Low</t>
        </is>
      </c>
      <c r="E457" t="inlineStr">
        <is>
          <t>Not Started</t>
        </is>
      </c>
    </row>
    <row r="458">
      <c r="A458" t="inlineStr">
        <is>
          <t>REQ-00548</t>
        </is>
      </c>
      <c r="B458" t="inlineStr">
        <is>
          <t>(i)  This solicitation includes a trade agreements certification ( , 52.212-3(g) or a comparable e.g.
agency provision); and
(ii)  The offeror has certified that all the offered products to be supp...</t>
        </is>
      </c>
      <c r="C458" t="inlineStr">
        <is>
          <t>No</t>
        </is>
      </c>
      <c r="D458" t="inlineStr">
        <is>
          <t>Medium</t>
        </is>
      </c>
      <c r="E458" t="inlineStr">
        <is>
          <t>Not Started</t>
        </is>
      </c>
    </row>
    <row r="459">
      <c r="A459" t="inlineStr">
        <is>
          <t>REQ-00555</t>
        </is>
      </c>
      <c r="B459" t="inlineStr">
        <is>
          <t>(i)  Has any unpaid Federal tax liability that has been assessed, for which all judicial and 
administrative remedies have been exhausted or have lapsed, and that is not being paid in a timely 
man...</t>
        </is>
      </c>
      <c r="C459" t="inlineStr">
        <is>
          <t>No</t>
        </is>
      </c>
      <c r="D459" t="inlineStr">
        <is>
          <t>Medium</t>
        </is>
      </c>
      <c r="E459" t="inlineStr">
        <is>
          <t>Not Started</t>
        </is>
      </c>
    </row>
    <row r="460">
      <c r="A460" t="inlineStr">
        <is>
          <t>REQ-00556</t>
        </is>
      </c>
      <c r="B460" t="inlineStr">
        <is>
          <t>(i)  It is
is not
a corporation that has any unpaid Federal tax liability that has been assessed, for which all judicial and 
administrative remedies have been exhausted or have lapsed, and that is...</t>
        </is>
      </c>
      <c r="C460" t="inlineStr">
        <is>
          <t>No</t>
        </is>
      </c>
      <c r="D460" t="inlineStr">
        <is>
          <t>Medium</t>
        </is>
      </c>
      <c r="E460" t="inlineStr">
        <is>
          <t>Not Started</t>
        </is>
      </c>
    </row>
    <row r="461">
      <c r="A461" t="inlineStr">
        <is>
          <t>REQ-00563</t>
        </is>
      </c>
      <c r="B461" t="inlineStr">
        <is>
          <t>(i) 
 The Offeror (itself or through its immediate owner or highest-level owner)
does,
does not publicly disclose greenhouse gas emissions, i.e., makes available on a publicly accessible 
website t...</t>
        </is>
      </c>
      <c r="C461" t="inlineStr">
        <is>
          <t>No</t>
        </is>
      </c>
      <c r="D461" t="inlineStr">
        <is>
          <t>Medium</t>
        </is>
      </c>
      <c r="E461" t="inlineStr">
        <is>
          <t>Not Started</t>
        </is>
      </c>
    </row>
    <row r="462">
      <c r="A462" t="inlineStr">
        <is>
          <t>REQ-00570</t>
        </is>
      </c>
      <c r="B462" t="inlineStr">
        <is>
          <t>(i)  It
does,
does not provide covered telecommunications equipment or services as a part of its offered products or 
services to the Government in the performance of any contract, subcontract, or ...</t>
        </is>
      </c>
      <c r="C462" t="inlineStr">
        <is>
          <t>No</t>
        </is>
      </c>
      <c r="D462" t="inlineStr">
        <is>
          <t>Medium</t>
        </is>
      </c>
      <c r="E462" t="inlineStr">
        <is>
          <t>Not Started</t>
        </is>
      </c>
    </row>
    <row r="463">
      <c r="A463" t="inlineStr">
        <is>
          <t>REQ-00582</t>
        </is>
      </c>
      <c r="B463" t="inlineStr">
        <is>
          <t>(i) Fraud, lack of good faith, or willful misconduct on the part of the Contractor's managerial 
personnel; or
(ii) The conduct of one or more of the Contractor's employees selected or retained by ...</t>
        </is>
      </c>
      <c r="C463" t="inlineStr">
        <is>
          <t>No</t>
        </is>
      </c>
      <c r="D463" t="inlineStr">
        <is>
          <t>Medium</t>
        </is>
      </c>
      <c r="E463" t="inlineStr">
        <is>
          <t>Not Started</t>
        </is>
      </c>
    </row>
    <row r="464">
      <c r="A464" t="inlineStr">
        <is>
          <t>REQ-00587</t>
        </is>
      </c>
      <c r="B464" t="inlineStr">
        <is>
          <t>(i) "Direct materials" means those materials that enter directly into the end product, or that are 
used or consumed directly in connection with the furnishing of the end product or service.
(ii) "...</t>
        </is>
      </c>
      <c r="C464" t="inlineStr">
        <is>
          <t>No</t>
        </is>
      </c>
      <c r="D464" t="inlineStr">
        <is>
          <t>Medium</t>
        </is>
      </c>
      <c r="E464" t="inlineStr">
        <is>
          <t>Not Started</t>
        </is>
      </c>
    </row>
    <row r="465">
      <c r="A465" t="inlineStr">
        <is>
          <t>REQ-00589</t>
        </is>
      </c>
      <c r="B465" t="inlineStr">
        <is>
          <t>(i)  (1)  The Government will pay the Contractor as follows upon the Payments. Work performed.
submission of commercial invoices approved by the Contracting Officer:</t>
        </is>
      </c>
      <c r="C465" t="inlineStr">
        <is>
          <t>No</t>
        </is>
      </c>
      <c r="D465" t="inlineStr">
        <is>
          <t>Medium</t>
        </is>
      </c>
      <c r="E465" t="inlineStr">
        <is>
          <t>Not Started</t>
        </is>
      </c>
    </row>
    <row r="466">
      <c r="A466" t="inlineStr">
        <is>
          <t>REQ-00590</t>
        </is>
      </c>
      <c r="B466" t="inlineStr">
        <is>
          <t>(i) .Hourly rate
(A) The amounts shall be computed by multiplying the appropriate hourly rates 
prescribed in the contract by the number of direct labor hours performed. Fractional parts of an hour...</t>
        </is>
      </c>
      <c r="C466" t="inlineStr">
        <is>
          <t>Yes</t>
        </is>
      </c>
      <c r="D466" t="inlineStr">
        <is>
          <t>High</t>
        </is>
      </c>
      <c r="E466" t="inlineStr">
        <is>
          <t>Not Started</t>
        </is>
      </c>
    </row>
    <row r="467">
      <c r="A467" t="inlineStr">
        <is>
          <t>REQ-00602</t>
        </is>
      </c>
      <c r="B467" t="inlineStr">
        <is>
          <t>(i) Records that verify that the employees whose time has been included in any invoice meet 
the qualifications for the labor categories specified in the contract;
(ii) For labor hours (including a...</t>
        </is>
      </c>
      <c r="C467" t="inlineStr">
        <is>
          <t>No</t>
        </is>
      </c>
      <c r="D467" t="inlineStr">
        <is>
          <t>Medium</t>
        </is>
      </c>
      <c r="E467" t="inlineStr">
        <is>
          <t>Not Started</t>
        </is>
      </c>
    </row>
    <row r="468">
      <c r="A468" t="inlineStr">
        <is>
          <t>REQ-00604</t>
        </is>
      </c>
      <c r="B468" t="inlineStr">
        <is>
          <t>(i) Remit the overpayment amount to the payment office cited in the contract along with a 
description of the overpayment including the-
(A) Circumstances of the overpayment ( , duplicate payment, ...</t>
        </is>
      </c>
      <c r="C468" t="inlineStr">
        <is>
          <t>No</t>
        </is>
      </c>
      <c r="D468" t="inlineStr">
        <is>
          <t>Medium</t>
        </is>
      </c>
      <c r="E468" t="inlineStr">
        <is>
          <t>Not Started</t>
        </is>
      </c>
    </row>
    <row r="469">
      <c r="A469" t="inlineStr">
        <is>
          <t>REQ-00610</t>
        </is>
      </c>
      <c r="B469" t="inlineStr">
        <is>
          <t>(i) Specified claims in stated amounts, or in estimated amounts if the amounts are not 
susceptible to exact statement by the Contractor.
(ii) Claims, together with reasonable incidental expenses, ...</t>
        </is>
      </c>
      <c r="C469" t="inlineStr">
        <is>
          <t>No</t>
        </is>
      </c>
      <c r="D469" t="inlineStr">
        <is>
          <t>Medium</t>
        </is>
      </c>
      <c r="E469" t="inlineStr">
        <is>
          <t>Not Started</t>
        </is>
      </c>
    </row>
    <row r="470">
      <c r="A470" t="inlineStr">
        <is>
          <t>REQ-00637</t>
        </is>
      </c>
      <c r="B470" t="inlineStr">
        <is>
          <t>(i)  52.204-30, Federal Acquisition Supply Chain Security Act Orders-Prohibition.  (Pub. (DEC 2023)</t>
        </is>
      </c>
      <c r="C470" t="inlineStr">
        <is>
          <t>No</t>
        </is>
      </c>
      <c r="D470" t="inlineStr">
        <is>
          <t>Medium</t>
        </is>
      </c>
      <c r="E470" t="inlineStr">
        <is>
          <t>Not Started</t>
        </is>
      </c>
    </row>
    <row r="471">
      <c r="A471" t="inlineStr">
        <is>
          <t>REQ-00643</t>
        </is>
      </c>
      <c r="B471" t="inlineStr">
        <is>
          <t>(i)  52.219-6, Notice of Total Small Business Set-Aside  (15 U.S.C. 644).(NOV 2020)
DRAFT</t>
        </is>
      </c>
      <c r="C471" t="inlineStr">
        <is>
          <t>No</t>
        </is>
      </c>
      <c r="D471" t="inlineStr">
        <is>
          <t>Medium</t>
        </is>
      </c>
      <c r="E471" t="inlineStr">
        <is>
          <t>Not Started</t>
        </is>
      </c>
    </row>
    <row r="472">
      <c r="A472" t="inlineStr">
        <is>
          <t>REQ-00645</t>
        </is>
      </c>
      <c r="B472" t="inlineStr">
        <is>
          <t>(i)  52.219-7, Notice of Partial Small Business Set-Aside  (15 U.S.C. 644).(NOV 2020)
 Alternate I  of 52.219-7.(ii) (MAR 2020)</t>
        </is>
      </c>
      <c r="C472" t="inlineStr">
        <is>
          <t>No</t>
        </is>
      </c>
      <c r="D472" t="inlineStr">
        <is>
          <t>Medium</t>
        </is>
      </c>
      <c r="E472" t="inlineStr">
        <is>
          <t>Not Started</t>
        </is>
      </c>
    </row>
    <row r="473">
      <c r="A473" t="inlineStr">
        <is>
          <t>REQ-00647</t>
        </is>
      </c>
      <c r="B473" t="inlineStr">
        <is>
          <t>(i)  52.219-9, Small Business Subcontracting Plan ( ) (15 U.S.C. 637(d)(4)).SEP 2023
 Alternate I  of 52.219-9.(ii) (NOV 2016)
 Alternate II  of 52.219-9.(iii) (NOV 2016)
 Alternate III  of 52.219-...</t>
        </is>
      </c>
      <c r="C473" t="inlineStr">
        <is>
          <t>No</t>
        </is>
      </c>
      <c r="D473" t="inlineStr">
        <is>
          <t>Medium</t>
        </is>
      </c>
      <c r="E473" t="inlineStr">
        <is>
          <t>Not Started</t>
        </is>
      </c>
    </row>
    <row r="474">
      <c r="A474" t="inlineStr">
        <is>
          <t>REQ-00648</t>
        </is>
      </c>
      <c r="B474" t="inlineStr">
        <is>
          <t>(i)  52.219-13, Notice of Set-Aside of Orders  (15 U.S.C. 644(r)).(MAR 2020)
 Alternate I  of 52.219-13.(ii) (MAR 2020)</t>
        </is>
      </c>
      <c r="C474" t="inlineStr">
        <is>
          <t>No</t>
        </is>
      </c>
      <c r="D474" t="inlineStr">
        <is>
          <t>Medium</t>
        </is>
      </c>
      <c r="E474" t="inlineStr">
        <is>
          <t>Not Started</t>
        </is>
      </c>
    </row>
    <row r="475">
      <c r="A475" t="inlineStr">
        <is>
          <t>REQ-00652</t>
        </is>
      </c>
      <c r="B475" t="inlineStr">
        <is>
          <t>(i)  52.219-28, Post Award Small Business Program Rerepresentation ( ) (15 U.S.C. 632(a)FEB 2024</t>
        </is>
      </c>
      <c r="C475" t="inlineStr">
        <is>
          <t>No</t>
        </is>
      </c>
      <c r="D475" t="inlineStr">
        <is>
          <t>Medium</t>
        </is>
      </c>
      <c r="E475" t="inlineStr">
        <is>
          <t>Not Started</t>
        </is>
      </c>
    </row>
    <row r="476">
      <c r="A476" t="inlineStr">
        <is>
          <t>REQ-00662</t>
        </is>
      </c>
      <c r="B476" t="inlineStr">
        <is>
          <t>(i)  52.222-35, Equal Opportunity for Veterans  (38 U.S.C. 4212).(JUN 2020)
 Alternate I  of 52.222-35.(ii) (JUL 2014)</t>
        </is>
      </c>
      <c r="C476" t="inlineStr">
        <is>
          <t>No</t>
        </is>
      </c>
      <c r="D476" t="inlineStr">
        <is>
          <t>Medium</t>
        </is>
      </c>
      <c r="E476" t="inlineStr">
        <is>
          <t>Not Started</t>
        </is>
      </c>
    </row>
    <row r="477">
      <c r="A477" t="inlineStr">
        <is>
          <t>REQ-00663</t>
        </is>
      </c>
      <c r="B477" t="inlineStr">
        <is>
          <t>(i)  52.222-36, Equal Opportunity for Workers with Disabilities  (29 U.S.C. 793).(JUN 2020)
 Alternate I  of 52.222-36.(ii) (JUL 2014)</t>
        </is>
      </c>
      <c r="C477" t="inlineStr">
        <is>
          <t>No</t>
        </is>
      </c>
      <c r="D477" t="inlineStr">
        <is>
          <t>Medium</t>
        </is>
      </c>
      <c r="E477" t="inlineStr">
        <is>
          <t>Not Started</t>
        </is>
      </c>
    </row>
    <row r="478">
      <c r="A478" t="inlineStr">
        <is>
          <t>REQ-00666</t>
        </is>
      </c>
      <c r="B478" t="inlineStr">
        <is>
          <t>(i)  52.222-50, Combating Trafficking in Persons  (22 U.S.C. chapter 78 and E.O. 13627).(NOV 2021)
 Alternate I  of 52.222-50 (22 U.S.C. chapter 78 and E.O. 13627).(ii) (MAR 2015)</t>
        </is>
      </c>
      <c r="C478" t="inlineStr">
        <is>
          <t>No</t>
        </is>
      </c>
      <c r="D478" t="inlineStr">
        <is>
          <t>Medium</t>
        </is>
      </c>
      <c r="E478" t="inlineStr">
        <is>
          <t>Not Started</t>
        </is>
      </c>
    </row>
    <row r="479">
      <c r="A479" t="inlineStr">
        <is>
          <t>REQ-00668</t>
        </is>
      </c>
      <c r="B479" t="inlineStr">
        <is>
          <t>(i)  52.223-9, Estimate of Percentage of Recovered Material Content for EPA-Designated Items (May 
2008) ( 42 U.S.C. 6962(c)(3)(A)(ii)). (Not applicable to the acquisition of commercially available...</t>
        </is>
      </c>
      <c r="C479" t="inlineStr">
        <is>
          <t>No</t>
        </is>
      </c>
      <c r="D479" t="inlineStr">
        <is>
          <t>Low</t>
        </is>
      </c>
      <c r="E479" t="inlineStr">
        <is>
          <t>Not Started</t>
        </is>
      </c>
    </row>
    <row r="480">
      <c r="A480" t="inlineStr">
        <is>
          <t>REQ-00675</t>
        </is>
      </c>
      <c r="B480" t="inlineStr">
        <is>
          <t>(i)  52.225-1, Buy American-Supplies  (41 U.S.C. chapter 83).(OCT 2022)
DRAFT</t>
        </is>
      </c>
      <c r="C480" t="inlineStr">
        <is>
          <t>No</t>
        </is>
      </c>
      <c r="D480" t="inlineStr">
        <is>
          <t>Medium</t>
        </is>
      </c>
      <c r="E480" t="inlineStr">
        <is>
          <t>Not Started</t>
        </is>
      </c>
    </row>
    <row r="481">
      <c r="A481" t="inlineStr">
        <is>
          <t>REQ-00692</t>
        </is>
      </c>
      <c r="B481" t="inlineStr">
        <is>
          <t>(i)  52.247-64, Preference for Privately Owned U.S.-Flag Commercial Vessels  (46 U.S.(NOV 2021)</t>
        </is>
      </c>
      <c r="C481" t="inlineStr">
        <is>
          <t>No</t>
        </is>
      </c>
      <c r="D481" t="inlineStr">
        <is>
          <t>Medium</t>
        </is>
      </c>
      <c r="E481" t="inlineStr">
        <is>
          <t>Not Started</t>
        </is>
      </c>
    </row>
    <row r="483">
      <c r="A483" s="3" t="inlineStr">
        <is>
          <t>Section J (1 requirements)</t>
        </is>
      </c>
    </row>
    <row r="484">
      <c r="A484" s="4" t="inlineStr">
        <is>
          <t>ID</t>
        </is>
      </c>
      <c r="B484" s="4" t="inlineStr">
        <is>
          <t>Requirement</t>
        </is>
      </c>
      <c r="C484" s="4" t="inlineStr">
        <is>
          <t>Mandatory?</t>
        </is>
      </c>
      <c r="D484" s="4" t="inlineStr">
        <is>
          <t>Priority</t>
        </is>
      </c>
      <c r="E484" s="4" t="inlineStr">
        <is>
          <t>Status</t>
        </is>
      </c>
    </row>
    <row r="485">
      <c r="A485" t="inlineStr">
        <is>
          <t>REQ-00523</t>
        </is>
      </c>
      <c r="B485" t="inlineStr">
        <is>
          <t>(j)   (Does not apply unless the solicitation is predominantly for the acquisition Place of manufacture.
of manufactured end products.) For statistical purposes only, the offeror shall indicate whe...</t>
        </is>
      </c>
      <c r="C485" t="inlineStr">
        <is>
          <t>Yes</t>
        </is>
      </c>
      <c r="D485" t="inlineStr">
        <is>
          <t>High</t>
        </is>
      </c>
      <c r="E485" t="inlineStr">
        <is>
          <t>Not Started</t>
        </is>
      </c>
    </row>
    <row r="487">
      <c r="A487" s="3" t="inlineStr">
        <is>
          <t>Section K (62 requirements)</t>
        </is>
      </c>
    </row>
    <row r="488">
      <c r="A488" s="4" t="inlineStr">
        <is>
          <t>ID</t>
        </is>
      </c>
      <c r="B488" s="4" t="inlineStr">
        <is>
          <t>Requirement</t>
        </is>
      </c>
      <c r="C488" s="4" t="inlineStr">
        <is>
          <t>Mandatory?</t>
        </is>
      </c>
      <c r="D488" s="4" t="inlineStr">
        <is>
          <t>Priority</t>
        </is>
      </c>
      <c r="E488" s="4" t="inlineStr">
        <is>
          <t>Status</t>
        </is>
      </c>
    </row>
    <row r="489">
      <c r="A489" t="inlineStr">
        <is>
          <t>REQ-00109</t>
        </is>
      </c>
      <c r="B489" t="inlineStr">
        <is>
          <t>Title Page 
Limit 
Included in 
Page Count 
(Y/N/NA) 
Points of Contact 1 Y 
Evidence of Online Representation and Certifications Application None N 
SF 1449 None N 
Draft DD Form 254 None N</t>
        </is>
      </c>
      <c r="C489" t="inlineStr">
        <is>
          <t>No</t>
        </is>
      </c>
      <c r="D489" t="inlineStr">
        <is>
          <t>Medium</t>
        </is>
      </c>
      <c r="E489" t="inlineStr">
        <is>
          <t>Not Started</t>
        </is>
      </c>
    </row>
    <row r="490">
      <c r="A490" t="inlineStr">
        <is>
          <t>REQ-00113</t>
        </is>
      </c>
      <c r="B490" t="inlineStr">
        <is>
          <t>3.1 Evidence of Online Representation and Certifications Application 
Offerors shall complete and submit the required evidence per Federal Acquisition Regulation 
(FAR) FAR 52.204-7 System for Awar...</t>
        </is>
      </c>
      <c r="C490" t="inlineStr">
        <is>
          <t>Yes</t>
        </is>
      </c>
      <c r="D490" t="inlineStr">
        <is>
          <t>High</t>
        </is>
      </c>
      <c r="E490" t="inlineStr">
        <is>
          <t>Not Started</t>
        </is>
      </c>
    </row>
    <row r="491">
      <c r="A491" t="inlineStr">
        <is>
          <t>REQ-00211</t>
        </is>
      </c>
      <c r="B491" t="inlineStr">
        <is>
          <t>252.203-7005 Representation Relating to Compensation of Former DoD 
Officials. 2022-09 SEC K</t>
        </is>
      </c>
      <c r="C491" t="inlineStr">
        <is>
          <t>No</t>
        </is>
      </c>
      <c r="D491" t="inlineStr">
        <is>
          <t>Medium</t>
        </is>
      </c>
      <c r="E491" t="inlineStr">
        <is>
          <t>Not Started</t>
        </is>
      </c>
    </row>
    <row r="492">
      <c r="A492" t="inlineStr">
        <is>
          <t>REQ-00217</t>
        </is>
      </c>
      <c r="B492" t="inlineStr">
        <is>
          <t>252.204-7017 Prohibition on the Acquisition of Covered Defense 
Telecommunications Equipment or Services-Representation. 2021-05 SEC K</t>
        </is>
      </c>
      <c r="C492" t="inlineStr">
        <is>
          <t>No</t>
        </is>
      </c>
      <c r="D492" t="inlineStr">
        <is>
          <t>Medium</t>
        </is>
      </c>
      <c r="E492" t="inlineStr">
        <is>
          <t>Not Started</t>
        </is>
      </c>
    </row>
    <row r="493">
      <c r="A493" t="inlineStr">
        <is>
          <t>REQ-00224</t>
        </is>
      </c>
      <c r="B493" t="inlineStr">
        <is>
          <t>252.219-7000 Advancing Small Business Growth. 2023-06 SEC K</t>
        </is>
      </c>
      <c r="C493" t="inlineStr">
        <is>
          <t>No</t>
        </is>
      </c>
      <c r="D493" t="inlineStr">
        <is>
          <t>Medium</t>
        </is>
      </c>
      <c r="E493" t="inlineStr">
        <is>
          <t>Not Started</t>
        </is>
      </c>
    </row>
    <row r="494">
      <c r="A494" t="inlineStr">
        <is>
          <t>REQ-00230</t>
        </is>
      </c>
      <c r="B494" t="inlineStr">
        <is>
          <t>252.225-7055 Representation Regarding Business Operations with the 
Maduro Regime. 2022-05 SEC K</t>
        </is>
      </c>
      <c r="C494" t="inlineStr">
        <is>
          <t>No</t>
        </is>
      </c>
      <c r="D494" t="inlineStr">
        <is>
          <t>Medium</t>
        </is>
      </c>
      <c r="E494" t="inlineStr">
        <is>
          <t>Not Started</t>
        </is>
      </c>
    </row>
    <row r="495">
      <c r="A495" t="inlineStr">
        <is>
          <t>REQ-00232</t>
        </is>
      </c>
      <c r="B495" t="inlineStr">
        <is>
          <t>252.225-7059 Prohibition on Certain Procurements from the Xinjiang 
Uyghur Autonomous Region-Representation. 2023-06 SEC K</t>
        </is>
      </c>
      <c r="C495" t="inlineStr">
        <is>
          <t>No</t>
        </is>
      </c>
      <c r="D495" t="inlineStr">
        <is>
          <t>Medium</t>
        </is>
      </c>
      <c r="E495" t="inlineStr">
        <is>
          <t>Not Started</t>
        </is>
      </c>
    </row>
    <row r="496">
      <c r="A496" t="inlineStr">
        <is>
          <t>REQ-00234</t>
        </is>
      </c>
      <c r="B496" t="inlineStr">
        <is>
          <t>252.226-7001 Utilization of Indian Organizations, Indian-Owned Economic 
Enterprises, and Native Hawaiian Small Business Concerns. 2023-01 SEC I</t>
        </is>
      </c>
      <c r="C496" t="inlineStr">
        <is>
          <t>No</t>
        </is>
      </c>
      <c r="D496" t="inlineStr">
        <is>
          <t>Medium</t>
        </is>
      </c>
      <c r="E496" t="inlineStr">
        <is>
          <t>Not Started</t>
        </is>
      </c>
    </row>
    <row r="497">
      <c r="A497" t="inlineStr">
        <is>
          <t>REQ-00238</t>
        </is>
      </c>
      <c r="B497" t="inlineStr">
        <is>
          <t>252.239-7001 Information Assurance Contractor Training and Certification. 2008-01 SEC I</t>
        </is>
      </c>
      <c r="C497" t="inlineStr">
        <is>
          <t>No</t>
        </is>
      </c>
      <c r="D497" t="inlineStr">
        <is>
          <t>Medium</t>
        </is>
      </c>
      <c r="E497" t="inlineStr">
        <is>
          <t>Not Started</t>
        </is>
      </c>
    </row>
    <row r="498">
      <c r="A498" t="inlineStr">
        <is>
          <t>REQ-00254</t>
        </is>
      </c>
      <c r="B498" t="inlineStr">
        <is>
          <t>52.204-24 Representation Regarding Certain Telecommunications and 
Video Surveillance Services or Equipment. 2021-11 SEC K</t>
        </is>
      </c>
      <c r="C498" t="inlineStr">
        <is>
          <t>No</t>
        </is>
      </c>
      <c r="D498" t="inlineStr">
        <is>
          <t>Medium</t>
        </is>
      </c>
      <c r="E498" t="inlineStr">
        <is>
          <t>Not Started</t>
        </is>
      </c>
    </row>
    <row r="499">
      <c r="A499" t="inlineStr">
        <is>
          <t>REQ-00255</t>
        </is>
      </c>
      <c r="B499" t="inlineStr">
        <is>
          <t>52.204-29 Federal Acquisition Supply Chain Security Act Orders-
Representation and Disclosures. 2023-12 SEC K</t>
        </is>
      </c>
      <c r="C499" t="inlineStr">
        <is>
          <t>No</t>
        </is>
      </c>
      <c r="D499" t="inlineStr">
        <is>
          <t>Medium</t>
        </is>
      </c>
      <c r="E499" t="inlineStr">
        <is>
          <t>Not Started</t>
        </is>
      </c>
    </row>
    <row r="500">
      <c r="A500" t="inlineStr">
        <is>
          <t>REQ-00261</t>
        </is>
      </c>
      <c r="B500" t="inlineStr">
        <is>
          <t>52.223-22 Public Disclosure of Greenhouse Gas Emissions and 
Reduction Goals-Representation. 2016-12 SEC K</t>
        </is>
      </c>
      <c r="C500" t="inlineStr">
        <is>
          <t>No</t>
        </is>
      </c>
      <c r="D500" t="inlineStr">
        <is>
          <t>Medium</t>
        </is>
      </c>
      <c r="E500" t="inlineStr">
        <is>
          <t>Not Started</t>
        </is>
      </c>
    </row>
    <row r="501">
      <c r="A501" t="inlineStr">
        <is>
          <t>REQ-00263</t>
        </is>
      </c>
      <c r="B501" t="inlineStr">
        <is>
          <t>52.229-11 Tax on Certain Foreign Procurements-Notice and 
Representation. 2020-06 SEC K</t>
        </is>
      </c>
      <c r="C501" t="inlineStr">
        <is>
          <t>No</t>
        </is>
      </c>
      <c r="D501" t="inlineStr">
        <is>
          <t>Medium</t>
        </is>
      </c>
      <c r="E501" t="inlineStr">
        <is>
          <t>Not Started</t>
        </is>
      </c>
    </row>
    <row r="502">
      <c r="A502" t="inlineStr">
        <is>
          <t>REQ-00278</t>
        </is>
      </c>
      <c r="B502" t="inlineStr">
        <is>
          <t>52.227-15 Representation of Limited Rights Data and Restricted 
Computer Software. 2007-12 SEC K</t>
        </is>
      </c>
      <c r="C502" t="inlineStr">
        <is>
          <t>No</t>
        </is>
      </c>
      <c r="D502" t="inlineStr">
        <is>
          <t>Medium</t>
        </is>
      </c>
      <c r="E502" t="inlineStr">
        <is>
          <t>Not Started</t>
        </is>
      </c>
    </row>
    <row r="503">
      <c r="A503" t="inlineStr">
        <is>
          <t>REQ-00397</t>
        </is>
      </c>
      <c r="B503" t="inlineStr">
        <is>
          <t>(1) Have a designated electronic business point of contact in the System for Award                 
Management at https://www.sam.gov; and</t>
        </is>
      </c>
      <c r="C503" t="inlineStr">
        <is>
          <t>No</t>
        </is>
      </c>
      <c r="D503" t="inlineStr">
        <is>
          <t>Medium</t>
        </is>
      </c>
      <c r="E503" t="inlineStr">
        <is>
          <t>Not Started</t>
        </is>
      </c>
    </row>
    <row r="504">
      <c r="A504" t="inlineStr">
        <is>
          <t>REQ-00430</t>
        </is>
      </c>
      <c r="B504" t="inlineStr">
        <is>
          <t>52.212-3 Offeror Representations and Certifications-Commercial 
Products and Commercial Services. 2024-05
As prescribed in , insert the following provision:12.301(b)(2)
Offeror Representations and ...</t>
        </is>
      </c>
      <c r="C504" t="inlineStr">
        <is>
          <t>No</t>
        </is>
      </c>
      <c r="D504" t="inlineStr">
        <is>
          <t>High</t>
        </is>
      </c>
      <c r="E504" t="inlineStr">
        <is>
          <t>Not Started</t>
        </is>
      </c>
    </row>
    <row r="505">
      <c r="A505" t="inlineStr">
        <is>
          <t>REQ-00450</t>
        </is>
      </c>
      <c r="B505" t="inlineStr">
        <is>
          <t>(2)  Does not include information or informational materials the export of which the President does 
not have the authority to regulate or prohibit pursuant to section 203(b)(3)of the International...</t>
        </is>
      </c>
      <c r="C505" t="inlineStr">
        <is>
          <t>No</t>
        </is>
      </c>
      <c r="D505" t="inlineStr">
        <is>
          <t>Medium</t>
        </is>
      </c>
      <c r="E505" t="inlineStr">
        <is>
          <t>Not Started</t>
        </is>
      </c>
    </row>
    <row r="506">
      <c r="A506" t="inlineStr">
        <is>
          <t>REQ-00452</t>
        </is>
      </c>
      <c r="B506" t="inlineStr">
        <is>
          <t>(2)  A small business concern eligible under the SDVOSB Program in accordance with 13 CFR part 
128 (see subpart 19.14).</t>
        </is>
      </c>
      <c r="C506" t="inlineStr">
        <is>
          <t>No</t>
        </is>
      </c>
      <c r="D506" t="inlineStr">
        <is>
          <t>Medium</t>
        </is>
      </c>
      <c r="E506" t="inlineStr">
        <is>
          <t>Not Started</t>
        </is>
      </c>
    </row>
    <row r="507">
      <c r="A507" t="inlineStr">
        <is>
          <t>REQ-00454</t>
        </is>
      </c>
      <c r="B507" t="inlineStr">
        <is>
          <t>(2), with a disability that is service connected, as defined in 38 U.S.C. 101(16), and who is registered in 
the Beneficiary Identification and Records Locator Subsystem, or successor system that i...</t>
        </is>
      </c>
      <c r="C507" t="inlineStr">
        <is>
          <t>No</t>
        </is>
      </c>
      <c r="D507" t="inlineStr">
        <is>
          <t>Medium</t>
        </is>
      </c>
      <c r="E507" t="inlineStr">
        <is>
          <t>Not Started</t>
        </is>
      </c>
    </row>
    <row r="508">
      <c r="A508" t="inlineStr">
        <is>
          <t>REQ-00455</t>
        </is>
      </c>
      <c r="B508" t="inlineStr">
        <is>
          <t>(1) 
 Effective January 1, 2024, is designated in the System for Award Management (SAM) as certified 
by the Small Business Administration (SBA) in accordance with 13 CFR 128.300; or</t>
        </is>
      </c>
      <c r="C508" t="inlineStr">
        <is>
          <t>No</t>
        </is>
      </c>
      <c r="D508" t="inlineStr">
        <is>
          <t>Medium</t>
        </is>
      </c>
      <c r="E508" t="inlineStr">
        <is>
          <t>Not Started</t>
        </is>
      </c>
    </row>
    <row r="509">
      <c r="A509" t="inlineStr">
        <is>
          <t>REQ-00456</t>
        </is>
      </c>
      <c r="B509" t="inlineStr">
        <is>
          <t>(2)  Has represented that it is an SDVOSB concern in SAM and submitted a complete application for 
certification to SBA on or before December 31, 2023.
Service-disabled veteran-owned small business...</t>
        </is>
      </c>
      <c r="C509" t="inlineStr">
        <is>
          <t>No</t>
        </is>
      </c>
      <c r="D509" t="inlineStr">
        <is>
          <t>Medium</t>
        </is>
      </c>
      <c r="E509" t="inlineStr">
        <is>
          <t>Not Started</t>
        </is>
      </c>
    </row>
    <row r="510">
      <c r="A510" t="inlineStr">
        <is>
          <t>REQ-00457</t>
        </is>
      </c>
      <c r="B510" t="inlineStr">
        <is>
          <t>(1)  Means a concern, including its affiliates, that is independently owned and operated, not dominant 
in its field of operation, and qualified as a small business under the criteria in 13 CFR par...</t>
        </is>
      </c>
      <c r="C510" t="inlineStr">
        <is>
          <t>No</t>
        </is>
      </c>
      <c r="D510" t="inlineStr">
        <is>
          <t>Medium</t>
        </is>
      </c>
      <c r="E510" t="inlineStr">
        <is>
          <t>Not Started</t>
        </is>
      </c>
    </row>
    <row r="511">
      <c r="A511" t="inlineStr">
        <is>
          <t>REQ-00464</t>
        </is>
      </c>
      <c r="B511" t="inlineStr">
        <is>
          <t>(2)  Through another subsidiary of a parent corporation
Successor means an entity that has replaced a predecessor by acquiring the assets and carrying out the 
affairs of the predecessor under a ne...</t>
        </is>
      </c>
      <c r="C511" t="inlineStr">
        <is>
          <t>No</t>
        </is>
      </c>
      <c r="D511" t="inlineStr">
        <is>
          <t>Low</t>
        </is>
      </c>
      <c r="E511" t="inlineStr">
        <is>
          <t>Not Started</t>
        </is>
      </c>
    </row>
    <row r="512">
      <c r="A512" t="inlineStr">
        <is>
          <t>REQ-00466</t>
        </is>
      </c>
      <c r="B512" t="inlineStr">
        <is>
          <t>(2)  The management and daily business operations of which are controlled by one or more veterans.
Women-owned business concern means a concern which is at least 51 percent owned by one or more 
wo...</t>
        </is>
      </c>
      <c r="C512" t="inlineStr">
        <is>
          <t>No</t>
        </is>
      </c>
      <c r="D512" t="inlineStr">
        <is>
          <t>Medium</t>
        </is>
      </c>
      <c r="E512" t="inlineStr">
        <is>
          <t>Not Started</t>
        </is>
      </c>
    </row>
    <row r="513">
      <c r="A513" t="inlineStr">
        <is>
          <t>REQ-00468</t>
        </is>
      </c>
      <c r="B513" t="inlineStr">
        <is>
          <t>(2)  Whose management and daily business operations are controlled by one or more women.
Women-owned small business (WOSB) concern eligible under the WOSB Program (in accordance 
with 13 CFR part 1...</t>
        </is>
      </c>
      <c r="C513" t="inlineStr">
        <is>
          <t>No</t>
        </is>
      </c>
      <c r="D513" t="inlineStr">
        <is>
          <t>Medium</t>
        </is>
      </c>
      <c r="E513" t="inlineStr">
        <is>
          <t>Not Started</t>
        </is>
      </c>
    </row>
    <row r="514">
      <c r="A514" t="inlineStr">
        <is>
          <t>REQ-00469</t>
        </is>
      </c>
      <c r="B514" t="inlineStr">
        <is>
          <t>(1) 
 . Any changes provided by the Offeror in paragraph (b)Annual Representations and Certifications</t>
        </is>
      </c>
      <c r="C514" t="inlineStr">
        <is>
          <t>No</t>
        </is>
      </c>
      <c r="D514" t="inlineStr">
        <is>
          <t>Medium</t>
        </is>
      </c>
      <c r="E514" t="inlineStr">
        <is>
          <t>Not Started</t>
        </is>
      </c>
    </row>
    <row r="515">
      <c r="A515" t="inlineStr">
        <is>
          <t>REQ-00470</t>
        </is>
      </c>
      <c r="B515" t="inlineStr">
        <is>
          <t>(2) of this provision do not automatically change the representations and certifications in SAM.
DRAFT</t>
        </is>
      </c>
      <c r="C515" t="inlineStr">
        <is>
          <t>No</t>
        </is>
      </c>
      <c r="D515" t="inlineStr">
        <is>
          <t>Medium</t>
        </is>
      </c>
      <c r="E515" t="inlineStr">
        <is>
          <t>Not Started</t>
        </is>
      </c>
    </row>
    <row r="516">
      <c r="A516" t="inlineStr">
        <is>
          <t>REQ-00471</t>
        </is>
      </c>
      <c r="B516" t="inlineStr">
        <is>
          <t>(2)  The offeror has completed the annual representations and certifications electronically in SAM 
accessed through http://www.sam.gov. After reviewing SAM information, the Offeror verifies by 
su...</t>
        </is>
      </c>
      <c r="C516" t="inlineStr">
        <is>
          <t>No</t>
        </is>
      </c>
      <c r="D516" t="inlineStr">
        <is>
          <t>Medium</t>
        </is>
      </c>
      <c r="E516" t="inlineStr">
        <is>
          <t>Not Started</t>
        </is>
      </c>
    </row>
    <row r="517">
      <c r="A517" t="inlineStr">
        <is>
          <t>REQ-00472</t>
        </is>
      </c>
      <c r="B517" t="inlineStr">
        <is>
          <t>52.212-3, Offeror Representations and Certifications-Commercial Products and Commercial Services, 
have been entered or updated in the last 12 months, are current, accurate, complete, and applicabl...</t>
        </is>
      </c>
      <c r="C517" t="inlineStr">
        <is>
          <t>No</t>
        </is>
      </c>
      <c r="D517" t="inlineStr">
        <is>
          <t>Medium</t>
        </is>
      </c>
      <c r="E517" t="inlineStr">
        <is>
          <t>Not Started</t>
        </is>
      </c>
    </row>
    <row r="518">
      <c r="A518" t="inlineStr">
        <is>
          <t>REQ-00473</t>
        </is>
      </c>
      <c r="B518" t="inlineStr">
        <is>
          <t>4.1201), except for paragraphs .
____
[Offeror to identify the applicable paragraphs at (c) through (v) of this provision that the offeror has 
completed for the purposes of this solicitation only,...</t>
        </is>
      </c>
      <c r="C518" t="inlineStr">
        <is>
          <t>No</t>
        </is>
      </c>
      <c r="D518" t="inlineStr">
        <is>
          <t>Medium</t>
        </is>
      </c>
      <c r="E518" t="inlineStr">
        <is>
          <t>Not Started</t>
        </is>
      </c>
    </row>
    <row r="519">
      <c r="A519" t="inlineStr">
        <is>
          <t>REQ-00475</t>
        </is>
      </c>
      <c r="B519" t="inlineStr">
        <is>
          <t>(1) 
 . The offeror represents as part of its offer that-Small business concern</t>
        </is>
      </c>
      <c r="C519" t="inlineStr">
        <is>
          <t>No</t>
        </is>
      </c>
      <c r="D519" t="inlineStr">
        <is>
          <t>Medium</t>
        </is>
      </c>
      <c r="E519" t="inlineStr">
        <is>
          <t>Not Started</t>
        </is>
      </c>
    </row>
    <row r="520">
      <c r="A520" t="inlineStr">
        <is>
          <t>REQ-00477</t>
        </is>
      </c>
      <c r="B520" t="inlineStr">
        <is>
          <t>(2)  . [Veteran-owned small business concern Complete only if the offeror represented itself as a small 
.] The offeror represents as part of its offer that itbusiness concern in paragraph (c)(1) o...</t>
        </is>
      </c>
      <c r="C520" t="inlineStr">
        <is>
          <t>No</t>
        </is>
      </c>
      <c r="D520" t="inlineStr">
        <is>
          <t>Medium</t>
        </is>
      </c>
      <c r="E520" t="inlineStr">
        <is>
          <t>Not Started</t>
        </is>
      </c>
    </row>
    <row r="521">
      <c r="A521" t="inlineStr">
        <is>
          <t>REQ-00478</t>
        </is>
      </c>
      <c r="B521" t="inlineStr">
        <is>
          <t>(3)   [SDVOSB concern. Complete only if the offeror represented itself as a veteran-owned small 
] The offeror represents that itbusiness concern in paragraph (c)(2) of this provision.
is,
is not a...</t>
        </is>
      </c>
      <c r="C521" t="inlineStr">
        <is>
          <t>No</t>
        </is>
      </c>
      <c r="D521" t="inlineStr">
        <is>
          <t>Medium</t>
        </is>
      </c>
      <c r="E521" t="inlineStr">
        <is>
          <t>Not Started</t>
        </is>
      </c>
    </row>
    <row r="522">
      <c r="A522" t="inlineStr">
        <is>
          <t>REQ-00482</t>
        </is>
      </c>
      <c r="B522" t="inlineStr">
        <is>
          <t>(6)  . [Women-owned small business concern Complete only if the offeror represented itself as a small 
.] The offeror represents that itbusiness concern in paragraph (c)(1) of this provision
is,
is...</t>
        </is>
      </c>
      <c r="C522" t="inlineStr">
        <is>
          <t>No</t>
        </is>
      </c>
      <c r="D522" t="inlineStr">
        <is>
          <t>Medium</t>
        </is>
      </c>
      <c r="E522" t="inlineStr">
        <is>
          <t>Not Started</t>
        </is>
      </c>
    </row>
    <row r="523">
      <c r="A523" t="inlineStr">
        <is>
          <t>REQ-00484</t>
        </is>
      </c>
      <c r="B523" t="inlineStr">
        <is>
          <t>(8)   The offeror Economically disadvantaged women-owned small business (EDWOSB) joint venture.
represents that it
 is,
is not a joint venture that complies with the requirements of 13 CFR 127.506(...</t>
        </is>
      </c>
      <c r="C523" t="inlineStr">
        <is>
          <t>No</t>
        </is>
      </c>
      <c r="D523" t="inlineStr">
        <is>
          <t>High</t>
        </is>
      </c>
      <c r="E523" t="inlineStr">
        <is>
          <t>Not Started</t>
        </is>
      </c>
    </row>
    <row r="524">
      <c r="A524" t="inlineStr">
        <is>
          <t>REQ-00485</t>
        </is>
      </c>
      <c r="B524" t="inlineStr">
        <is>
          <t>(9)  ). [Women-owned business concern (other than small business concern Complete only if the 
offeror is a women-owned business concern and did not represent itself as a small business concern in ...</t>
        </is>
      </c>
      <c r="C524" t="inlineStr">
        <is>
          <t>No</t>
        </is>
      </c>
      <c r="D524" t="inlineStr">
        <is>
          <t>Medium</t>
        </is>
      </c>
      <c r="E524" t="inlineStr">
        <is>
          <t>Not Started</t>
        </is>
      </c>
    </row>
    <row r="525">
      <c r="A525" t="inlineStr">
        <is>
          <t>REQ-00486</t>
        </is>
      </c>
      <c r="B525" t="inlineStr">
        <is>
          <t>(10)  . If this is an invitation for bid, small business Tie bid priority for labor surplus area concerns
offerors may identify the labor surplus areas in which costs to be incurred on account of m...</t>
        </is>
      </c>
      <c r="C525" t="inlineStr">
        <is>
          <t>No</t>
        </is>
      </c>
      <c r="D525" t="inlineStr">
        <is>
          <t>Low</t>
        </is>
      </c>
      <c r="E525" t="inlineStr">
        <is>
          <t>Not Started</t>
        </is>
      </c>
    </row>
    <row r="526">
      <c r="A526" t="inlineStr">
        <is>
          <t>REQ-00487</t>
        </is>
      </c>
      <c r="B526" t="inlineStr">
        <is>
          <t>(11)  . [HUBZone small business concern Complete only if the offeror represented itself as a small 
.] The offeror represents, as part of its offer, that-business concern in paragraph (c)(1) of thi...</t>
        </is>
      </c>
      <c r="C526" t="inlineStr">
        <is>
          <t>No</t>
        </is>
      </c>
      <c r="D526" t="inlineStr">
        <is>
          <t>Medium</t>
        </is>
      </c>
      <c r="E526" t="inlineStr">
        <is>
          <t>Not Started</t>
        </is>
      </c>
    </row>
    <row r="527">
      <c r="A527" t="inlineStr">
        <is>
          <t>REQ-00514</t>
        </is>
      </c>
      <c r="B527" t="inlineStr">
        <is>
          <t>(1) 
 Are,
 are not presently debarred, suspended, proposed for debarment, or declared ineligible for the award of 
contracts by any Federal agency;</t>
        </is>
      </c>
      <c r="C527" t="inlineStr">
        <is>
          <t>No</t>
        </is>
      </c>
      <c r="D527" t="inlineStr">
        <is>
          <t>Medium</t>
        </is>
      </c>
      <c r="E527" t="inlineStr">
        <is>
          <t>Not Started</t>
        </is>
      </c>
    </row>
    <row r="528">
      <c r="A528" t="inlineStr">
        <is>
          <t>REQ-00522</t>
        </is>
      </c>
      <c r="B528" t="inlineStr">
        <is>
          <t>(2)  Certification. [If the Contracting Officer has identified end products and countries of origin in 
paragraph (i)(1) of this provision, then the offeror must certify to either (i)(2)(i) or (i)(...</t>
        </is>
      </c>
      <c r="C528" t="inlineStr">
        <is>
          <t>Yes</t>
        </is>
      </c>
      <c r="D528" t="inlineStr">
        <is>
          <t>High</t>
        </is>
      </c>
      <c r="E528" t="inlineStr">
        <is>
          <t>Not Started</t>
        </is>
      </c>
    </row>
    <row r="529">
      <c r="A529" t="inlineStr">
        <is>
          <t>REQ-00525</t>
        </is>
      </c>
      <c r="B529" t="inlineStr">
        <is>
          <t>(k)   Certificates regarding exemptions from the application of the Service Contract Labor Standards
(Certification by the offeror as to its compliance with respect to the contract also constitutes...</t>
        </is>
      </c>
      <c r="C529" t="inlineStr">
        <is>
          <t>No</t>
        </is>
      </c>
      <c r="D529" t="inlineStr">
        <is>
          <t>Medium</t>
        </is>
      </c>
      <c r="E529" t="inlineStr">
        <is>
          <t>Not Started</t>
        </is>
      </c>
    </row>
    <row r="530">
      <c r="A530" t="inlineStr">
        <is>
          <t>REQ-00535</t>
        </is>
      </c>
      <c r="B530" t="inlineStr">
        <is>
          <t>(3)  .Taxpayer Identification Number (TIN)
TIN: .____
TIN has been applied for.
TIN is not required because:
DRAFT</t>
        </is>
      </c>
      <c r="C530" t="inlineStr">
        <is>
          <t>Yes</t>
        </is>
      </c>
      <c r="D530" t="inlineStr">
        <is>
          <t>Medium</t>
        </is>
      </c>
      <c r="E530" t="inlineStr">
        <is>
          <t>Not Started</t>
        </is>
      </c>
    </row>
    <row r="531">
      <c r="A531" t="inlineStr">
        <is>
          <t>REQ-00541</t>
        </is>
      </c>
      <c r="B531" t="inlineStr">
        <is>
          <t>(2)  . The Offeror represents that-Representation</t>
        </is>
      </c>
      <c r="C531" t="inlineStr">
        <is>
          <t>No</t>
        </is>
      </c>
      <c r="D531" t="inlineStr">
        <is>
          <t>Medium</t>
        </is>
      </c>
      <c r="E531" t="inlineStr">
        <is>
          <t>Not Started</t>
        </is>
      </c>
    </row>
    <row r="532">
      <c r="A532" t="inlineStr">
        <is>
          <t>REQ-00545</t>
        </is>
      </c>
      <c r="B532" t="inlineStr">
        <is>
          <t>(2)  . Unless a waiver is granted or an exception applies as provided Representation and Certifications
in paragraph (o)(3) of this provision, by submission of its offer, the offeror-</t>
        </is>
      </c>
      <c r="C532" t="inlineStr">
        <is>
          <t>No</t>
        </is>
      </c>
      <c r="D532" t="inlineStr">
        <is>
          <t>Medium</t>
        </is>
      </c>
      <c r="E532" t="inlineStr">
        <is>
          <t>Not Started</t>
        </is>
      </c>
    </row>
    <row r="533">
      <c r="A533" t="inlineStr">
        <is>
          <t>REQ-00547</t>
        </is>
      </c>
      <c r="B533" t="inlineStr">
        <is>
          <t>(3)  The representation and certification requirements of paragraph (o)(2) of this provision do not 
apply if-</t>
        </is>
      </c>
      <c r="C533" t="inlineStr">
        <is>
          <t>No</t>
        </is>
      </c>
      <c r="D533" t="inlineStr">
        <is>
          <t>Medium</t>
        </is>
      </c>
      <c r="E533" t="inlineStr">
        <is>
          <t>Not Started</t>
        </is>
      </c>
    </row>
    <row r="534">
      <c r="A534" t="inlineStr">
        <is>
          <t>REQ-00553</t>
        </is>
      </c>
      <c r="B534" t="inlineStr">
        <is>
          <t>(q)  Representation by Corporations Regarding Delinquent Tax Liability or a Felony Conviction 
under any Federal Law.</t>
        </is>
      </c>
      <c r="C534" t="inlineStr">
        <is>
          <t>No</t>
        </is>
      </c>
      <c r="D534" t="inlineStr">
        <is>
          <t>Medium</t>
        </is>
      </c>
      <c r="E534" t="inlineStr">
        <is>
          <t>Not Started</t>
        </is>
      </c>
    </row>
    <row r="535">
      <c r="A535" t="inlineStr">
        <is>
          <t>REQ-00562</t>
        </is>
      </c>
      <c r="B535" t="inlineStr">
        <is>
          <t>(1)  This representation shall be completed if the Offeror received $7.5 million or more in contract 
awards in the prior Federal fiscal year. The representation is optional if the Offeror received...</t>
        </is>
      </c>
      <c r="C535" t="inlineStr">
        <is>
          <t>Yes</t>
        </is>
      </c>
      <c r="D535" t="inlineStr">
        <is>
          <t>High</t>
        </is>
      </c>
      <c r="E535" t="inlineStr">
        <is>
          <t>Not Started</t>
        </is>
      </c>
    </row>
    <row r="536">
      <c r="A536" t="inlineStr">
        <is>
          <t>REQ-00567</t>
        </is>
      </c>
      <c r="B536" t="inlineStr">
        <is>
          <t>(3) 
 . By submission of its offer, the Offeror represents that it will not require its Representation
employees or subcontractors to sign or comply with internal confidentiality agreements or stat...</t>
        </is>
      </c>
      <c r="C536" t="inlineStr">
        <is>
          <t>No</t>
        </is>
      </c>
      <c r="D536" t="inlineStr">
        <is>
          <t>Medium</t>
        </is>
      </c>
      <c r="E536" t="inlineStr">
        <is>
          <t>Not Started</t>
        </is>
      </c>
    </row>
    <row r="537">
      <c r="A537" t="inlineStr">
        <is>
          <t>REQ-00568</t>
        </is>
      </c>
      <c r="B537" t="inlineStr">
        <is>
          <t>(v) 
  Section 889(a)(1)(A) and Covered Telecommunications Equipment or Services-Representation.
section 889 (a)(1)(B) of Public Law 115-232.</t>
        </is>
      </c>
      <c r="C537" t="inlineStr">
        <is>
          <t>No</t>
        </is>
      </c>
      <c r="D537" t="inlineStr">
        <is>
          <t>Medium</t>
        </is>
      </c>
      <c r="E537" t="inlineStr">
        <is>
          <t>Not Started</t>
        </is>
      </c>
    </row>
    <row r="538">
      <c r="A538" t="inlineStr">
        <is>
          <t>REQ-00569</t>
        </is>
      </c>
      <c r="B538" t="inlineStr">
        <is>
          <t>(1)  The Offeror shall review the list of excluded parties in the System for Award Management (SAM) 
(https://www.sam.gov) for entities excluded from receiving federal awards for "covered 
telecomm...</t>
        </is>
      </c>
      <c r="C538" t="inlineStr">
        <is>
          <t>Yes</t>
        </is>
      </c>
      <c r="D538" t="inlineStr">
        <is>
          <t>High</t>
        </is>
      </c>
      <c r="E538" t="inlineStr">
        <is>
          <t>Not Started</t>
        </is>
      </c>
    </row>
    <row r="539">
      <c r="A539" t="inlineStr">
        <is>
          <t>REQ-00571</t>
        </is>
      </c>
      <c r="B539" t="inlineStr">
        <is>
          <t>52.212-3 ALT I Offeror Representations and Certifications-Commercial 
Products and Commercial Services. (Alternate I) 2024-02
Alternate I . As prescribed in (b)(2), add the following paragraph (c)(...</t>
        </is>
      </c>
      <c r="C539" t="inlineStr">
        <is>
          <t>No</t>
        </is>
      </c>
      <c r="D539" t="inlineStr">
        <is>
          <t>Medium</t>
        </is>
      </c>
      <c r="E539" t="inlineStr">
        <is>
          <t>Not Started</t>
        </is>
      </c>
    </row>
    <row r="540">
      <c r="A540" t="inlineStr">
        <is>
          <t>REQ-00623</t>
        </is>
      </c>
      <c r="B540" t="inlineStr">
        <is>
          <t>(5)  52.232-40, Providing Accelerated Payments to Small Business Subcontractors  (31 U.(MAR 2023)</t>
        </is>
      </c>
      <c r="C540" t="inlineStr">
        <is>
          <t>No</t>
        </is>
      </c>
      <c r="D540" t="inlineStr">
        <is>
          <t>Medium</t>
        </is>
      </c>
      <c r="E540" t="inlineStr">
        <is>
          <t>Not Started</t>
        </is>
      </c>
    </row>
    <row r="541">
      <c r="A541" t="inlineStr">
        <is>
          <t>REQ-00639</t>
        </is>
      </c>
      <c r="B541" t="inlineStr">
        <is>
          <t>52.209-6, Protecting the Government's Interest When Subcontracting with Contractors Debarred, (12) 
Suspended, or Proposed for Debarment.  (31 U.S.C. 6101 note).(NOV 2021)</t>
        </is>
      </c>
      <c r="C541" t="inlineStr">
        <is>
          <t>No</t>
        </is>
      </c>
      <c r="D541" t="inlineStr">
        <is>
          <t>Medium</t>
        </is>
      </c>
      <c r="E541" t="inlineStr">
        <is>
          <t>Not Started</t>
        </is>
      </c>
    </row>
    <row r="542">
      <c r="A542" t="inlineStr">
        <is>
          <t>REQ-00642</t>
        </is>
      </c>
      <c r="B542" t="inlineStr">
        <is>
          <t>52.219-4, Notice of Price Evaluation Preference for HUBZone Small Business Concerns ((16) OCT 
) (if the offeror elects to waive the preference, it shall so indicate in its offer) (15 U.S.C. 657a)....</t>
        </is>
      </c>
      <c r="C542" t="inlineStr">
        <is>
          <t>Yes</t>
        </is>
      </c>
      <c r="D542" t="inlineStr">
        <is>
          <t>High</t>
        </is>
      </c>
      <c r="E542" t="inlineStr">
        <is>
          <t>Not Started</t>
        </is>
      </c>
    </row>
    <row r="543">
      <c r="A543" t="inlineStr">
        <is>
          <t>REQ-00646</t>
        </is>
      </c>
      <c r="B543" t="inlineStr">
        <is>
          <t>52.219-8, Utilization of Small Business Concerns ( ) (15 U.S.C. 637(d)(2) and (3)).(20) FEB 2024</t>
        </is>
      </c>
      <c r="C543" t="inlineStr">
        <is>
          <t>No</t>
        </is>
      </c>
      <c r="D543" t="inlineStr">
        <is>
          <t>Medium</t>
        </is>
      </c>
      <c r="E543" t="inlineStr">
        <is>
          <t>Not Started</t>
        </is>
      </c>
    </row>
    <row r="544">
      <c r="A544" t="inlineStr">
        <is>
          <t>REQ-00651</t>
        </is>
      </c>
      <c r="B544" t="inlineStr">
        <is>
          <t>52.219-27, Notice of Set-Aside for, or Sole-Source Award to, Service-Disabled Veteran-Owned (25) 
Small Business (SDVOSB) Concerns Eligible Under the SDVOSB Program ( ) (15 U.S.FEB 2024</t>
        </is>
      </c>
      <c r="C544" t="inlineStr">
        <is>
          <t>No</t>
        </is>
      </c>
      <c r="D544" t="inlineStr">
        <is>
          <t>Medium</t>
        </is>
      </c>
      <c r="E544" t="inlineStr">
        <is>
          <t>Not Started</t>
        </is>
      </c>
    </row>
    <row r="545">
      <c r="A545" t="inlineStr">
        <is>
          <t>REQ-00654</t>
        </is>
      </c>
      <c r="B545" t="inlineStr">
        <is>
          <t>52.219-29, Notice of Set-Aside for, or Sole-Source Award to, Economically Disadvantaged (27) 
Women-Owned Small Business Concerns ( ) (15 U.S.C. 637(m)).OCT 2022</t>
        </is>
      </c>
      <c r="C545" t="inlineStr">
        <is>
          <t>No</t>
        </is>
      </c>
      <c r="D545" t="inlineStr">
        <is>
          <t>Medium</t>
        </is>
      </c>
      <c r="E545" t="inlineStr">
        <is>
          <t>Not Started</t>
        </is>
      </c>
    </row>
    <row r="546">
      <c r="A546" t="inlineStr">
        <is>
          <t>REQ-00655</t>
        </is>
      </c>
      <c r="B546" t="inlineStr">
        <is>
          <t>52.219-30, Notice of Set-Aside for, or Sole-Source Award to, Women-Owned Small Business (28) 
Concerns Eligible Under the Women-Owned Small Business Program ( ) (15 U.S.C. 637(m)).OCT 2022</t>
        </is>
      </c>
      <c r="C546" t="inlineStr">
        <is>
          <t>No</t>
        </is>
      </c>
      <c r="D546" t="inlineStr">
        <is>
          <t>Medium</t>
        </is>
      </c>
      <c r="E546" t="inlineStr">
        <is>
          <t>Not Started</t>
        </is>
      </c>
    </row>
    <row r="547">
      <c r="A547" t="inlineStr">
        <is>
          <t>REQ-00656</t>
        </is>
      </c>
      <c r="B547" t="inlineStr">
        <is>
          <t>52.219-32, Orders Issued Directly Under Small Business Reserves  (15 U.S.C. 644(r)).(29) (MAR 2020)</t>
        </is>
      </c>
      <c r="C547" t="inlineStr">
        <is>
          <t>No</t>
        </is>
      </c>
      <c r="D547" t="inlineStr">
        <is>
          <t>Medium</t>
        </is>
      </c>
      <c r="E547" t="inlineStr">
        <is>
          <t>Not Started</t>
        </is>
      </c>
    </row>
    <row r="548">
      <c r="A548" t="inlineStr">
        <is>
          <t>REQ-00691</t>
        </is>
      </c>
      <c r="B548" t="inlineStr">
        <is>
          <t>52.242-5, Payments to Small Business Subcontractors  (15 U.S.C. 637(d)(13)).(63) (JAN 2017)</t>
        </is>
      </c>
      <c r="C548" t="inlineStr">
        <is>
          <t>No</t>
        </is>
      </c>
      <c r="D548" t="inlineStr">
        <is>
          <t>Medium</t>
        </is>
      </c>
      <c r="E548" t="inlineStr">
        <is>
          <t>Not Started</t>
        </is>
      </c>
    </row>
    <row r="549">
      <c r="A549" t="inlineStr">
        <is>
          <t>REQ-00712</t>
        </is>
      </c>
      <c r="B549" t="inlineStr">
        <is>
          <t>L. 115-390, title II).
(B)  Alternate I  of 52.204-30.(DEC 2023)
(viii)  52.219-8, Utilization of Small Business Concerns ( ) (15 U.S.C. 637(d)(2) and (3)), in FEB 2024
all subcontracts that offer ...</t>
        </is>
      </c>
      <c r="C549" t="inlineStr">
        <is>
          <t>No</t>
        </is>
      </c>
      <c r="D549" t="inlineStr">
        <is>
          <t>High</t>
        </is>
      </c>
      <c r="E549" t="inlineStr">
        <is>
          <t>Not Started</t>
        </is>
      </c>
    </row>
    <row r="550">
      <c r="A550" t="inlineStr">
        <is>
          <t>REQ-00717</t>
        </is>
      </c>
      <c r="B550" t="inlineStr">
        <is>
          <t>C. 1792). Flow down required in accordance with paragraph (e) of FAR clause 52.226-6.
(xxv)  52.232-40, Providing Accelerated Payments to Small Business Subcontractors (Mar 2023) (31</t>
        </is>
      </c>
      <c r="C550" t="inlineStr">
        <is>
          <t>Yes</t>
        </is>
      </c>
      <c r="D550" t="inlineStr">
        <is>
          <t>Medium</t>
        </is>
      </c>
      <c r="E550" t="inlineStr">
        <is>
          <t>Not Started</t>
        </is>
      </c>
    </row>
    <row r="552">
      <c r="A552" s="16" t="inlineStr">
        <is>
          <t>Section L (42 requirements)</t>
        </is>
      </c>
    </row>
    <row r="553">
      <c r="A553" s="4" t="inlineStr">
        <is>
          <t>ID</t>
        </is>
      </c>
      <c r="B553" s="4" t="inlineStr">
        <is>
          <t>Requirement</t>
        </is>
      </c>
      <c r="C553" s="4" t="inlineStr">
        <is>
          <t>Mandatory?</t>
        </is>
      </c>
      <c r="D553" s="4" t="inlineStr">
        <is>
          <t>Priority</t>
        </is>
      </c>
      <c r="E553" s="4" t="inlineStr">
        <is>
          <t>Status</t>
        </is>
      </c>
    </row>
    <row r="554">
      <c r="A554" t="inlineStr">
        <is>
          <t>REQ-00045</t>
        </is>
      </c>
      <c r="B554" t="inlineStr">
        <is>
          <t>During the source selection and IAW FAR 16.505, the Government may enter into interchanges 
with some, all or none offerors. Interchanges with offerors may be written with encrypted E-Mail 
(Unclas...</t>
        </is>
      </c>
      <c r="C554" t="inlineStr">
        <is>
          <t>No</t>
        </is>
      </c>
      <c r="D554" t="inlineStr">
        <is>
          <t>High</t>
        </is>
      </c>
      <c r="E554" t="inlineStr">
        <is>
          <t>Not Started</t>
        </is>
      </c>
    </row>
    <row r="555">
      <c r="A555" t="inlineStr">
        <is>
          <t>REQ-00047</t>
        </is>
      </c>
      <c r="B555" t="inlineStr">
        <is>
          <t>The technical subfactors are more important than cost/price criteria.  Within the Technical 
Factor, Management Support (SF1) is more important than Infrastructure Approach (SF2).  
Within the Cost...</t>
        </is>
      </c>
      <c r="C555" t="inlineStr">
        <is>
          <t>No</t>
        </is>
      </c>
      <c r="D555" t="inlineStr">
        <is>
          <t>Medium</t>
        </is>
      </c>
      <c r="E555" t="inlineStr">
        <is>
          <t>Not Started</t>
        </is>
      </c>
    </row>
    <row r="556">
      <c r="A556" t="inlineStr">
        <is>
          <t>REQ-00050</t>
        </is>
      </c>
      <c r="B556" t="inlineStr">
        <is>
          <t>Offerors’ proposals shall include all required data and information necessary to demonstrate an 
ability to meet the requirements of the solicitation and shall be submitted in accordance with 
thes...</t>
        </is>
      </c>
      <c r="C556" t="inlineStr">
        <is>
          <t>Yes</t>
        </is>
      </c>
      <c r="D556" t="inlineStr">
        <is>
          <t>High</t>
        </is>
      </c>
      <c r="E556" t="inlineStr">
        <is>
          <t>Not Started</t>
        </is>
      </c>
    </row>
    <row r="557">
      <c r="A557" t="inlineStr">
        <is>
          <t>REQ-00052</t>
        </is>
      </c>
      <c r="B557" t="inlineStr">
        <is>
          <t>substantiate the validity of stated claims without need for additional explanation.  The proposal 
shall not simply rephrase or restate the Government’s requirements, but rather provide clear and 
...</t>
        </is>
      </c>
      <c r="C557" t="inlineStr">
        <is>
          <t>Yes</t>
        </is>
      </c>
      <c r="D557" t="inlineStr">
        <is>
          <t>High</t>
        </is>
      </c>
      <c r="E557" t="inlineStr">
        <is>
          <t>Not Started</t>
        </is>
      </c>
    </row>
    <row r="558">
      <c r="A558" t="inlineStr">
        <is>
          <t>REQ-00053</t>
        </is>
      </c>
      <c r="B558" t="inlineStr">
        <is>
          <t>The Government will only evaluate the information submitted in an Offeror’s proposal.  The 
Government intends to and reserves the right to award this effort based on the initial proposal, as 
rece...</t>
        </is>
      </c>
      <c r="C558" t="inlineStr">
        <is>
          <t>No</t>
        </is>
      </c>
      <c r="D558" t="inlineStr">
        <is>
          <t>High</t>
        </is>
      </c>
      <c r="E558" t="inlineStr">
        <is>
          <t>Not Started</t>
        </is>
      </c>
    </row>
    <row r="559">
      <c r="A559" t="inlineStr">
        <is>
          <t>REQ-00055</t>
        </is>
      </c>
      <c r="B559" t="inlineStr">
        <is>
          <t>This request for proposal shall not authorize the Offeror to perform any work prior to award.  
The Government reserves the right to withdraw and cancel the solicitation.  This decision shall 
be f...</t>
        </is>
      </c>
      <c r="C559" t="inlineStr">
        <is>
          <t>Yes</t>
        </is>
      </c>
      <c r="D559" t="inlineStr">
        <is>
          <t>High</t>
        </is>
      </c>
      <c r="E559" t="inlineStr">
        <is>
          <t>Not Started</t>
        </is>
      </c>
    </row>
    <row r="560">
      <c r="A560" t="inlineStr">
        <is>
          <t>REQ-00059</t>
        </is>
      </c>
      <c r="B560" t="inlineStr">
        <is>
          <t>Proposal Format 
Proposals shall be submitted to the Government in separate volumes as set forth below.</t>
        </is>
      </c>
      <c r="C560" t="inlineStr">
        <is>
          <t>Yes</t>
        </is>
      </c>
      <c r="D560" t="inlineStr">
        <is>
          <t>High</t>
        </is>
      </c>
      <c r="E560" t="inlineStr">
        <is>
          <t>Not Started</t>
        </is>
      </c>
    </row>
    <row r="561">
      <c r="A561" t="inlineStr">
        <is>
          <t>REQ-00060</t>
        </is>
      </c>
      <c r="B561" t="inlineStr">
        <is>
          <t>Volume Title 
Description 
Page Limit Included in Page 
Count (Y/N/NA)</t>
        </is>
      </c>
      <c r="C561" t="inlineStr">
        <is>
          <t>No</t>
        </is>
      </c>
      <c r="D561" t="inlineStr">
        <is>
          <t>Medium</t>
        </is>
      </c>
      <c r="E561" t="inlineStr">
        <is>
          <t>Not Started</t>
        </is>
      </c>
    </row>
    <row r="562">
      <c r="A562" t="inlineStr">
        <is>
          <t>REQ-00063</t>
        </is>
      </c>
      <c r="B562" t="inlineStr">
        <is>
          <t>Page limitations shall be treated as maximums. If exceeded, excess pages will not be read or 
considered in the proposal evaluations. Page limitations do not apply to Title pages; Table of 
Content...</t>
        </is>
      </c>
      <c r="C562" t="inlineStr">
        <is>
          <t>Yes</t>
        </is>
      </c>
      <c r="D562" t="inlineStr">
        <is>
          <t>High</t>
        </is>
      </c>
      <c r="E562" t="inlineStr">
        <is>
          <t>Not Started</t>
        </is>
      </c>
    </row>
    <row r="563">
      <c r="A563" t="inlineStr">
        <is>
          <t>REQ-00066</t>
        </is>
      </c>
      <c r="B563" t="inlineStr">
        <is>
          <t>The Offeror shall apply all appropriate security markings and markings prescribed in accordance 
with FAR 3.104-4, Disclosure, Protection, and Marking of Offeror Bid or Proposal Information 
and So...</t>
        </is>
      </c>
      <c r="C563" t="inlineStr">
        <is>
          <t>Yes</t>
        </is>
      </c>
      <c r="D563" t="inlineStr">
        <is>
          <t>High</t>
        </is>
      </c>
      <c r="E563" t="inlineStr">
        <is>
          <t>Not Started</t>
        </is>
      </c>
    </row>
    <row r="564">
      <c r="A564" t="inlineStr">
        <is>
          <t>REQ-00067</t>
        </is>
      </c>
      <c r="B564" t="inlineStr">
        <is>
          <t>Discrepancies, Errors, and Omissions 
If an Offeror believes that the requirements in these instructions contain an error, omission, or 
are otherwise unsound, the Offeror shall immediately notify ...</t>
        </is>
      </c>
      <c r="C564" t="inlineStr">
        <is>
          <t>Yes</t>
        </is>
      </c>
      <c r="D564" t="inlineStr">
        <is>
          <t>High</t>
        </is>
      </c>
      <c r="E564" t="inlineStr">
        <is>
          <t>Not Started</t>
        </is>
      </c>
    </row>
    <row r="565">
      <c r="A565" t="inlineStr">
        <is>
          <t>REQ-00070</t>
        </is>
      </c>
      <c r="B565" t="inlineStr">
        <is>
          <t>Non-Government Advisors 
Offerors are advised personnel from The Aerospace Corporation and Quantech Services, Inc. 
may assist the Government during the source selection process. If Offerors have a...</t>
        </is>
      </c>
      <c r="C565" t="inlineStr">
        <is>
          <t>No</t>
        </is>
      </c>
      <c r="D565" t="inlineStr">
        <is>
          <t>High</t>
        </is>
      </c>
      <c r="E565" t="inlineStr">
        <is>
          <t>Not Started</t>
        </is>
      </c>
    </row>
    <row r="566">
      <c r="A566" t="inlineStr">
        <is>
          <t>REQ-00071</t>
        </is>
      </c>
      <c r="B566" t="inlineStr">
        <is>
          <t>1. Executive Summary and Technical Volume</t>
        </is>
      </c>
      <c r="C566" t="inlineStr">
        <is>
          <t>No</t>
        </is>
      </c>
      <c r="D566" t="inlineStr">
        <is>
          <t>Medium</t>
        </is>
      </c>
      <c r="E566" t="inlineStr">
        <is>
          <t>Not Started</t>
        </is>
      </c>
    </row>
    <row r="567">
      <c r="A567" t="inlineStr">
        <is>
          <t>REQ-00073</t>
        </is>
      </c>
      <c r="B567" t="inlineStr">
        <is>
          <t>The Government will evaluate proposals based on the technical sub factors identified 
below.  Offerors shall comply with all sub factor instructions.</t>
        </is>
      </c>
      <c r="C567" t="inlineStr">
        <is>
          <t>Yes</t>
        </is>
      </c>
      <c r="D567" t="inlineStr">
        <is>
          <t>High</t>
        </is>
      </c>
      <c r="E567" t="inlineStr">
        <is>
          <t>Not Started</t>
        </is>
      </c>
    </row>
    <row r="568">
      <c r="A568" t="inlineStr">
        <is>
          <t>REQ-00083</t>
        </is>
      </c>
      <c r="B568" t="inlineStr">
        <is>
          <t>Evaluation: Any summary material presented here shall not be considered as meeting the 
requirements for any portions of other volumes of the proposal.</t>
        </is>
      </c>
      <c r="C568" t="inlineStr">
        <is>
          <t>Yes</t>
        </is>
      </c>
      <c r="D568" t="inlineStr">
        <is>
          <t>High</t>
        </is>
      </c>
      <c r="E568" t="inlineStr">
        <is>
          <t>Not Started</t>
        </is>
      </c>
    </row>
    <row r="569">
      <c r="A569" t="inlineStr">
        <is>
          <t>REQ-00084</t>
        </is>
      </c>
      <c r="B569" t="inlineStr">
        <is>
          <t>Instruction: The offeror shall provide a detailed staff training and certification plan and include 
any potential risks along with their associated mitigation factors.  The plan should address the...</t>
        </is>
      </c>
      <c r="C569" t="inlineStr">
        <is>
          <t>Yes</t>
        </is>
      </c>
      <c r="D569" t="inlineStr">
        <is>
          <t>High</t>
        </is>
      </c>
      <c r="E569" t="inlineStr">
        <is>
          <t>Not Started</t>
        </is>
      </c>
    </row>
    <row r="570">
      <c r="A570" t="inlineStr">
        <is>
          <t>REQ-00087</t>
        </is>
      </c>
      <c r="B570" t="inlineStr">
        <is>
          <t>1.3 Sub Factor 2: Infrastructure Approach 
Instruction: The offeror shall submit an approach for the uninterrupted transfer of responsibility 
facilities, equipment, accounts, documentation, person...</t>
        </is>
      </c>
      <c r="C570" t="inlineStr">
        <is>
          <t>Yes</t>
        </is>
      </c>
      <c r="D570" t="inlineStr">
        <is>
          <t>High</t>
        </is>
      </c>
      <c r="E570" t="inlineStr">
        <is>
          <t>Not Started</t>
        </is>
      </c>
    </row>
    <row r="571">
      <c r="A571" t="inlineStr">
        <is>
          <t>REQ-00090</t>
        </is>
      </c>
      <c r="B571" t="inlineStr">
        <is>
          <t>The Government will evaluate proposals based on the technical sub factors identified below.  
Offerors shall comply with all sub factor instructions. 
Cost/Price 
Factor 
Criteria 1 Supply Pricing ...</t>
        </is>
      </c>
      <c r="C571" t="inlineStr">
        <is>
          <t>Yes</t>
        </is>
      </c>
      <c r="D571" t="inlineStr">
        <is>
          <t>High</t>
        </is>
      </c>
      <c r="E571" t="inlineStr">
        <is>
          <t>Not Started</t>
        </is>
      </c>
    </row>
    <row r="572">
      <c r="A572" t="inlineStr">
        <is>
          <t>REQ-00096</t>
        </is>
      </c>
      <c r="B572" t="inlineStr">
        <is>
          <t>Instruction: The contractor shall develop and deliver cost volume which describes how the 
Cost/Price Factor compliance is met.  The offeror (and sub-contractors if applicable) shall 
complete and ...</t>
        </is>
      </c>
      <c r="C572" t="inlineStr">
        <is>
          <t>Yes</t>
        </is>
      </c>
      <c r="D572" t="inlineStr">
        <is>
          <t>High</t>
        </is>
      </c>
      <c r="E572" t="inlineStr">
        <is>
          <t>Not Started</t>
        </is>
      </c>
    </row>
    <row r="573">
      <c r="A573" t="inlineStr">
        <is>
          <t>REQ-00097</t>
        </is>
      </c>
      <c r="B573" t="inlineStr">
        <is>
          <t>Evaluation: The proposed summary of cost/price reflects the information included in the 
cost/price volume.  The milestone payment plan is fair and realistic based on approach in the 
technical vol...</t>
        </is>
      </c>
      <c r="C573" t="inlineStr">
        <is>
          <t>No</t>
        </is>
      </c>
      <c r="D573" t="inlineStr">
        <is>
          <t>Medium</t>
        </is>
      </c>
      <c r="E573" t="inlineStr">
        <is>
          <t>Not Started</t>
        </is>
      </c>
    </row>
    <row r="574">
      <c r="A574" t="inlineStr">
        <is>
          <t>REQ-00099</t>
        </is>
      </c>
      <c r="B574" t="inlineStr">
        <is>
          <t>Instruction:  The cost volume shall include detailed basis for the cost estimate showing at least 
the following information, as applicable; labor hours and costs for direct labor, indirect labor, ...</t>
        </is>
      </c>
      <c r="C574" t="inlineStr">
        <is>
          <t>Yes</t>
        </is>
      </c>
      <c r="D574" t="inlineStr">
        <is>
          <t>High</t>
        </is>
      </c>
      <c r="E574" t="inlineStr">
        <is>
          <t>Not Started</t>
        </is>
      </c>
    </row>
    <row r="575">
      <c r="A575" t="inlineStr">
        <is>
          <t>REQ-00102</t>
        </is>
      </c>
      <c r="B575" t="inlineStr">
        <is>
          <t>Instruction:  The cost/price volume shall be structured for 24x7 NOC support as a supply where 
each element in the Technical Volume is identified, costed/priced, and provide traceability to the 
b...</t>
        </is>
      </c>
      <c r="C575" t="inlineStr">
        <is>
          <t>Yes</t>
        </is>
      </c>
      <c r="D575" t="inlineStr">
        <is>
          <t>High</t>
        </is>
      </c>
      <c r="E575" t="inlineStr">
        <is>
          <t>Not Started</t>
        </is>
      </c>
    </row>
    <row r="576">
      <c r="A576" t="inlineStr">
        <is>
          <t>REQ-00103</t>
        </is>
      </c>
      <c r="B576" t="inlineStr">
        <is>
          <t>Evaluation:  The proposed cost/price volume provides identification of each element in the 
technical volume appropriately mapped to baseline requirements in the KM Baseline Description 
and adequa...</t>
        </is>
      </c>
      <c r="C576" t="inlineStr">
        <is>
          <t>No</t>
        </is>
      </c>
      <c r="D576" t="inlineStr">
        <is>
          <t>Medium</t>
        </is>
      </c>
      <c r="E576" t="inlineStr">
        <is>
          <t>Not Started</t>
        </is>
      </c>
    </row>
    <row r="577">
      <c r="A577" t="inlineStr">
        <is>
          <t>REQ-00104</t>
        </is>
      </c>
      <c r="B577" t="inlineStr">
        <is>
          <t>Instruction:  The offeror shall provide a schedule of direct and indirect rates and approval status 
of the rates – ensure labor categories identified here for each rate match with the labor catego...</t>
        </is>
      </c>
      <c r="C577" t="inlineStr">
        <is>
          <t>Yes</t>
        </is>
      </c>
      <c r="D577" t="inlineStr">
        <is>
          <t>High</t>
        </is>
      </c>
      <c r="E577" t="inlineStr">
        <is>
          <t>Not Started</t>
        </is>
      </c>
    </row>
    <row r="578">
      <c r="A578" t="inlineStr">
        <is>
          <t>REQ-00106</t>
        </is>
      </c>
      <c r="B578" t="inlineStr">
        <is>
          <t>Provide an electronic, working Excel spreadsheet of your cost element summary (e.g.  Volume 2 
– Cost Proposal), which is linked to all tabs in the Excel spreadsheet, with all support 
documentatio...</t>
        </is>
      </c>
      <c r="C578" t="inlineStr">
        <is>
          <t>No</t>
        </is>
      </c>
      <c r="D578" t="inlineStr">
        <is>
          <t>Medium</t>
        </is>
      </c>
      <c r="E578" t="inlineStr">
        <is>
          <t>Not Started</t>
        </is>
      </c>
    </row>
    <row r="579">
      <c r="A579" t="inlineStr">
        <is>
          <t>REQ-00108</t>
        </is>
      </c>
      <c r="B579" t="inlineStr">
        <is>
          <t>3. Contract Documentation Volume 
Offerors shall provide the following information identified below.</t>
        </is>
      </c>
      <c r="C579" t="inlineStr">
        <is>
          <t>Yes</t>
        </is>
      </c>
      <c r="D579" t="inlineStr">
        <is>
          <t>High</t>
        </is>
      </c>
      <c r="E579" t="inlineStr">
        <is>
          <t>Not Started</t>
        </is>
      </c>
    </row>
    <row r="580">
      <c r="A580" t="inlineStr">
        <is>
          <t>REQ-00114</t>
        </is>
      </c>
      <c r="B580" t="inlineStr">
        <is>
          <t>3.2 SF1449 
Offerors shall complete per the instructions included in the document.</t>
        </is>
      </c>
      <c r="C580" t="inlineStr">
        <is>
          <t>Yes</t>
        </is>
      </c>
      <c r="D580" t="inlineStr">
        <is>
          <t>High</t>
        </is>
      </c>
      <c r="E580" t="inlineStr">
        <is>
          <t>Not Started</t>
        </is>
      </c>
    </row>
    <row r="581">
      <c r="A581" t="inlineStr">
        <is>
          <t>REQ-00320</t>
        </is>
      </c>
      <c r="B581" t="inlineStr">
        <is>
          <t>(3) The unique item identifier component data elements shall be marked on an item using                 
two dimensional data matrix symbology that complies with ISO/IEC International Standard 1602...</t>
        </is>
      </c>
      <c r="C581" t="inlineStr">
        <is>
          <t>Yes</t>
        </is>
      </c>
      <c r="D581" t="inlineStr">
        <is>
          <t>High</t>
        </is>
      </c>
      <c r="E581" t="inlineStr">
        <is>
          <t>Not Started</t>
        </is>
      </c>
    </row>
    <row r="582">
      <c r="A582" t="inlineStr">
        <is>
          <t>REQ-00375</t>
        </is>
      </c>
      <c r="B582" t="inlineStr">
        <is>
          <t>(1) The Offeror shall submit certified cost or pricing data and supporting attachments in the                 
following format:  [Insert description of the data and format that are required, and i...</t>
        </is>
      </c>
      <c r="C582" t="inlineStr">
        <is>
          <t>Yes</t>
        </is>
      </c>
      <c r="D582" t="inlineStr">
        <is>
          <t>High</t>
        </is>
      </c>
      <c r="E582" t="inlineStr">
        <is>
          <t>Not Started</t>
        </is>
      </c>
    </row>
    <row r="583">
      <c r="A583" t="inlineStr">
        <is>
          <t>REQ-00377</t>
        </is>
      </c>
      <c r="B583" t="inlineStr">
        <is>
          <t>(2) As soon as practicable after agreement on price, but before contract award (except for                 
unpriced actions such as letter contracts), the Offeror shall submit a Certificate of Cur...</t>
        </is>
      </c>
      <c r="C583" t="inlineStr">
        <is>
          <t>Yes</t>
        </is>
      </c>
      <c r="D583" t="inlineStr">
        <is>
          <t>High</t>
        </is>
      </c>
      <c r="E583" t="inlineStr">
        <is>
          <t>Not Started</t>
        </is>
      </c>
    </row>
    <row r="584">
      <c r="A584" t="inlineStr">
        <is>
          <t>REQ-00380</t>
        </is>
      </c>
      <c r="B584" t="inlineStr">
        <is>
          <t>(1) Data other than certified cost or pricing data submitted in accordance with this provision                 
shall include all data necessary to permit a determination that the proposed price is...</t>
        </is>
      </c>
      <c r="C584" t="inlineStr">
        <is>
          <t>Yes</t>
        </is>
      </c>
      <c r="D584" t="inlineStr">
        <is>
          <t>High</t>
        </is>
      </c>
      <c r="E584" t="inlineStr">
        <is>
          <t>Not Started</t>
        </is>
      </c>
    </row>
    <row r="585">
      <c r="A585" t="inlineStr">
        <is>
          <t>REQ-00382</t>
        </is>
      </c>
      <c r="B585" t="inlineStr">
        <is>
          <t>(3) If the Offeror redacts data that identifies the customer (see DFARS 234.7002(e)(2)), then                 
the Offeror shall include, for each sale, the following signed statement with the data...</t>
        </is>
      </c>
      <c r="C585" t="inlineStr">
        <is>
          <t>Yes</t>
        </is>
      </c>
      <c r="D585" t="inlineStr">
        <is>
          <t>High</t>
        </is>
      </c>
      <c r="E585" t="inlineStr">
        <is>
          <t>Not Started</t>
        </is>
      </c>
    </row>
    <row r="586">
      <c r="A586" t="inlineStr">
        <is>
          <t>REQ-00384</t>
        </is>
      </c>
      <c r="B586" t="inlineStr">
        <is>
          <t>(4) The Offeror shall provide information described as follows:                [Insert description of the   
data and the format that are required, including access to records necessary to permit a...</t>
        </is>
      </c>
      <c r="C586" t="inlineStr">
        <is>
          <t>Yes</t>
        </is>
      </c>
      <c r="D586" t="inlineStr">
        <is>
          <t>High</t>
        </is>
      </c>
      <c r="E586" t="inlineStr">
        <is>
          <t>Not Started</t>
        </is>
      </c>
    </row>
    <row r="587">
      <c r="A587" t="inlineStr">
        <is>
          <t>REQ-00385</t>
        </is>
      </c>
      <c r="B587" t="inlineStr">
        <is>
          <t>(5) Within 10 days of a written request from the Contracting Officer for additional                 
information to support proposal analysis, the Offeror shall provide either the requested informa...</t>
        </is>
      </c>
      <c r="C587" t="inlineStr">
        <is>
          <t>Yes</t>
        </is>
      </c>
      <c r="D587" t="inlineStr">
        <is>
          <t>High</t>
        </is>
      </c>
      <c r="E587" t="inlineStr">
        <is>
          <t>Not Started</t>
        </is>
      </c>
    </row>
    <row r="588">
      <c r="A588" t="inlineStr">
        <is>
          <t>REQ-00483</t>
        </is>
      </c>
      <c r="B588" t="inlineStr">
        <is>
          <t>(7)   The offeror represents that itWOSB joint venture eligible under the WOSB Program.
is,
is not a joint venture that complies with the requirements of 13 CFR 127.506(a) through (c). [ The 
 offe...</t>
        </is>
      </c>
      <c r="C588" t="inlineStr">
        <is>
          <t>No</t>
        </is>
      </c>
      <c r="D588" t="inlineStr">
        <is>
          <t>High</t>
        </is>
      </c>
      <c r="E588" t="inlineStr">
        <is>
          <t>Not Started</t>
        </is>
      </c>
    </row>
    <row r="589">
      <c r="A589" t="inlineStr">
        <is>
          <t>REQ-00532</t>
        </is>
      </c>
      <c r="B589" t="inlineStr">
        <is>
          <t>(l)   26 U.S.C. 6109, 31 U.S.C. 7701). (Not applicable if the Taxpayer Identification Number (TIN) (
offeror is required to provide this information to the SAM to be eligible for award.)</t>
        </is>
      </c>
      <c r="C589" t="inlineStr">
        <is>
          <t>Yes</t>
        </is>
      </c>
      <c r="D589" t="inlineStr">
        <is>
          <t>High</t>
        </is>
      </c>
      <c r="E589" t="inlineStr">
        <is>
          <t>Not Started</t>
        </is>
      </c>
    </row>
    <row r="590">
      <c r="A590" t="inlineStr">
        <is>
          <t>REQ-00533</t>
        </is>
      </c>
      <c r="B590" t="inlineStr">
        <is>
          <t>(1)  All offerors must submit the information required in paragraphs (l)(3) through (l)(5) of this 
provision to comply with debt collection requirements of 31 U.S.C. 7701(c) and 3325(d), reporting...</t>
        </is>
      </c>
      <c r="C590" t="inlineStr">
        <is>
          <t>Yes</t>
        </is>
      </c>
      <c r="D590" t="inlineStr">
        <is>
          <t>High</t>
        </is>
      </c>
      <c r="E590" t="inlineStr">
        <is>
          <t>Not Started</t>
        </is>
      </c>
    </row>
    <row r="591">
      <c r="A591" t="inlineStr">
        <is>
          <t>REQ-00544</t>
        </is>
      </c>
      <c r="B591" t="inlineStr">
        <is>
          <t>(1)  The offeror shall e-mail questions concerning sensitive technology to the Department of State at 
CISADA106@state.gov.</t>
        </is>
      </c>
      <c r="C591" t="inlineStr">
        <is>
          <t>Yes</t>
        </is>
      </c>
      <c r="D591" t="inlineStr">
        <is>
          <t>High</t>
        </is>
      </c>
      <c r="E591" t="inlineStr">
        <is>
          <t>Not Started</t>
        </is>
      </c>
    </row>
    <row r="592">
      <c r="A592" t="inlineStr">
        <is>
          <t>REQ-00550</t>
        </is>
      </c>
      <c r="B592" t="inlineStr">
        <is>
          <t>(1)  The Offeror represents that it
has or
does not have an immediate owner. If the Offeror has more than one immediate owner (such as a joint 
venture), then the Offeror shall respond to paragraph...</t>
        </is>
      </c>
      <c r="C592" t="inlineStr">
        <is>
          <t>Yes</t>
        </is>
      </c>
      <c r="D592" t="inlineStr">
        <is>
          <t>High</t>
        </is>
      </c>
      <c r="E592" t="inlineStr">
        <is>
          <t>Not Started</t>
        </is>
      </c>
    </row>
    <row r="593">
      <c r="A593" t="inlineStr">
        <is>
          <t>REQ-00564</t>
        </is>
      </c>
      <c r="B593" t="inlineStr">
        <is>
          <t>(3)  If the Offeror checked "does" in paragraphs (t)(2)(i) or (t)(2)(ii) of this provision, respectively, the 
Offeror shall provide the publicly accessible website(s) where greenhouse gas emission...</t>
        </is>
      </c>
      <c r="C593" t="inlineStr">
        <is>
          <t>Yes</t>
        </is>
      </c>
      <c r="D593" t="inlineStr">
        <is>
          <t>High</t>
        </is>
      </c>
      <c r="E593" t="inlineStr">
        <is>
          <t>Not Started</t>
        </is>
      </c>
    </row>
    <row r="594">
      <c r="A594" t="inlineStr">
        <is>
          <t>REQ-00614</t>
        </is>
      </c>
      <c r="B594" t="inlineStr">
        <is>
          <t>(l) Termination for the Government's convenience. The Government reserves the right to terminate 
this contract, or any part hereof, for its sole convenience. In the event of such termination, the ...</t>
        </is>
      </c>
      <c r="C594" t="inlineStr">
        <is>
          <t>No</t>
        </is>
      </c>
      <c r="D594" t="inlineStr">
        <is>
          <t>High</t>
        </is>
      </c>
      <c r="E594" t="inlineStr">
        <is>
          <t>Not Started</t>
        </is>
      </c>
    </row>
    <row r="595">
      <c r="A595" t="inlineStr">
        <is>
          <t>REQ-00820</t>
        </is>
      </c>
      <c r="B595">
        <f>== Sheet: Instructions ===
The pricing table will be used to evaluate the total price
Each tab has additional instructions on how to fill out.  The vendor should modify table and formats throughou...</f>
        <v/>
      </c>
      <c r="C595" t="inlineStr">
        <is>
          <t>No</t>
        </is>
      </c>
      <c r="D595" t="inlineStr">
        <is>
          <t>High</t>
        </is>
      </c>
      <c r="E595" t="inlineStr">
        <is>
          <t>Not Started</t>
        </is>
      </c>
    </row>
    <row r="597">
      <c r="A597" s="17" t="inlineStr">
        <is>
          <t>Section M (18 requirements)</t>
        </is>
      </c>
    </row>
    <row r="598">
      <c r="A598" s="4" t="inlineStr">
        <is>
          <t>ID</t>
        </is>
      </c>
      <c r="B598" s="4" t="inlineStr">
        <is>
          <t>Requirement</t>
        </is>
      </c>
      <c r="C598" s="4" t="inlineStr">
        <is>
          <t>Mandatory?</t>
        </is>
      </c>
      <c r="D598" s="4" t="inlineStr">
        <is>
          <t>Priority</t>
        </is>
      </c>
      <c r="E598" s="4" t="inlineStr">
        <is>
          <t>Status</t>
        </is>
      </c>
    </row>
    <row r="599">
      <c r="A599" t="inlineStr">
        <is>
          <t>REQ-00041</t>
        </is>
      </c>
      <c r="B599" t="inlineStr">
        <is>
          <t>Basis for Awarding Delivery Order 
The BCC acquisition approach may award a single 24x7 Network Operations Center (NOC) 
Support issued under One Acquisition Solution for Integrated Services (OASIS...</t>
        </is>
      </c>
      <c r="C599" t="inlineStr">
        <is>
          <t>No</t>
        </is>
      </c>
      <c r="D599" t="inlineStr">
        <is>
          <t>Low</t>
        </is>
      </c>
      <c r="E599" t="inlineStr">
        <is>
          <t>Not Started</t>
        </is>
      </c>
    </row>
    <row r="600">
      <c r="A600" t="inlineStr">
        <is>
          <t>REQ-00044</t>
        </is>
      </c>
      <c r="B600" t="inlineStr">
        <is>
          <t>16.505.  This is a competitive solicitation that uses the tradeoff methodology which allows the 
Government to award to other than the lowest priced offeror or other than the highest technically 
r...</t>
        </is>
      </c>
      <c r="C600" t="inlineStr">
        <is>
          <t>No</t>
        </is>
      </c>
      <c r="D600" t="inlineStr">
        <is>
          <t>Medium</t>
        </is>
      </c>
      <c r="E600" t="inlineStr">
        <is>
          <t>Not Started</t>
        </is>
      </c>
    </row>
    <row r="601">
      <c r="A601" t="inlineStr">
        <is>
          <t>REQ-00056</t>
        </is>
      </c>
      <c r="B601" t="inlineStr">
        <is>
          <t>Proposal Submittal 
Submission of a proposal constitutes acknowledgement and agreement to the terms and 
conditions of this solicitation, to include instructions in the attachments.  Late proposals...</t>
        </is>
      </c>
      <c r="C601" t="inlineStr">
        <is>
          <t>No</t>
        </is>
      </c>
      <c r="D601" t="inlineStr">
        <is>
          <t>Medium</t>
        </is>
      </c>
      <c r="E601" t="inlineStr">
        <is>
          <t>Not Started</t>
        </is>
      </c>
    </row>
    <row r="602">
      <c r="A602" t="inlineStr">
        <is>
          <t>REQ-00072</t>
        </is>
      </c>
      <c r="B602" t="inlineStr">
        <is>
          <t>The Technical volume should be specific and complete. Readability, clarity, and coherence are 
very important.  The offeror’s response will be evaluated against the Technical Capability 
subfactor ...</t>
        </is>
      </c>
      <c r="C602" t="inlineStr">
        <is>
          <t>No</t>
        </is>
      </c>
      <c r="D602" t="inlineStr">
        <is>
          <t>High</t>
        </is>
      </c>
      <c r="E602" t="inlineStr">
        <is>
          <t>Not Started</t>
        </is>
      </c>
    </row>
    <row r="603">
      <c r="A603" t="inlineStr">
        <is>
          <t>REQ-00074</t>
        </is>
      </c>
      <c r="B603" t="inlineStr">
        <is>
          <t>Technical Factor 
Sub Factor 1 Management Approach 
Exceptional/Very 
Good/Good/Unacceptable; 
Strength; Risk 
Sub Factor 2 Infrastructure Approach 
Exceptional/Very 
Good/Good/Unacceptable; 
Stren...</t>
        </is>
      </c>
      <c r="C603" t="inlineStr">
        <is>
          <t>No</t>
        </is>
      </c>
      <c r="D603" t="inlineStr">
        <is>
          <t>Medium</t>
        </is>
      </c>
      <c r="E603" t="inlineStr">
        <is>
          <t>Not Started</t>
        </is>
      </c>
    </row>
    <row r="604">
      <c r="A604" t="inlineStr">
        <is>
          <t>REQ-00077</t>
        </is>
      </c>
      <c r="B604" t="inlineStr">
        <is>
          <t>Very Good – Proposal clearly exceeds minimum requirements, contains at least one strength and raises 
government confidence that the Offeror is capable of exceeding expectations.</t>
        </is>
      </c>
      <c r="C604" t="inlineStr">
        <is>
          <t>No</t>
        </is>
      </c>
      <c r="D604" t="inlineStr">
        <is>
          <t>Medium</t>
        </is>
      </c>
      <c r="E604" t="inlineStr">
        <is>
          <t>Not Started</t>
        </is>
      </c>
    </row>
    <row r="605">
      <c r="A605" t="inlineStr">
        <is>
          <t>REQ-00078</t>
        </is>
      </c>
      <c r="B605" t="inlineStr">
        <is>
          <t>Good – Proposal clearly meets the minimum requirements of the solicitation and/or raises government 
confidence that the Offeror is capable of meeting expectations.</t>
        </is>
      </c>
      <c r="C605" t="inlineStr">
        <is>
          <t>No</t>
        </is>
      </c>
      <c r="D605" t="inlineStr">
        <is>
          <t>Medium</t>
        </is>
      </c>
      <c r="E605" t="inlineStr">
        <is>
          <t>Not Started</t>
        </is>
      </c>
    </row>
    <row r="606">
      <c r="A606" t="inlineStr">
        <is>
          <t>REQ-00079</t>
        </is>
      </c>
      <c r="B606" t="inlineStr">
        <is>
          <t>Unacceptable – Proposal does not clearly meet the minimum requirements of the solicitation and/or 
lowers government confidence that the Offeror is capable of meeting expectations.</t>
        </is>
      </c>
      <c r="C606" t="inlineStr">
        <is>
          <t>No</t>
        </is>
      </c>
      <c r="D606" t="inlineStr">
        <is>
          <t>Medium</t>
        </is>
      </c>
      <c r="E606" t="inlineStr">
        <is>
          <t>Not Started</t>
        </is>
      </c>
    </row>
    <row r="607">
      <c r="A607" t="inlineStr">
        <is>
          <t>REQ-00085</t>
        </is>
      </c>
      <c r="B607" t="inlineStr">
        <is>
          <t>Evaluation: The proposed technical solution and all documentation will be evaluated for meeting 
the Government’s requirement (subjective).  The Offeror’s proposed organization structure and 
staff...</t>
        </is>
      </c>
      <c r="C607" t="inlineStr">
        <is>
          <t>No</t>
        </is>
      </c>
      <c r="D607" t="inlineStr">
        <is>
          <t>Low</t>
        </is>
      </c>
      <c r="E607" t="inlineStr">
        <is>
          <t>Not Started</t>
        </is>
      </c>
    </row>
    <row r="608">
      <c r="A608" t="inlineStr">
        <is>
          <t>REQ-00088</t>
        </is>
      </c>
      <c r="B608" t="inlineStr">
        <is>
          <t>Evaluation: The proposed approach will be evaluated for the degree of confidence the 
Government has in an offeror’s ability to meet the requirements outlined in the PWS, as well as 
the ability to...</t>
        </is>
      </c>
      <c r="C608" t="inlineStr">
        <is>
          <t>No</t>
        </is>
      </c>
      <c r="D608" t="inlineStr">
        <is>
          <t>Medium</t>
        </is>
      </c>
      <c r="E608" t="inlineStr">
        <is>
          <t>Not Started</t>
        </is>
      </c>
    </row>
    <row r="609">
      <c r="A609" t="inlineStr">
        <is>
          <t>REQ-00089</t>
        </is>
      </c>
      <c r="B609" t="inlineStr">
        <is>
          <t>2. Cost &amp; Price Volume 
The Cost/Price volume should be specific and complete. Readability, clarity, and coherence are 
very important.  The offeror’s Cost/Price proposal will be evaluated via a co...</t>
        </is>
      </c>
      <c r="C609" t="inlineStr">
        <is>
          <t>No</t>
        </is>
      </c>
      <c r="D609" t="inlineStr">
        <is>
          <t>High</t>
        </is>
      </c>
      <c r="E609" t="inlineStr">
        <is>
          <t>Not Started</t>
        </is>
      </c>
    </row>
    <row r="610">
      <c r="A610" t="inlineStr">
        <is>
          <t>REQ-00376</t>
        </is>
      </c>
      <c r="B610" t="inlineStr">
        <is>
          <t>15.408, Table 15-2, Note 2. The Contracting Officer shall insert the description at the time of issuing the 
solicitation or specify that the format regularly maintained by the offeror or prospecti...</t>
        </is>
      </c>
      <c r="C610" t="inlineStr">
        <is>
          <t>Yes</t>
        </is>
      </c>
      <c r="D610" t="inlineStr">
        <is>
          <t>High</t>
        </is>
      </c>
      <c r="E610" t="inlineStr">
        <is>
          <t>Not Started</t>
        </is>
      </c>
    </row>
    <row r="611">
      <c r="A611" t="inlineStr">
        <is>
          <t>REQ-00444</t>
        </is>
      </c>
      <c r="B611" t="inlineStr">
        <is>
          <t>(3)  Consist of providing goods or services to marginalized populations of Sudan;</t>
        </is>
      </c>
      <c r="C611" t="inlineStr">
        <is>
          <t>No</t>
        </is>
      </c>
      <c r="D611" t="inlineStr">
        <is>
          <t>Medium</t>
        </is>
      </c>
      <c r="E611" t="inlineStr">
        <is>
          <t>Not Started</t>
        </is>
      </c>
    </row>
    <row r="612">
      <c r="A612" t="inlineStr">
        <is>
          <t>REQ-00445</t>
        </is>
      </c>
      <c r="B612" t="inlineStr">
        <is>
          <t>(4)  Consist of providing goods or services to an internationally recognized peacekeeping force or 
humanitarian organization;</t>
        </is>
      </c>
      <c r="C612" t="inlineStr">
        <is>
          <t>No</t>
        </is>
      </c>
      <c r="D612" t="inlineStr">
        <is>
          <t>Medium</t>
        </is>
      </c>
      <c r="E612" t="inlineStr">
        <is>
          <t>Not Started</t>
        </is>
      </c>
    </row>
    <row r="613">
      <c r="A613" t="inlineStr">
        <is>
          <t>REQ-00446</t>
        </is>
      </c>
      <c r="B613" t="inlineStr">
        <is>
          <t>(5)  Consist of providing goods or services that are used only to promote health or education; or</t>
        </is>
      </c>
      <c r="C613" t="inlineStr">
        <is>
          <t>No</t>
        </is>
      </c>
      <c r="D613" t="inlineStr">
        <is>
          <t>Medium</t>
        </is>
      </c>
      <c r="E613" t="inlineStr">
        <is>
          <t>Not Started</t>
        </is>
      </c>
    </row>
    <row r="614">
      <c r="A614" t="inlineStr">
        <is>
          <t>REQ-00539</t>
        </is>
      </c>
      <c r="B614" t="inlineStr">
        <is>
          <t>(m)  . By submission of its offer, the offeror certifies that the Restricted business operations in Sudan
offeror does not conduct any restricted business operations in Sudan.
 Prohibition on Contr...</t>
        </is>
      </c>
      <c r="C614" t="inlineStr">
        <is>
          <t>No</t>
        </is>
      </c>
      <c r="D614" t="inlineStr">
        <is>
          <t>Medium</t>
        </is>
      </c>
      <c r="E614" t="inlineStr">
        <is>
          <t>Not Started</t>
        </is>
      </c>
    </row>
    <row r="615">
      <c r="A615" t="inlineStr">
        <is>
          <t>REQ-00608</t>
        </is>
      </c>
      <c r="B615" t="inlineStr">
        <is>
          <t>(v) Amounts shall be due at the earliest of the following dates:
(A) The date fixed under this contract.
(B) The date of the first written demand for payment, including any demand for payment 
resu...</t>
        </is>
      </c>
      <c r="C615" t="inlineStr">
        <is>
          <t>Yes</t>
        </is>
      </c>
      <c r="D615" t="inlineStr">
        <is>
          <t>High</t>
        </is>
      </c>
      <c r="E615" t="inlineStr">
        <is>
          <t>Not Started</t>
        </is>
      </c>
    </row>
    <row r="616">
      <c r="A616" t="inlineStr">
        <is>
          <t>REQ-00615</t>
        </is>
      </c>
      <c r="B616" t="inlineStr">
        <is>
          <t>(m) Termination for cause. The Government may terminate this contract, or any part hereof, for 
cause in the event of any default by the Contractor, or if the Contractor fails to comply with any co...</t>
        </is>
      </c>
      <c r="C616" t="inlineStr">
        <is>
          <t>No</t>
        </is>
      </c>
      <c r="D616" t="inlineStr">
        <is>
          <t>High</t>
        </is>
      </c>
      <c r="E616" t="inlineStr">
        <is>
          <t>Not Started</t>
        </is>
      </c>
    </row>
    <row r="618">
      <c r="A618" s="3" t="inlineStr">
        <is>
          <t>Section U (334 requirements)</t>
        </is>
      </c>
    </row>
    <row r="619">
      <c r="A619" s="4" t="inlineStr">
        <is>
          <t>ID</t>
        </is>
      </c>
      <c r="B619" s="4" t="inlineStr">
        <is>
          <t>Requirement</t>
        </is>
      </c>
      <c r="C619" s="4" t="inlineStr">
        <is>
          <t>Mandatory?</t>
        </is>
      </c>
      <c r="D619" s="4" t="inlineStr">
        <is>
          <t>Priority</t>
        </is>
      </c>
      <c r="E619" s="4" t="inlineStr">
        <is>
          <t>Status</t>
        </is>
      </c>
    </row>
    <row r="620">
      <c r="A620" t="inlineStr">
        <is>
          <t>REQ-00001</t>
        </is>
      </c>
      <c r="B620" t="inlineStr">
        <is>
          <t>1 
SPACE SYSTEMS COMMAND 
ORGANIZATIONAL CONFLICTS OF INTEREST (OCI)  
MITIGATION PLAN CHECKLIST 
09 October 2024</t>
        </is>
      </c>
      <c r="C620" t="inlineStr">
        <is>
          <t>No</t>
        </is>
      </c>
      <c r="D620" t="inlineStr">
        <is>
          <t>Medium</t>
        </is>
      </c>
      <c r="E620" t="inlineStr">
        <is>
          <t>Not Started</t>
        </is>
      </c>
    </row>
    <row r="621">
      <c r="A621" t="inlineStr">
        <is>
          <t>REQ-00002</t>
        </is>
      </c>
      <c r="B621" t="inlineStr">
        <is>
          <t>1.1 A clear statement of corporate commitment to continuously identify and avoid or 
mitigate OCI situations for this acquisition signed by senior corporate official 
(Vice President or above).</t>
        </is>
      </c>
      <c r="C621" t="inlineStr">
        <is>
          <t>No</t>
        </is>
      </c>
      <c r="D621" t="inlineStr">
        <is>
          <t>Medium</t>
        </is>
      </c>
      <c r="E621" t="inlineStr">
        <is>
          <t>Not Started</t>
        </is>
      </c>
    </row>
    <row r="622">
      <c r="A622" t="inlineStr">
        <is>
          <t>REQ-00003</t>
        </is>
      </c>
      <c r="B622" t="inlineStr">
        <is>
          <t>1.2 Description of the position of the business unit performing this contract effort 
within the overall corporate structure.</t>
        </is>
      </c>
      <c r="C622" t="inlineStr">
        <is>
          <t>No</t>
        </is>
      </c>
      <c r="D622" t="inlineStr">
        <is>
          <t>Medium</t>
        </is>
      </c>
      <c r="E622" t="inlineStr">
        <is>
          <t>Not Started</t>
        </is>
      </c>
    </row>
    <row r="623">
      <c r="A623" t="inlineStr">
        <is>
          <t>REQ-00004</t>
        </is>
      </c>
      <c r="B623" t="inlineStr">
        <is>
          <t>1.3 Organizational charts for the parent organization and the performing business 
unit (e.g., division, sector, subsidiary, affiliate).</t>
        </is>
      </c>
      <c r="C623" t="inlineStr">
        <is>
          <t>No</t>
        </is>
      </c>
      <c r="D623" t="inlineStr">
        <is>
          <t>Medium</t>
        </is>
      </c>
      <c r="E623" t="inlineStr">
        <is>
          <t>Not Started</t>
        </is>
      </c>
    </row>
    <row r="624">
      <c r="A624" t="inlineStr">
        <is>
          <t>REQ-00005</t>
        </is>
      </c>
      <c r="B624" t="inlineStr">
        <is>
          <t>1.4 Letters of commitment to the prime contractor’s OCI Plan from all teammates 
and subcontractors or individual OCI Plans from all teammates and 
subcontractors attached to prime contractor’s OCI...</t>
        </is>
      </c>
      <c r="C624" t="inlineStr">
        <is>
          <t>No</t>
        </is>
      </c>
      <c r="D624" t="inlineStr">
        <is>
          <t>Medium</t>
        </is>
      </c>
      <c r="E624" t="inlineStr">
        <is>
          <t>Not Started</t>
        </is>
      </c>
    </row>
    <row r="625">
      <c r="A625" t="inlineStr">
        <is>
          <t>REQ-00006</t>
        </is>
      </c>
      <c r="B625" t="inlineStr">
        <is>
          <t>2.1 Definition of terms used in the OCI Plan.</t>
        </is>
      </c>
      <c r="C625" t="inlineStr">
        <is>
          <t>No</t>
        </is>
      </c>
      <c r="D625" t="inlineStr">
        <is>
          <t>Medium</t>
        </is>
      </c>
      <c r="E625" t="inlineStr">
        <is>
          <t>Not Started</t>
        </is>
      </c>
    </row>
    <row r="626">
      <c r="A626" t="inlineStr">
        <is>
          <t>REQ-00007</t>
        </is>
      </c>
      <c r="B626" t="inlineStr">
        <is>
          <t>2.2 Definitions of acronyms used in the OCI Plan.  
3 Management of OCI Plan</t>
        </is>
      </c>
      <c r="C626" t="inlineStr">
        <is>
          <t>No</t>
        </is>
      </c>
      <c r="D626" t="inlineStr">
        <is>
          <t>Medium</t>
        </is>
      </c>
      <c r="E626" t="inlineStr">
        <is>
          <t>Not Started</t>
        </is>
      </c>
    </row>
    <row r="627">
      <c r="A627" t="inlineStr">
        <is>
          <t>REQ-00008</t>
        </is>
      </c>
      <c r="B627" t="inlineStr">
        <is>
          <t>3.1 Identification of individual responsible for oversight and administration of the 
OCI Plan by position and place in company/business unit organizational 
structure.</t>
        </is>
      </c>
      <c r="C627" t="inlineStr">
        <is>
          <t>No</t>
        </is>
      </c>
      <c r="D627" t="inlineStr">
        <is>
          <t>Medium</t>
        </is>
      </c>
      <c r="E627" t="inlineStr">
        <is>
          <t>Not Started</t>
        </is>
      </c>
    </row>
    <row r="628">
      <c r="A628" t="inlineStr">
        <is>
          <t>REQ-00009</t>
        </is>
      </c>
      <c r="B628" t="inlineStr">
        <is>
          <t>3.2 Identification of individual responsible for maintaining documentation related to 
OCI Plan by position and place in company/business unit organizational 
structure.</t>
        </is>
      </c>
      <c r="C628" t="inlineStr">
        <is>
          <t>No</t>
        </is>
      </c>
      <c r="D628" t="inlineStr">
        <is>
          <t>Medium</t>
        </is>
      </c>
      <c r="E628" t="inlineStr">
        <is>
          <t>Not Started</t>
        </is>
      </c>
    </row>
    <row r="629">
      <c r="A629" t="inlineStr">
        <is>
          <t>REQ-00010</t>
        </is>
      </c>
      <c r="B629" t="inlineStr">
        <is>
          <t>3.3 Location where OCI Plan documentation will be maintained and commitment 
that the location will be easily accessible by Contracting Officer or Government 
auditor.</t>
        </is>
      </c>
      <c r="C629" t="inlineStr">
        <is>
          <t>No</t>
        </is>
      </c>
      <c r="D629" t="inlineStr">
        <is>
          <t>Medium</t>
        </is>
      </c>
      <c r="E629" t="inlineStr">
        <is>
          <t>Not Started</t>
        </is>
      </c>
    </row>
    <row r="630">
      <c r="A630" t="inlineStr">
        <is>
          <t>REQ-00012</t>
        </is>
      </c>
      <c r="B630" t="inlineStr">
        <is>
          <t>3.5 Description of processes and procedures implemented to execute the OCI Plan.</t>
        </is>
      </c>
      <c r="C630" t="inlineStr">
        <is>
          <t>No</t>
        </is>
      </c>
      <c r="D630" t="inlineStr">
        <is>
          <t>Medium</t>
        </is>
      </c>
      <c r="E630" t="inlineStr">
        <is>
          <t>Not Started</t>
        </is>
      </c>
    </row>
    <row r="631">
      <c r="A631" t="inlineStr">
        <is>
          <t>REQ-00017</t>
        </is>
      </c>
      <c r="B631" t="inlineStr">
        <is>
          <t>4.1 Plan for OCI training of all personnel working on the program.</t>
        </is>
      </c>
      <c r="C631" t="inlineStr">
        <is>
          <t>No</t>
        </is>
      </c>
      <c r="D631" t="inlineStr">
        <is>
          <t>Medium</t>
        </is>
      </c>
      <c r="E631" t="inlineStr">
        <is>
          <t>Not Started</t>
        </is>
      </c>
    </row>
    <row r="632">
      <c r="A632" t="inlineStr">
        <is>
          <t>REQ-00018</t>
        </is>
      </c>
      <c r="B632" t="inlineStr">
        <is>
          <t>4.2 Identification of persons or classes of persons working on the program not subject 
to OCI training, including rationale and description of alternate OCI mitigation 
techniques.</t>
        </is>
      </c>
      <c r="C632" t="inlineStr">
        <is>
          <t>No</t>
        </is>
      </c>
      <c r="D632" t="inlineStr">
        <is>
          <t>Medium</t>
        </is>
      </c>
      <c r="E632" t="inlineStr">
        <is>
          <t>Not Started</t>
        </is>
      </c>
    </row>
    <row r="633">
      <c r="A633" t="inlineStr">
        <is>
          <t>REQ-00019</t>
        </is>
      </c>
      <c r="B633" t="inlineStr">
        <is>
          <t>4.3 Statement of frequency of training (not less than annually).</t>
        </is>
      </c>
      <c r="C633" t="inlineStr">
        <is>
          <t>No</t>
        </is>
      </c>
      <c r="D633" t="inlineStr">
        <is>
          <t>Medium</t>
        </is>
      </c>
      <c r="E633" t="inlineStr">
        <is>
          <t>Not Started</t>
        </is>
      </c>
    </row>
    <row r="634">
      <c r="A634" t="inlineStr">
        <is>
          <t>REQ-00020</t>
        </is>
      </c>
      <c r="B634" t="inlineStr">
        <is>
          <t>4.4 Description of how training completion is documented and where training 
documentation is maintained.</t>
        </is>
      </c>
      <c r="C634" t="inlineStr">
        <is>
          <t>No</t>
        </is>
      </c>
      <c r="D634" t="inlineStr">
        <is>
          <t>Medium</t>
        </is>
      </c>
      <c r="E634" t="inlineStr">
        <is>
          <t>Not Started</t>
        </is>
      </c>
    </row>
    <row r="635">
      <c r="A635" t="inlineStr">
        <is>
          <t>REQ-00021</t>
        </is>
      </c>
      <c r="B635" t="inlineStr">
        <is>
          <t>4.5 Description of process for determining personal (individual) conflicts of interest.</t>
        </is>
      </c>
      <c r="C635" t="inlineStr">
        <is>
          <t>No</t>
        </is>
      </c>
      <c r="D635" t="inlineStr">
        <is>
          <t>Medium</t>
        </is>
      </c>
      <c r="E635" t="inlineStr">
        <is>
          <t>Not Started</t>
        </is>
      </c>
    </row>
    <row r="636">
      <c r="A636" t="inlineStr">
        <is>
          <t>REQ-00022</t>
        </is>
      </c>
      <c r="B636" t="inlineStr">
        <is>
          <t>4.6 Description of personnel policies to limit employee transfers that might result in 
the inadvertent flow of sensitive information to other parts of the company where 
information could be used ...</t>
        </is>
      </c>
      <c r="C636" t="inlineStr">
        <is>
          <t>No</t>
        </is>
      </c>
      <c r="D636" t="inlineStr">
        <is>
          <t>Medium</t>
        </is>
      </c>
      <c r="E636" t="inlineStr">
        <is>
          <t>Not Started</t>
        </is>
      </c>
    </row>
    <row r="637">
      <c r="A637" t="inlineStr">
        <is>
          <t>REQ-00023</t>
        </is>
      </c>
      <c r="B637" t="inlineStr">
        <is>
          <t>4.7 Statement that requirement is in place for program personnel to execute non-
disclosure agreements (NDA) to protect proprietary and other sensitive 
information.</t>
        </is>
      </c>
      <c r="C637" t="inlineStr">
        <is>
          <t>No</t>
        </is>
      </c>
      <c r="D637" t="inlineStr">
        <is>
          <t>Medium</t>
        </is>
      </c>
      <c r="E637" t="inlineStr">
        <is>
          <t>Not Started</t>
        </is>
      </c>
    </row>
    <row r="638">
      <c r="A638" t="inlineStr">
        <is>
          <t>REQ-00024</t>
        </is>
      </c>
      <c r="B638" t="inlineStr">
        <is>
          <t>4.8 Statement that requirement is in place for debriefing personnel who executed 
NDAs upon their transfer, reassignment, resignation, or retirement.</t>
        </is>
      </c>
      <c r="C638" t="inlineStr">
        <is>
          <t>No</t>
        </is>
      </c>
      <c r="D638" t="inlineStr">
        <is>
          <t>Medium</t>
        </is>
      </c>
      <c r="E638" t="inlineStr">
        <is>
          <t>Not Started</t>
        </is>
      </c>
    </row>
    <row r="639">
      <c r="A639" t="inlineStr">
        <is>
          <t>REQ-00025</t>
        </is>
      </c>
      <c r="B639" t="inlineStr">
        <is>
          <t>4.9 Statement of the length of time that NDAs require protection of information.</t>
        </is>
      </c>
      <c r="C639" t="inlineStr">
        <is>
          <t>No</t>
        </is>
      </c>
      <c r="D639" t="inlineStr">
        <is>
          <t>Medium</t>
        </is>
      </c>
      <c r="E639" t="inlineStr">
        <is>
          <t>Not Started</t>
        </is>
      </c>
    </row>
    <row r="640">
      <c r="A640" t="inlineStr">
        <is>
          <t>REQ-00026</t>
        </is>
      </c>
      <c r="B640" t="inlineStr">
        <is>
          <t>4.10 Description disciplinary actions for non-compliance with the OCI Plan.</t>
        </is>
      </c>
      <c r="C640" t="inlineStr">
        <is>
          <t>No</t>
        </is>
      </c>
      <c r="D640" t="inlineStr">
        <is>
          <t>Medium</t>
        </is>
      </c>
      <c r="E640" t="inlineStr">
        <is>
          <t>Not Started</t>
        </is>
      </c>
    </row>
    <row r="641">
      <c r="A641" t="inlineStr">
        <is>
          <t>REQ-00027</t>
        </is>
      </c>
      <c r="B641" t="inlineStr">
        <is>
          <t>4.11 Description of how and where disciplinary actions are documented.  
5 OCI Plan Reviews</t>
        </is>
      </c>
      <c r="C641" t="inlineStr">
        <is>
          <t>No</t>
        </is>
      </c>
      <c r="D641" t="inlineStr">
        <is>
          <t>Medium</t>
        </is>
      </c>
      <c r="E641" t="inlineStr">
        <is>
          <t>Not Started</t>
        </is>
      </c>
    </row>
    <row r="642">
      <c r="A642" t="inlineStr">
        <is>
          <t>REQ-00028</t>
        </is>
      </c>
      <c r="B642" t="inlineStr">
        <is>
          <t>5.1 Description of how OCI processes and procedures are overseen and audited by 
the corporate organization.</t>
        </is>
      </c>
      <c r="C642" t="inlineStr">
        <is>
          <t>No</t>
        </is>
      </c>
      <c r="D642" t="inlineStr">
        <is>
          <t>Medium</t>
        </is>
      </c>
      <c r="E642" t="inlineStr">
        <is>
          <t>Not Started</t>
        </is>
      </c>
    </row>
    <row r="643">
      <c r="A643" t="inlineStr">
        <is>
          <t>REQ-00029</t>
        </is>
      </c>
      <c r="B643" t="inlineStr">
        <is>
          <t>5.2 Statement of the frequency of corporate audits.  
6 Description of OCI Situation</t>
        </is>
      </c>
      <c r="C643" t="inlineStr">
        <is>
          <t>No</t>
        </is>
      </c>
      <c r="D643" t="inlineStr">
        <is>
          <t>Medium</t>
        </is>
      </c>
      <c r="E643" t="inlineStr">
        <is>
          <t>Not Started</t>
        </is>
      </c>
    </row>
    <row r="644">
      <c r="A644" t="inlineStr">
        <is>
          <t>REQ-00030</t>
        </is>
      </c>
      <c r="B644" t="inlineStr">
        <is>
          <t>6.1 Description of actual and potential OCI situations for prime contractor, 
subcontractors, or teammates, including classification of OCI situations as biased 
ground rules, impaired objectivity ...</t>
        </is>
      </c>
      <c r="C644" t="inlineStr">
        <is>
          <t>No</t>
        </is>
      </c>
      <c r="D644" t="inlineStr">
        <is>
          <t>Medium</t>
        </is>
      </c>
      <c r="E644" t="inlineStr">
        <is>
          <t>Not Started</t>
        </is>
      </c>
    </row>
    <row r="645">
      <c r="A645" t="inlineStr">
        <is>
          <t>REQ-00031</t>
        </is>
      </c>
      <c r="B645" t="inlineStr">
        <is>
          <t>6.2 Explanation of factors that place the prime contractor, subcontractors, or 
teammates in an OCI situation.</t>
        </is>
      </c>
      <c r="C645" t="inlineStr">
        <is>
          <t>No</t>
        </is>
      </c>
      <c r="D645" t="inlineStr">
        <is>
          <t>Medium</t>
        </is>
      </c>
      <c r="E645" t="inlineStr">
        <is>
          <t>Not Started</t>
        </is>
      </c>
    </row>
    <row r="646">
      <c r="A646" t="inlineStr">
        <is>
          <t>REQ-00032</t>
        </is>
      </c>
      <c r="B646" t="inlineStr">
        <is>
          <t>7.1 Description of avoidance or mitigation technique(s) proposed for each identified 
OCI situation in sufficient detail to evaluate efficacy of proposed technique.</t>
        </is>
      </c>
      <c r="C646" t="inlineStr">
        <is>
          <t>No</t>
        </is>
      </c>
      <c r="D646" t="inlineStr">
        <is>
          <t>Medium</t>
        </is>
      </c>
      <c r="E646" t="inlineStr">
        <is>
          <t>Not Started</t>
        </is>
      </c>
    </row>
    <row r="647">
      <c r="A647" t="inlineStr">
        <is>
          <t>REQ-00033</t>
        </is>
      </c>
      <c r="B647" t="inlineStr">
        <is>
          <t>7.2 Identification of individuals (by position and place in company/business unit 
organizational structure) responsible for executing proposed technique(s).</t>
        </is>
      </c>
      <c r="C647" t="inlineStr">
        <is>
          <t>No</t>
        </is>
      </c>
      <c r="D647" t="inlineStr">
        <is>
          <t>Medium</t>
        </is>
      </c>
      <c r="E647" t="inlineStr">
        <is>
          <t>Not Started</t>
        </is>
      </c>
    </row>
    <row r="648">
      <c r="A648" t="inlineStr">
        <is>
          <t>REQ-00035</t>
        </is>
      </c>
      <c r="B648" t="inlineStr">
        <is>
          <t>DRAFT
Fair Opportunity Proposal Request Procedures 
24x7 Network Operations Center (NOC)  
Page 1 of 12</t>
        </is>
      </c>
      <c r="C648" t="inlineStr">
        <is>
          <t>No</t>
        </is>
      </c>
      <c r="D648" t="inlineStr">
        <is>
          <t>Medium</t>
        </is>
      </c>
      <c r="E648" t="inlineStr">
        <is>
          <t>Not Started</t>
        </is>
      </c>
    </row>
    <row r="649">
      <c r="A649" t="inlineStr">
        <is>
          <t>REQ-00037</t>
        </is>
      </c>
      <c r="B649" t="inlineStr">
        <is>
          <t>Issued Under the Multiple Award Indefinite Delivery Indefinite Quantity Contract: 
24x7 Network Operations Center (NOC)</t>
        </is>
      </c>
      <c r="C649" t="inlineStr">
        <is>
          <t>No</t>
        </is>
      </c>
      <c r="D649" t="inlineStr">
        <is>
          <t>Medium</t>
        </is>
      </c>
      <c r="E649" t="inlineStr">
        <is>
          <t>Not Started</t>
        </is>
      </c>
    </row>
    <row r="650">
      <c r="A650" t="inlineStr">
        <is>
          <t>REQ-00038</t>
        </is>
      </c>
      <c r="B650" t="inlineStr">
        <is>
          <t>SSC/BCC Operational Space C2 
Acquisition Delta</t>
        </is>
      </c>
      <c r="C650" t="inlineStr">
        <is>
          <t>No</t>
        </is>
      </c>
      <c r="D650" t="inlineStr">
        <is>
          <t>Medium</t>
        </is>
      </c>
      <c r="E650" t="inlineStr">
        <is>
          <t>Not Started</t>
        </is>
      </c>
    </row>
    <row r="651">
      <c r="A651" t="inlineStr">
        <is>
          <t>REQ-00039</t>
        </is>
      </c>
      <c r="B651" t="inlineStr">
        <is>
          <t>DRAFT
Fair Opportunity Proposal Request Procedures 
24x7 Network Operations Center (NOC)  
Page 2 of 12</t>
        </is>
      </c>
      <c r="C651" t="inlineStr">
        <is>
          <t>No</t>
        </is>
      </c>
      <c r="D651" t="inlineStr">
        <is>
          <t>Medium</t>
        </is>
      </c>
      <c r="E651" t="inlineStr">
        <is>
          <t>Not Started</t>
        </is>
      </c>
    </row>
    <row r="652">
      <c r="A652" t="inlineStr">
        <is>
          <t>REQ-00040</t>
        </is>
      </c>
      <c r="B652" t="inlineStr">
        <is>
          <t>DRAFT
Fair Opportunity Proposal Request Procedures 
24x7 Network Operations Center (NOC)  
Page 3 of 12</t>
        </is>
      </c>
      <c r="C652" t="inlineStr">
        <is>
          <t>No</t>
        </is>
      </c>
      <c r="D652" t="inlineStr">
        <is>
          <t>Medium</t>
        </is>
      </c>
      <c r="E652" t="inlineStr">
        <is>
          <t>Not Started</t>
        </is>
      </c>
    </row>
    <row r="653">
      <c r="A653" t="inlineStr">
        <is>
          <t>REQ-00043</t>
        </is>
      </c>
      <c r="B653" t="inlineStr">
        <is>
          <t>This supply delivery order solicitation complies with Federal Acquisition Regulation Part</t>
        </is>
      </c>
      <c r="C653" t="inlineStr">
        <is>
          <t>No</t>
        </is>
      </c>
      <c r="D653" t="inlineStr">
        <is>
          <t>Medium</t>
        </is>
      </c>
      <c r="E653" t="inlineStr">
        <is>
          <t>Not Started</t>
        </is>
      </c>
    </row>
    <row r="654">
      <c r="A654" t="inlineStr">
        <is>
          <t>REQ-00046</t>
        </is>
      </c>
      <c r="B654" t="inlineStr">
        <is>
          <t>While the Government evaluation team will strive for maximum objectivity during evaluations; 
the selection process, by its nature, is subjective and therefore, professional judgment is implicit 
t...</t>
        </is>
      </c>
      <c r="C654" t="inlineStr">
        <is>
          <t>No</t>
        </is>
      </c>
      <c r="D654" t="inlineStr">
        <is>
          <t>Medium</t>
        </is>
      </c>
      <c r="E654" t="inlineStr">
        <is>
          <t>Not Started</t>
        </is>
      </c>
    </row>
    <row r="655">
      <c r="A655" t="inlineStr">
        <is>
          <t>REQ-00048</t>
        </is>
      </c>
      <c r="B655" t="inlineStr">
        <is>
          <t>Technical           Cost/Price   
Evaluation weighting formula:          SF1 &gt; SF2      &gt;&gt;           (Criteria 1 = Criteria 2 = Criteria 3)</t>
        </is>
      </c>
      <c r="C655" t="inlineStr">
        <is>
          <t>No</t>
        </is>
      </c>
      <c r="D655" t="inlineStr">
        <is>
          <t>Medium</t>
        </is>
      </c>
      <c r="E655" t="inlineStr">
        <is>
          <t>Not Started</t>
        </is>
      </c>
    </row>
    <row r="656">
      <c r="A656" t="inlineStr">
        <is>
          <t>REQ-00049</t>
        </is>
      </c>
      <c r="B656" t="inlineStr">
        <is>
          <t>It is recognized that the Offeror may propose the use of other divisions, subcontractors, teaming 
partners, joint venture partners, or other business entities to perform part of the program effort...</t>
        </is>
      </c>
      <c r="C656" t="inlineStr">
        <is>
          <t>No</t>
        </is>
      </c>
      <c r="D656" t="inlineStr">
        <is>
          <t>Low</t>
        </is>
      </c>
      <c r="E656" t="inlineStr">
        <is>
          <t>Not Started</t>
        </is>
      </c>
    </row>
    <row r="657">
      <c r="A657" t="inlineStr">
        <is>
          <t>REQ-00051</t>
        </is>
      </c>
      <c r="B657" t="inlineStr">
        <is>
          <t>DRAFT
Fair Opportunity Proposal Request Procedures 
24x7 Network Operations Center (NOC)  
Page 4 of 12</t>
        </is>
      </c>
      <c r="C657" t="inlineStr">
        <is>
          <t>No</t>
        </is>
      </c>
      <c r="D657" t="inlineStr">
        <is>
          <t>Medium</t>
        </is>
      </c>
      <c r="E657" t="inlineStr">
        <is>
          <t>Not Started</t>
        </is>
      </c>
    </row>
    <row r="658">
      <c r="A658" t="inlineStr">
        <is>
          <t>REQ-00054</t>
        </is>
      </c>
      <c r="B658" t="inlineStr">
        <is>
          <t>mailto: rodrigo.laguna_lagos.3@spaceforce.mil and alfonso.tojino@spaceforce.mil</t>
        </is>
      </c>
      <c r="C658" t="inlineStr">
        <is>
          <t>No</t>
        </is>
      </c>
      <c r="D658" t="inlineStr">
        <is>
          <t>Medium</t>
        </is>
      </c>
      <c r="E658" t="inlineStr">
        <is>
          <t>Not Started</t>
        </is>
      </c>
    </row>
    <row r="659">
      <c r="A659" t="inlineStr">
        <is>
          <t>REQ-00061</t>
        </is>
      </c>
      <c r="B659" t="inlineStr">
        <is>
          <t>DRAFT
Fair Opportunity Proposal Request Procedures 
24x7 Network Operations Center (NOC)  
Page 5 of 12</t>
        </is>
      </c>
      <c r="C659" t="inlineStr">
        <is>
          <t>No</t>
        </is>
      </c>
      <c r="D659" t="inlineStr">
        <is>
          <t>Medium</t>
        </is>
      </c>
      <c r="E659" t="inlineStr">
        <is>
          <t>Not Started</t>
        </is>
      </c>
    </row>
    <row r="660">
      <c r="A660" t="inlineStr">
        <is>
          <t>REQ-00062</t>
        </is>
      </c>
      <c r="B660" t="inlineStr">
        <is>
          <t>1 Technical 8 Pages  
 Executive Summary 1 Y 
SF 1 Management Approach 10 Y 
SF 2 Infrastructure Approach 10 Y 
2 Cost &amp; Price None  
Criteria 1 Supply Pricing 24/7 NOC None 
NA 
Criteria 2 Labor R...</t>
        </is>
      </c>
      <c r="C660" t="inlineStr">
        <is>
          <t>No</t>
        </is>
      </c>
      <c r="D660" t="inlineStr">
        <is>
          <t>Medium</t>
        </is>
      </c>
      <c r="E660" t="inlineStr">
        <is>
          <t>Not Started</t>
        </is>
      </c>
    </row>
    <row r="661">
      <c r="A661" t="inlineStr">
        <is>
          <t>REQ-00068</t>
        </is>
      </c>
      <c r="B661" t="inlineStr">
        <is>
          <t>The Offeror is reminded that, in accordance with FAR 16.505, the Government intends to award 
a contract without interchanges with Offerors. However, the Government reserves the right to 
conduct i...</t>
        </is>
      </c>
      <c r="C661" t="inlineStr">
        <is>
          <t>No</t>
        </is>
      </c>
      <c r="D661" t="inlineStr">
        <is>
          <t>Medium</t>
        </is>
      </c>
      <c r="E661" t="inlineStr">
        <is>
          <t>Not Started</t>
        </is>
      </c>
    </row>
    <row r="662">
      <c r="A662" t="inlineStr">
        <is>
          <t>REQ-00069</t>
        </is>
      </c>
      <c r="B662" t="inlineStr">
        <is>
          <t>DRAFT
Fair Opportunity Proposal Request Procedures 
24x7 Network Operations Center (NOC)  
Page 6 of 12</t>
        </is>
      </c>
      <c r="C662" t="inlineStr">
        <is>
          <t>No</t>
        </is>
      </c>
      <c r="D662" t="inlineStr">
        <is>
          <t>Medium</t>
        </is>
      </c>
      <c r="E662" t="inlineStr">
        <is>
          <t>Not Started</t>
        </is>
      </c>
    </row>
    <row r="663">
      <c r="A663" t="inlineStr">
        <is>
          <t>REQ-00075</t>
        </is>
      </c>
      <c r="B663" t="inlineStr">
        <is>
          <t>DRAFT
Fair Opportunity Proposal Request Procedures 
24x7 Network Operations Center (NOC)  
Page 7 of 12</t>
        </is>
      </c>
      <c r="C663" t="inlineStr">
        <is>
          <t>No</t>
        </is>
      </c>
      <c r="D663" t="inlineStr">
        <is>
          <t>Medium</t>
        </is>
      </c>
      <c r="E663" t="inlineStr">
        <is>
          <t>Not Started</t>
        </is>
      </c>
    </row>
    <row r="664">
      <c r="A664" t="inlineStr">
        <is>
          <t>REQ-00076</t>
        </is>
      </c>
      <c r="B664" t="inlineStr">
        <is>
          <t>Technical Rating: 
Exceptional – Proposal clearly exceeds minimum requirements, contains multiple strengths and raises 
government confidence that the Offeror is capable of exceeding expectations.</t>
        </is>
      </c>
      <c r="C664" t="inlineStr">
        <is>
          <t>No</t>
        </is>
      </c>
      <c r="D664" t="inlineStr">
        <is>
          <t>Medium</t>
        </is>
      </c>
      <c r="E664" t="inlineStr">
        <is>
          <t>Not Started</t>
        </is>
      </c>
    </row>
    <row r="665">
      <c r="A665" t="inlineStr">
        <is>
          <t>REQ-00080</t>
        </is>
      </c>
      <c r="B665" t="inlineStr">
        <is>
          <t>Strength: 
An aspect of the Offeror’s proposal that has merit in a way that will be advantageous to the 
Government during contract performance.</t>
        </is>
      </c>
      <c r="C665" t="inlineStr">
        <is>
          <t>No</t>
        </is>
      </c>
      <c r="D665" t="inlineStr">
        <is>
          <t>Medium</t>
        </is>
      </c>
      <c r="E665" t="inlineStr">
        <is>
          <t>Not Started</t>
        </is>
      </c>
    </row>
    <row r="666">
      <c r="A666" t="inlineStr">
        <is>
          <t>REQ-00081</t>
        </is>
      </c>
      <c r="B666" t="inlineStr">
        <is>
          <t>Risk:  
An aspect of the Offeror’s proposal that has an identified risk which may affect contract performance.</t>
        </is>
      </c>
      <c r="C666" t="inlineStr">
        <is>
          <t>No</t>
        </is>
      </c>
      <c r="D666" t="inlineStr">
        <is>
          <t>Low</t>
        </is>
      </c>
      <c r="E666" t="inlineStr">
        <is>
          <t>Not Started</t>
        </is>
      </c>
    </row>
    <row r="667">
      <c r="A667" t="inlineStr">
        <is>
          <t>REQ-00086</t>
        </is>
      </c>
      <c r="B667" t="inlineStr">
        <is>
          <t>DRAFT
Fair Opportunity Proposal Request Procedures 
24x7 Network Operations Center (NOC)  
Page 8 of 12</t>
        </is>
      </c>
      <c r="C667" t="inlineStr">
        <is>
          <t>No</t>
        </is>
      </c>
      <c r="D667" t="inlineStr">
        <is>
          <t>Medium</t>
        </is>
      </c>
      <c r="E667" t="inlineStr">
        <is>
          <t>Not Started</t>
        </is>
      </c>
    </row>
    <row r="668">
      <c r="A668" t="inlineStr">
        <is>
          <t>REQ-00091</t>
        </is>
      </c>
      <c r="B668" t="inlineStr">
        <is>
          <t>DRAFT
Fair Opportunity Proposal Request Procedures 
24x7 Network Operations Center (NOC)  
Page 9 of 12</t>
        </is>
      </c>
      <c r="C668" t="inlineStr">
        <is>
          <t>No</t>
        </is>
      </c>
      <c r="D668" t="inlineStr">
        <is>
          <t>Medium</t>
        </is>
      </c>
      <c r="E668" t="inlineStr">
        <is>
          <t>Not Started</t>
        </is>
      </c>
    </row>
    <row r="669">
      <c r="A669" t="inlineStr">
        <is>
          <t>REQ-00092</t>
        </is>
      </c>
      <c r="B669" t="inlineStr">
        <is>
          <t>Compliant: 
Proposal clearly meets the minimum requirements of the solicitation.</t>
        </is>
      </c>
      <c r="C669" t="inlineStr">
        <is>
          <t>No</t>
        </is>
      </c>
      <c r="D669" t="inlineStr">
        <is>
          <t>Medium</t>
        </is>
      </c>
      <c r="E669" t="inlineStr">
        <is>
          <t>Not Started</t>
        </is>
      </c>
    </row>
    <row r="670">
      <c r="A670" t="inlineStr">
        <is>
          <t>REQ-00093</t>
        </is>
      </c>
      <c r="B670" t="inlineStr">
        <is>
          <t>Non-compliant: 
Proposal does not clearly meet the minimum requirements of the solicitation.</t>
        </is>
      </c>
      <c r="C670" t="inlineStr">
        <is>
          <t>No</t>
        </is>
      </c>
      <c r="D670" t="inlineStr">
        <is>
          <t>Medium</t>
        </is>
      </c>
      <c r="E670" t="inlineStr">
        <is>
          <t>Not Started</t>
        </is>
      </c>
    </row>
    <row r="671">
      <c r="A671" t="inlineStr">
        <is>
          <t>REQ-00094</t>
        </is>
      </c>
      <c r="B671" t="inlineStr">
        <is>
          <t>Risk:  
An aspect of the Offeror’s proposal that has an identified risk which may affect contract 
performance. 
Table 3</t>
        </is>
      </c>
      <c r="C671" t="inlineStr">
        <is>
          <t>No</t>
        </is>
      </c>
      <c r="D671" t="inlineStr">
        <is>
          <t>Low</t>
        </is>
      </c>
      <c r="E671" t="inlineStr">
        <is>
          <t>Not Started</t>
        </is>
      </c>
    </row>
    <row r="672">
      <c r="A672" t="inlineStr">
        <is>
          <t>REQ-00095</t>
        </is>
      </c>
      <c r="B672" t="inlineStr">
        <is>
          <t>2.1 Criteria 1: Supply Pricing for 24x7 Network Operations Center</t>
        </is>
      </c>
      <c r="C672" t="inlineStr">
        <is>
          <t>No</t>
        </is>
      </c>
      <c r="D672" t="inlineStr">
        <is>
          <t>Medium</t>
        </is>
      </c>
      <c r="E672" t="inlineStr">
        <is>
          <t>Not Started</t>
        </is>
      </c>
    </row>
    <row r="673">
      <c r="A673" t="inlineStr">
        <is>
          <t>REQ-00100</t>
        </is>
      </c>
      <c r="B673" t="inlineStr">
        <is>
          <t>DRAFT
Fair Opportunity Proposal Request Procedures 
24x7 Network Operations Center (NOC)  
Page 10 of 12</t>
        </is>
      </c>
      <c r="C673" t="inlineStr">
        <is>
          <t>No</t>
        </is>
      </c>
      <c r="D673" t="inlineStr">
        <is>
          <t>Medium</t>
        </is>
      </c>
      <c r="E673" t="inlineStr">
        <is>
          <t>Not Started</t>
        </is>
      </c>
    </row>
    <row r="674">
      <c r="A674" t="inlineStr">
        <is>
          <t>REQ-00101</t>
        </is>
      </c>
      <c r="B674" t="inlineStr">
        <is>
          <t>Evaluation: The proposed basis of cost/price provides adequate explanation for each proposed 
cost element (Compliant/Non-Compliant, Risk, Strength).</t>
        </is>
      </c>
      <c r="C674" t="inlineStr">
        <is>
          <t>No</t>
        </is>
      </c>
      <c r="D674" t="inlineStr">
        <is>
          <t>Medium</t>
        </is>
      </c>
      <c r="E674" t="inlineStr">
        <is>
          <t>Not Started</t>
        </is>
      </c>
    </row>
    <row r="675">
      <c r="A675" t="inlineStr">
        <is>
          <t>REQ-00105</t>
        </is>
      </c>
      <c r="B675" t="inlineStr">
        <is>
          <t>Composite Rates (if applicable): Provide the basis/rationale and breakout showing how the 
composite rates were developed (i.e., cost element summary showing the labor categories, rates, 
and other...</t>
        </is>
      </c>
      <c r="C675" t="inlineStr">
        <is>
          <t>No</t>
        </is>
      </c>
      <c r="D675" t="inlineStr">
        <is>
          <t>Medium</t>
        </is>
      </c>
      <c r="E675" t="inlineStr">
        <is>
          <t>Not Started</t>
        </is>
      </c>
    </row>
    <row r="676">
      <c r="A676" t="inlineStr">
        <is>
          <t>REQ-00107</t>
        </is>
      </c>
      <c r="B676" t="inlineStr">
        <is>
          <t>Evaluation:  The proposed labor categories and rates are compliant with to OASIS+ and provide 
an adequate basis for the rates.</t>
        </is>
      </c>
      <c r="C676" t="inlineStr">
        <is>
          <t>No</t>
        </is>
      </c>
      <c r="D676" t="inlineStr">
        <is>
          <t>Medium</t>
        </is>
      </c>
      <c r="E676" t="inlineStr">
        <is>
          <t>Not Started</t>
        </is>
      </c>
    </row>
    <row r="677">
      <c r="A677" t="inlineStr">
        <is>
          <t>REQ-00110</t>
        </is>
      </c>
      <c r="B677" t="inlineStr">
        <is>
          <t>DRAFT
Fair Opportunity Proposal Request Procedures 
24x7 Network Operations Center (NOC)  
Page 11 of 12</t>
        </is>
      </c>
      <c r="C677" t="inlineStr">
        <is>
          <t>No</t>
        </is>
      </c>
      <c r="D677" t="inlineStr">
        <is>
          <t>Medium</t>
        </is>
      </c>
      <c r="E677" t="inlineStr">
        <is>
          <t>Not Started</t>
        </is>
      </c>
    </row>
    <row r="678">
      <c r="A678" t="inlineStr">
        <is>
          <t>REQ-00111</t>
        </is>
      </c>
      <c r="B678" t="inlineStr">
        <is>
          <t>Solicitation Provisions in Full Text None NA 
Table 5</t>
        </is>
      </c>
      <c r="C678" t="inlineStr">
        <is>
          <t>No</t>
        </is>
      </c>
      <c r="D678" t="inlineStr">
        <is>
          <t>Medium</t>
        </is>
      </c>
      <c r="E678" t="inlineStr">
        <is>
          <t>Not Started</t>
        </is>
      </c>
    </row>
    <row r="679">
      <c r="A679" t="inlineStr">
        <is>
          <t>REQ-00115</t>
        </is>
      </c>
      <c r="B679" t="inlineStr">
        <is>
          <t>3.3 Draft DD Form 254 
Fill out attached DD254</t>
        </is>
      </c>
      <c r="C679" t="inlineStr">
        <is>
          <t>No</t>
        </is>
      </c>
      <c r="D679" t="inlineStr">
        <is>
          <t>Medium</t>
        </is>
      </c>
      <c r="E679" t="inlineStr">
        <is>
          <t>Not Started</t>
        </is>
      </c>
    </row>
    <row r="680">
      <c r="A680" t="inlineStr">
        <is>
          <t>REQ-00116</t>
        </is>
      </c>
      <c r="B680" t="inlineStr">
        <is>
          <t>3.4 Personnel Security Questionnaire 
N/A</t>
        </is>
      </c>
      <c r="C680" t="inlineStr">
        <is>
          <t>No</t>
        </is>
      </c>
      <c r="D680" t="inlineStr">
        <is>
          <t>Medium</t>
        </is>
      </c>
      <c r="E680" t="inlineStr">
        <is>
          <t>Not Started</t>
        </is>
      </c>
    </row>
    <row r="681">
      <c r="A681" t="inlineStr">
        <is>
          <t>REQ-00117</t>
        </is>
      </c>
      <c r="B681" t="inlineStr">
        <is>
          <t>3.5 OCI Mitigation Plan Checklist and Plan 
Fill out attached OCI Mitigation Plan Checklist and include OCI Plan</t>
        </is>
      </c>
      <c r="C681" t="inlineStr">
        <is>
          <t>No</t>
        </is>
      </c>
      <c r="D681" t="inlineStr">
        <is>
          <t>Medium</t>
        </is>
      </c>
      <c r="E681" t="inlineStr">
        <is>
          <t>Not Started</t>
        </is>
      </c>
    </row>
    <row r="682">
      <c r="A682" t="inlineStr">
        <is>
          <t>REQ-00119</t>
        </is>
      </c>
      <c r="B682" t="inlineStr">
        <is>
          <t>3.7  Solicitation Provisions in Full Text 
Fill out as applicable.</t>
        </is>
      </c>
      <c r="C682" t="inlineStr">
        <is>
          <t>No</t>
        </is>
      </c>
      <c r="D682" t="inlineStr">
        <is>
          <t>Medium</t>
        </is>
      </c>
      <c r="E682" t="inlineStr">
        <is>
          <t>Not Started</t>
        </is>
      </c>
    </row>
    <row r="683">
      <c r="A683" t="inlineStr">
        <is>
          <t>REQ-00120</t>
        </is>
      </c>
      <c r="B683" t="inlineStr">
        <is>
          <t>To be provided by the Government at a later date.</t>
        </is>
      </c>
      <c r="C683" t="inlineStr">
        <is>
          <t>No</t>
        </is>
      </c>
      <c r="D683" t="inlineStr">
        <is>
          <t>Medium</t>
        </is>
      </c>
      <c r="E683" t="inlineStr">
        <is>
          <t>Not Started</t>
        </is>
      </c>
    </row>
    <row r="684">
      <c r="A684" t="inlineStr">
        <is>
          <t>REQ-00208</t>
        </is>
      </c>
      <c r="B684" t="inlineStr">
        <is>
          <t>252.201-7000 Contracting Officer's Representative. 1991-12 SEC G</t>
        </is>
      </c>
      <c r="C684" t="inlineStr">
        <is>
          <t>No</t>
        </is>
      </c>
      <c r="D684" t="inlineStr">
        <is>
          <t>Medium</t>
        </is>
      </c>
      <c r="E684" t="inlineStr">
        <is>
          <t>Not Started</t>
        </is>
      </c>
    </row>
    <row r="685">
      <c r="A685" t="inlineStr">
        <is>
          <t>REQ-00209</t>
        </is>
      </c>
      <c r="B685" t="inlineStr">
        <is>
          <t>252.203-7000 Requirements Relating to Compensation of Former DoD 
Officials. 2011-09 SEC I</t>
        </is>
      </c>
      <c r="C685" t="inlineStr">
        <is>
          <t>No</t>
        </is>
      </c>
      <c r="D685" t="inlineStr">
        <is>
          <t>Medium</t>
        </is>
      </c>
      <c r="E685" t="inlineStr">
        <is>
          <t>Not Started</t>
        </is>
      </c>
    </row>
    <row r="686">
      <c r="A686" t="inlineStr">
        <is>
          <t>REQ-00210</t>
        </is>
      </c>
      <c r="B686" t="inlineStr">
        <is>
          <t>252.203-7002 Requirement to Inform Employees of Whistleblower Rights. 2022-12 SEC I</t>
        </is>
      </c>
      <c r="C686" t="inlineStr">
        <is>
          <t>No</t>
        </is>
      </c>
      <c r="D686" t="inlineStr">
        <is>
          <t>Medium</t>
        </is>
      </c>
      <c r="E686" t="inlineStr">
        <is>
          <t>Not Started</t>
        </is>
      </c>
    </row>
    <row r="687">
      <c r="A687" t="inlineStr">
        <is>
          <t>REQ-00212</t>
        </is>
      </c>
      <c r="B687" t="inlineStr">
        <is>
          <t>252.204-7004 Antiterrorism Awareness Training for Contractors. 2023-01 SEC I</t>
        </is>
      </c>
      <c r="C687" t="inlineStr">
        <is>
          <t>No</t>
        </is>
      </c>
      <c r="D687" t="inlineStr">
        <is>
          <t>Medium</t>
        </is>
      </c>
      <c r="E687" t="inlineStr">
        <is>
          <t>Not Started</t>
        </is>
      </c>
    </row>
    <row r="688">
      <c r="A688" t="inlineStr">
        <is>
          <t>REQ-00213</t>
        </is>
      </c>
      <c r="B688" t="inlineStr">
        <is>
          <t>252.204-7006 Billing Instructions-Cost Vouchers 2023-05 SEC G</t>
        </is>
      </c>
      <c r="C688" t="inlineStr">
        <is>
          <t>No</t>
        </is>
      </c>
      <c r="D688" t="inlineStr">
        <is>
          <t>Medium</t>
        </is>
      </c>
      <c r="E688" t="inlineStr">
        <is>
          <t>Not Started</t>
        </is>
      </c>
    </row>
    <row r="689">
      <c r="A689" t="inlineStr">
        <is>
          <t>REQ-00214</t>
        </is>
      </c>
      <c r="B689" t="inlineStr">
        <is>
          <t>252.204-7008 Compliance with Safeguarding Covered Defense Information 
Controls. 2016-10 SEC K</t>
        </is>
      </c>
      <c r="C689" t="inlineStr">
        <is>
          <t>No</t>
        </is>
      </c>
      <c r="D689" t="inlineStr">
        <is>
          <t>Medium</t>
        </is>
      </c>
      <c r="E689" t="inlineStr">
        <is>
          <t>Not Started</t>
        </is>
      </c>
    </row>
    <row r="690">
      <c r="A690" t="inlineStr">
        <is>
          <t>REQ-00215</t>
        </is>
      </c>
      <c r="B690" t="inlineStr">
        <is>
          <t>252.204-7012 Safeguarding Covered Defense Information and Cyber 
Incident Reporting. 2024-05 SEC I</t>
        </is>
      </c>
      <c r="C690" t="inlineStr">
        <is>
          <t>No</t>
        </is>
      </c>
      <c r="D690" t="inlineStr">
        <is>
          <t>Medium</t>
        </is>
      </c>
      <c r="E690" t="inlineStr">
        <is>
          <t>Not Started</t>
        </is>
      </c>
    </row>
    <row r="691">
      <c r="A691" t="inlineStr">
        <is>
          <t>REQ-00216</t>
        </is>
      </c>
      <c r="B691" t="inlineStr">
        <is>
          <t>252.204-7015 Notice of Authorized Disclosure of Information for Litigation 
Support. 2023-01 SEC I</t>
        </is>
      </c>
      <c r="C691" t="inlineStr">
        <is>
          <t>No</t>
        </is>
      </c>
      <c r="D691" t="inlineStr">
        <is>
          <t>Medium</t>
        </is>
      </c>
      <c r="E691" t="inlineStr">
        <is>
          <t>Not Started</t>
        </is>
      </c>
    </row>
    <row r="692">
      <c r="A692" t="inlineStr">
        <is>
          <t>REQ-00218</t>
        </is>
      </c>
      <c r="B692" t="inlineStr">
        <is>
          <t>252.204-7018 Prohibition on the Acquisition of Covered Defense 
Telecommunications Equipment or Services. 2023-01 SEC I</t>
        </is>
      </c>
      <c r="C692" t="inlineStr">
        <is>
          <t>No</t>
        </is>
      </c>
      <c r="D692" t="inlineStr">
        <is>
          <t>Medium</t>
        </is>
      </c>
      <c r="E692" t="inlineStr">
        <is>
          <t>Not Started</t>
        </is>
      </c>
    </row>
    <row r="693">
      <c r="A693" t="inlineStr">
        <is>
          <t>REQ-00219</t>
        </is>
      </c>
      <c r="B693" t="inlineStr">
        <is>
          <t>252.204-7019 Notice of NIST SP 800-171 DoD Assessment Requirements. 2023-11 SEC L</t>
        </is>
      </c>
      <c r="C693" t="inlineStr">
        <is>
          <t>No</t>
        </is>
      </c>
      <c r="D693" t="inlineStr">
        <is>
          <t>Medium</t>
        </is>
      </c>
      <c r="E693" t="inlineStr">
        <is>
          <t>Not Started</t>
        </is>
      </c>
    </row>
    <row r="694">
      <c r="A694" t="inlineStr">
        <is>
          <t>REQ-00220</t>
        </is>
      </c>
      <c r="B694" t="inlineStr">
        <is>
          <t>252.204-7020 NIST SP 800-171 DoD Assessment Requirements. 2023-11 SEC I</t>
        </is>
      </c>
      <c r="C694" t="inlineStr">
        <is>
          <t>No</t>
        </is>
      </c>
      <c r="D694" t="inlineStr">
        <is>
          <t>Medium</t>
        </is>
      </c>
      <c r="E694" t="inlineStr">
        <is>
          <t>Not Started</t>
        </is>
      </c>
    </row>
    <row r="695">
      <c r="A695" t="inlineStr">
        <is>
          <t>REQ-00221</t>
        </is>
      </c>
      <c r="B695" t="inlineStr">
        <is>
          <t>252.204-7024 Notice on the Use of the Supplier Performance Risk System. 2023-03 SEC L</t>
        </is>
      </c>
      <c r="C695" t="inlineStr">
        <is>
          <t>No</t>
        </is>
      </c>
      <c r="D695" t="inlineStr">
        <is>
          <t>Medium</t>
        </is>
      </c>
      <c r="E695" t="inlineStr">
        <is>
          <t>Not Started</t>
        </is>
      </c>
    </row>
    <row r="696">
      <c r="A696" t="inlineStr">
        <is>
          <t>REQ-00222</t>
        </is>
      </c>
      <c r="B696" t="inlineStr">
        <is>
          <t>252.205-7000 Provision of Information to Cooperative Agreement Holders. 2023-06 SEC I</t>
        </is>
      </c>
      <c r="C696" t="inlineStr">
        <is>
          <t>No</t>
        </is>
      </c>
      <c r="D696" t="inlineStr">
        <is>
          <t>Medium</t>
        </is>
      </c>
      <c r="E696" t="inlineStr">
        <is>
          <t>Not Started</t>
        </is>
      </c>
    </row>
    <row r="697">
      <c r="A697" t="inlineStr">
        <is>
          <t>REQ-00223</t>
        </is>
      </c>
      <c r="B697" t="inlineStr">
        <is>
          <t>252.215-7016 Notification to Offerors-Postaward Debriefings. 2022-12 SEC L</t>
        </is>
      </c>
      <c r="C697" t="inlineStr">
        <is>
          <t>No</t>
        </is>
      </c>
      <c r="D697" t="inlineStr">
        <is>
          <t>Medium</t>
        </is>
      </c>
      <c r="E697" t="inlineStr">
        <is>
          <t>Not Started</t>
        </is>
      </c>
    </row>
    <row r="698">
      <c r="A698" t="inlineStr">
        <is>
          <t>REQ-00225</t>
        </is>
      </c>
      <c r="B698" t="inlineStr">
        <is>
          <t>252.223-7008 Prohibition of Hexavalent Chromium. 2023-01 SEC I</t>
        </is>
      </c>
      <c r="C698" t="inlineStr">
        <is>
          <t>No</t>
        </is>
      </c>
      <c r="D698" t="inlineStr">
        <is>
          <t>Medium</t>
        </is>
      </c>
      <c r="E698" t="inlineStr">
        <is>
          <t>Not Started</t>
        </is>
      </c>
    </row>
    <row r="699">
      <c r="A699" t="inlineStr">
        <is>
          <t>REQ-00226</t>
        </is>
      </c>
      <c r="B699" t="inlineStr">
        <is>
          <t>252.225-7000 Buy American--Balance of Payments Program Certificate. 2024-02 SEC K</t>
        </is>
      </c>
      <c r="C699" t="inlineStr">
        <is>
          <t>No</t>
        </is>
      </c>
      <c r="D699" t="inlineStr">
        <is>
          <t>Medium</t>
        </is>
      </c>
      <c r="E699" t="inlineStr">
        <is>
          <t>Not Started</t>
        </is>
      </c>
    </row>
    <row r="700">
      <c r="A700" t="inlineStr">
        <is>
          <t>REQ-00227</t>
        </is>
      </c>
      <c r="B700" t="inlineStr">
        <is>
          <t>252.225-7001 Buy American and Balance of Payments Program. 2024-02 SEC I</t>
        </is>
      </c>
      <c r="C700" t="inlineStr">
        <is>
          <t>No</t>
        </is>
      </c>
      <c r="D700" t="inlineStr">
        <is>
          <t>Medium</t>
        </is>
      </c>
      <c r="E700" t="inlineStr">
        <is>
          <t>Not Started</t>
        </is>
      </c>
    </row>
    <row r="701">
      <c r="A701" t="inlineStr">
        <is>
          <t>REQ-00228</t>
        </is>
      </c>
      <c r="B701" t="inlineStr">
        <is>
          <t>252.225-7002 Qualifying Country Sources as Subcontractors. 2022-03 SEC I</t>
        </is>
      </c>
      <c r="C701" t="inlineStr">
        <is>
          <t>No</t>
        </is>
      </c>
      <c r="D701" t="inlineStr">
        <is>
          <t>Medium</t>
        </is>
      </c>
      <c r="E701" t="inlineStr">
        <is>
          <t>Not Started</t>
        </is>
      </c>
    </row>
    <row r="702">
      <c r="A702" t="inlineStr">
        <is>
          <t>REQ-00229</t>
        </is>
      </c>
      <c r="B702" t="inlineStr">
        <is>
          <t>252.225-7012 Preference for Certain Domestic Commodities. 2022-04 SEC I</t>
        </is>
      </c>
      <c r="C702" t="inlineStr">
        <is>
          <t>No</t>
        </is>
      </c>
      <c r="D702" t="inlineStr">
        <is>
          <t>Medium</t>
        </is>
      </c>
      <c r="E702" t="inlineStr">
        <is>
          <t>Not Started</t>
        </is>
      </c>
    </row>
    <row r="703">
      <c r="A703" t="inlineStr">
        <is>
          <t>REQ-00231</t>
        </is>
      </c>
      <c r="B703" t="inlineStr">
        <is>
          <t>252.225-7056 Prohibition Regarding Business Operations with the Maduro 
Regime. 2023-01 SEC I</t>
        </is>
      </c>
      <c r="C703" t="inlineStr">
        <is>
          <t>No</t>
        </is>
      </c>
      <c r="D703" t="inlineStr">
        <is>
          <t>Medium</t>
        </is>
      </c>
      <c r="E703" t="inlineStr">
        <is>
          <t>Not Started</t>
        </is>
      </c>
    </row>
    <row r="704">
      <c r="A704" t="inlineStr">
        <is>
          <t>REQ-00233</t>
        </is>
      </c>
      <c r="B704" t="inlineStr">
        <is>
          <t>252.225-7060 Prohibition on Certain Procurements from the Xinjiang 
Uyghur Autonomous Region. 2023-06 SEC I</t>
        </is>
      </c>
      <c r="C704" t="inlineStr">
        <is>
          <t>No</t>
        </is>
      </c>
      <c r="D704" t="inlineStr">
        <is>
          <t>Medium</t>
        </is>
      </c>
      <c r="E704" t="inlineStr">
        <is>
          <t>Not Started</t>
        </is>
      </c>
    </row>
    <row r="705">
      <c r="A705" t="inlineStr">
        <is>
          <t>REQ-00235</t>
        </is>
      </c>
      <c r="B705" t="inlineStr">
        <is>
          <t>252.231-7000 Supplemental Cost Principles 1991-12 SEC G</t>
        </is>
      </c>
      <c r="C705" t="inlineStr">
        <is>
          <t>No</t>
        </is>
      </c>
      <c r="D705" t="inlineStr">
        <is>
          <t>Medium</t>
        </is>
      </c>
      <c r="E705" t="inlineStr">
        <is>
          <t>Not Started</t>
        </is>
      </c>
    </row>
    <row r="706">
      <c r="A706" t="inlineStr">
        <is>
          <t>REQ-00236</t>
        </is>
      </c>
      <c r="B706" t="inlineStr">
        <is>
          <t>252.232-7003 Electronic Submission of Payment Requests and Receiving 
Reports. 2018-12 SEC G</t>
        </is>
      </c>
      <c r="C706" t="inlineStr">
        <is>
          <t>No</t>
        </is>
      </c>
      <c r="D706" t="inlineStr">
        <is>
          <t>Medium</t>
        </is>
      </c>
      <c r="E706" t="inlineStr">
        <is>
          <t>Not Started</t>
        </is>
      </c>
    </row>
    <row r="707">
      <c r="A707" t="inlineStr">
        <is>
          <t>REQ-00237</t>
        </is>
      </c>
      <c r="B707" t="inlineStr">
        <is>
          <t>252.232-7010 Levies on Contract Payments. 2006-12 SEC I</t>
        </is>
      </c>
      <c r="C707" t="inlineStr">
        <is>
          <t>No</t>
        </is>
      </c>
      <c r="D707" t="inlineStr">
        <is>
          <t>Medium</t>
        </is>
      </c>
      <c r="E707" t="inlineStr">
        <is>
          <t>Not Started</t>
        </is>
      </c>
    </row>
    <row r="708">
      <c r="A708" t="inlineStr">
        <is>
          <t>REQ-00239</t>
        </is>
      </c>
      <c r="B708" t="inlineStr">
        <is>
          <t>252.239-7017 Notice of Supply Chain Risk. 2022-12 SEC L</t>
        </is>
      </c>
      <c r="C708" t="inlineStr">
        <is>
          <t>No</t>
        </is>
      </c>
      <c r="D708" t="inlineStr">
        <is>
          <t>Medium</t>
        </is>
      </c>
      <c r="E708" t="inlineStr">
        <is>
          <t>Not Started</t>
        </is>
      </c>
    </row>
    <row r="709">
      <c r="A709" t="inlineStr">
        <is>
          <t>REQ-00240</t>
        </is>
      </c>
      <c r="B709" t="inlineStr">
        <is>
          <t>252.239-7018 Supply Chain Risk. 2022-12 SEC I</t>
        </is>
      </c>
      <c r="C709" t="inlineStr">
        <is>
          <t>No</t>
        </is>
      </c>
      <c r="D709" t="inlineStr">
        <is>
          <t>Medium</t>
        </is>
      </c>
      <c r="E709" t="inlineStr">
        <is>
          <t>Not Started</t>
        </is>
      </c>
    </row>
    <row r="710">
      <c r="A710" t="inlineStr">
        <is>
          <t>REQ-00241</t>
        </is>
      </c>
      <c r="B710" t="inlineStr">
        <is>
          <t>252.242-7005 Contractor Business Systems. 2012-02 SEC I</t>
        </is>
      </c>
      <c r="C710" t="inlineStr">
        <is>
          <t>No</t>
        </is>
      </c>
      <c r="D710" t="inlineStr">
        <is>
          <t>Medium</t>
        </is>
      </c>
      <c r="E710" t="inlineStr">
        <is>
          <t>Not Started</t>
        </is>
      </c>
    </row>
    <row r="711">
      <c r="A711" t="inlineStr">
        <is>
          <t>REQ-00242</t>
        </is>
      </c>
      <c r="B711" t="inlineStr">
        <is>
          <t>252.242-7006 Accounting System Administration. 2012-02 SEC I</t>
        </is>
      </c>
      <c r="C711" t="inlineStr">
        <is>
          <t>No</t>
        </is>
      </c>
      <c r="D711" t="inlineStr">
        <is>
          <t>Medium</t>
        </is>
      </c>
      <c r="E711" t="inlineStr">
        <is>
          <t>Not Started</t>
        </is>
      </c>
    </row>
    <row r="712">
      <c r="A712" t="inlineStr">
        <is>
          <t>REQ-00243</t>
        </is>
      </c>
      <c r="B712" t="inlineStr">
        <is>
          <t>252.243-7002 Requests for Equitable Adjustment. 2022-12 SEC I
DRAFT</t>
        </is>
      </c>
      <c r="C712" t="inlineStr">
        <is>
          <t>No</t>
        </is>
      </c>
      <c r="D712" t="inlineStr">
        <is>
          <t>Medium</t>
        </is>
      </c>
      <c r="E712" t="inlineStr">
        <is>
          <t>Not Started</t>
        </is>
      </c>
    </row>
    <row r="713">
      <c r="A713" t="inlineStr">
        <is>
          <t>REQ-00244</t>
        </is>
      </c>
      <c r="B713" t="inlineStr">
        <is>
          <t>252.244-7000 Subcontracts for Commercial Products or Commercial 
Services.
2023-11 SEC I</t>
        </is>
      </c>
      <c r="C713" t="inlineStr">
        <is>
          <t>No</t>
        </is>
      </c>
      <c r="D713" t="inlineStr">
        <is>
          <t>Medium</t>
        </is>
      </c>
      <c r="E713" t="inlineStr">
        <is>
          <t>Not Started</t>
        </is>
      </c>
    </row>
    <row r="714">
      <c r="A714" t="inlineStr">
        <is>
          <t>REQ-00245</t>
        </is>
      </c>
      <c r="B714" t="inlineStr">
        <is>
          <t>252.245-7003 Contractor Property Management System Administration 2012-04 SEC I</t>
        </is>
      </c>
      <c r="C714" t="inlineStr">
        <is>
          <t>No</t>
        </is>
      </c>
      <c r="D714" t="inlineStr">
        <is>
          <t>Medium</t>
        </is>
      </c>
      <c r="E714" t="inlineStr">
        <is>
          <t>Not Started</t>
        </is>
      </c>
    </row>
    <row r="715">
      <c r="A715" t="inlineStr">
        <is>
          <t>REQ-00246</t>
        </is>
      </c>
      <c r="B715" t="inlineStr">
        <is>
          <t>252.245-7005 Management and Reporting of Government Property. 2024-01 SEC I</t>
        </is>
      </c>
      <c r="C715" t="inlineStr">
        <is>
          <t>No</t>
        </is>
      </c>
      <c r="D715" t="inlineStr">
        <is>
          <t>Medium</t>
        </is>
      </c>
      <c r="E715" t="inlineStr">
        <is>
          <t>Not Started</t>
        </is>
      </c>
    </row>
    <row r="716">
      <c r="A716" t="inlineStr">
        <is>
          <t>REQ-00247</t>
        </is>
      </c>
      <c r="B716" t="inlineStr">
        <is>
          <t>252.246-7008 Sources of Electronic Parts. 2023-01 SEC I</t>
        </is>
      </c>
      <c r="C716" t="inlineStr">
        <is>
          <t>No</t>
        </is>
      </c>
      <c r="D716" t="inlineStr">
        <is>
          <t>Medium</t>
        </is>
      </c>
      <c r="E716" t="inlineStr">
        <is>
          <t>Not Started</t>
        </is>
      </c>
    </row>
    <row r="717">
      <c r="A717" t="inlineStr">
        <is>
          <t>REQ-00248</t>
        </is>
      </c>
      <c r="B717" t="inlineStr">
        <is>
          <t>252.247-7023 Transportation of Supplies by Sea. 2023-01 SEC I</t>
        </is>
      </c>
      <c r="C717" t="inlineStr">
        <is>
          <t>No</t>
        </is>
      </c>
      <c r="D717" t="inlineStr">
        <is>
          <t>Medium</t>
        </is>
      </c>
      <c r="E717" t="inlineStr">
        <is>
          <t>Not Started</t>
        </is>
      </c>
    </row>
    <row r="718">
      <c r="A718" t="inlineStr">
        <is>
          <t>REQ-00249</t>
        </is>
      </c>
      <c r="B718" t="inlineStr">
        <is>
          <t>252.247-7028 Application for U.S. Government Shipping Documentation/ 
Instructions. 2012-06 SEC I</t>
        </is>
      </c>
      <c r="C718" t="inlineStr">
        <is>
          <t>No</t>
        </is>
      </c>
      <c r="D718" t="inlineStr">
        <is>
          <t>Medium</t>
        </is>
      </c>
      <c r="E718" t="inlineStr">
        <is>
          <t>Not Started</t>
        </is>
      </c>
    </row>
    <row r="719">
      <c r="A719" t="inlineStr">
        <is>
          <t>REQ-00250</t>
        </is>
      </c>
      <c r="B719" t="inlineStr">
        <is>
          <t>52.201-1 Acquisition 360: Voluntary Survey. 2023-09 SEC L</t>
        </is>
      </c>
      <c r="C719" t="inlineStr">
        <is>
          <t>No</t>
        </is>
      </c>
      <c r="D719" t="inlineStr">
        <is>
          <t>Medium</t>
        </is>
      </c>
      <c r="E719" t="inlineStr">
        <is>
          <t>Not Started</t>
        </is>
      </c>
    </row>
    <row r="720">
      <c r="A720" t="inlineStr">
        <is>
          <t>REQ-00251</t>
        </is>
      </c>
      <c r="B720" t="inlineStr">
        <is>
          <t>52.204-13 System for Award Management Maintenance. 2018-10 SEC I</t>
        </is>
      </c>
      <c r="C720" t="inlineStr">
        <is>
          <t>No</t>
        </is>
      </c>
      <c r="D720" t="inlineStr">
        <is>
          <t>Medium</t>
        </is>
      </c>
      <c r="E720" t="inlineStr">
        <is>
          <t>Not Started</t>
        </is>
      </c>
    </row>
    <row r="721">
      <c r="A721" t="inlineStr">
        <is>
          <t>REQ-00252</t>
        </is>
      </c>
      <c r="B721" t="inlineStr">
        <is>
          <t>52.204-16 Commercial and Government Entity Code Reporting. 2020-08 SEC L</t>
        </is>
      </c>
      <c r="C721" t="inlineStr">
        <is>
          <t>No</t>
        </is>
      </c>
      <c r="D721" t="inlineStr">
        <is>
          <t>Medium</t>
        </is>
      </c>
      <c r="E721" t="inlineStr">
        <is>
          <t>Not Started</t>
        </is>
      </c>
    </row>
    <row r="722">
      <c r="A722" t="inlineStr">
        <is>
          <t>REQ-00253</t>
        </is>
      </c>
      <c r="B722" t="inlineStr">
        <is>
          <t>52.204-18 Commercial and Government Entity Code Maintenance. 2020-08 SEC I</t>
        </is>
      </c>
      <c r="C722" t="inlineStr">
        <is>
          <t>No</t>
        </is>
      </c>
      <c r="D722" t="inlineStr">
        <is>
          <t>Medium</t>
        </is>
      </c>
      <c r="E722" t="inlineStr">
        <is>
          <t>Not Started</t>
        </is>
      </c>
    </row>
    <row r="723">
      <c r="A723" t="inlineStr">
        <is>
          <t>REQ-00256</t>
        </is>
      </c>
      <c r="B723" t="inlineStr">
        <is>
          <t>52.204-7 System for Award Management. 2018-10 SEC L</t>
        </is>
      </c>
      <c r="C723" t="inlineStr">
        <is>
          <t>No</t>
        </is>
      </c>
      <c r="D723" t="inlineStr">
        <is>
          <t>Medium</t>
        </is>
      </c>
      <c r="E723" t="inlineStr">
        <is>
          <t>Not Started</t>
        </is>
      </c>
    </row>
    <row r="724">
      <c r="A724" t="inlineStr">
        <is>
          <t>REQ-00257</t>
        </is>
      </c>
      <c r="B724" t="inlineStr">
        <is>
          <t>52.209-7 Information Regarding Responsibility Matters. 2018-10 SEC K</t>
        </is>
      </c>
      <c r="C724" t="inlineStr">
        <is>
          <t>No</t>
        </is>
      </c>
      <c r="D724" t="inlineStr">
        <is>
          <t>Medium</t>
        </is>
      </c>
      <c r="E724" t="inlineStr">
        <is>
          <t>Not Started</t>
        </is>
      </c>
    </row>
    <row r="725">
      <c r="A725" t="inlineStr">
        <is>
          <t>REQ-00258</t>
        </is>
      </c>
      <c r="B725" t="inlineStr">
        <is>
          <t>52.212-1 Instructions to Offerors-Commercial Products and Commercial 
Services. 2023-09 SEC L</t>
        </is>
      </c>
      <c r="C725" t="inlineStr">
        <is>
          <t>No</t>
        </is>
      </c>
      <c r="D725" t="inlineStr">
        <is>
          <t>Medium</t>
        </is>
      </c>
      <c r="E725" t="inlineStr">
        <is>
          <t>Not Started</t>
        </is>
      </c>
    </row>
    <row r="726">
      <c r="A726" t="inlineStr">
        <is>
          <t>REQ-00259</t>
        </is>
      </c>
      <c r="B726" t="inlineStr">
        <is>
          <t>52.212-4 Contract Terms and Conditions-Commercial Products and 
Commercial Services. 2023-11 SEC I</t>
        </is>
      </c>
      <c r="C726" t="inlineStr">
        <is>
          <t>No</t>
        </is>
      </c>
      <c r="D726" t="inlineStr">
        <is>
          <t>Medium</t>
        </is>
      </c>
      <c r="E726" t="inlineStr">
        <is>
          <t>Not Started</t>
        </is>
      </c>
    </row>
    <row r="727">
      <c r="A727" t="inlineStr">
        <is>
          <t>REQ-00260</t>
        </is>
      </c>
      <c r="B727" t="inlineStr">
        <is>
          <t>52.217-2 Cancellation Under Multi-year Contracts. 1997-10 SEC I</t>
        </is>
      </c>
      <c r="C727" t="inlineStr">
        <is>
          <t>No</t>
        </is>
      </c>
      <c r="D727" t="inlineStr">
        <is>
          <t>Medium</t>
        </is>
      </c>
      <c r="E727" t="inlineStr">
        <is>
          <t>Not Started</t>
        </is>
      </c>
    </row>
    <row r="728">
      <c r="A728" t="inlineStr">
        <is>
          <t>REQ-00262</t>
        </is>
      </c>
      <c r="B728" t="inlineStr">
        <is>
          <t>52.223-5 Pollution Prevention and Right-to-Know Information. 2024-05 SEC I</t>
        </is>
      </c>
      <c r="C728" t="inlineStr">
        <is>
          <t>No</t>
        </is>
      </c>
      <c r="D728" t="inlineStr">
        <is>
          <t>Medium</t>
        </is>
      </c>
      <c r="E728" t="inlineStr">
        <is>
          <t>Not Started</t>
        </is>
      </c>
    </row>
    <row r="729">
      <c r="A729" t="inlineStr">
        <is>
          <t>REQ-00264</t>
        </is>
      </c>
      <c r="B729" t="inlineStr">
        <is>
          <t>52.245-1 Government Property. 2021-09 SEC I</t>
        </is>
      </c>
      <c r="C729" t="inlineStr">
        <is>
          <t>No</t>
        </is>
      </c>
      <c r="D729" t="inlineStr">
        <is>
          <t>Medium</t>
        </is>
      </c>
      <c r="E729" t="inlineStr">
        <is>
          <t>Not Started</t>
        </is>
      </c>
    </row>
    <row r="730">
      <c r="A730" t="inlineStr">
        <is>
          <t>REQ-00265</t>
        </is>
      </c>
      <c r="B730" t="inlineStr">
        <is>
          <t>252.227-7010 License to Other Government Agencies. 1984-08 SEC I</t>
        </is>
      </c>
      <c r="C730" t="inlineStr">
        <is>
          <t>No</t>
        </is>
      </c>
      <c r="D730" t="inlineStr">
        <is>
          <t>Medium</t>
        </is>
      </c>
      <c r="E730" t="inlineStr">
        <is>
          <t>Not Started</t>
        </is>
      </c>
    </row>
    <row r="731">
      <c r="A731" t="inlineStr">
        <is>
          <t>REQ-00266</t>
        </is>
      </c>
      <c r="B731" t="inlineStr">
        <is>
          <t>252.211-7008 Use of Government-Assigned Serial Numbers. 2010-09 SEC I</t>
        </is>
      </c>
      <c r="C731" t="inlineStr">
        <is>
          <t>No</t>
        </is>
      </c>
      <c r="D731" t="inlineStr">
        <is>
          <t>Medium</t>
        </is>
      </c>
      <c r="E731" t="inlineStr">
        <is>
          <t>Not Started</t>
        </is>
      </c>
    </row>
    <row r="732">
      <c r="A732" t="inlineStr">
        <is>
          <t>REQ-00267</t>
        </is>
      </c>
      <c r="B732" t="inlineStr">
        <is>
          <t>252.227-7015 Technical Data-Commercial Products and Commercial 
Services. 2023-03 SEC I</t>
        </is>
      </c>
      <c r="C732" t="inlineStr">
        <is>
          <t>No</t>
        </is>
      </c>
      <c r="D732" t="inlineStr">
        <is>
          <t>Medium</t>
        </is>
      </c>
      <c r="E732" t="inlineStr">
        <is>
          <t>Not Started</t>
        </is>
      </c>
    </row>
    <row r="733">
      <c r="A733" t="inlineStr">
        <is>
          <t>REQ-00268</t>
        </is>
      </c>
      <c r="B733" t="inlineStr">
        <is>
          <t>252.227-7016 Rights in Bid or Proposal Information. 2023-01 SEC I</t>
        </is>
      </c>
      <c r="C733" t="inlineStr">
        <is>
          <t>No</t>
        </is>
      </c>
      <c r="D733" t="inlineStr">
        <is>
          <t>Medium</t>
        </is>
      </c>
      <c r="E733" t="inlineStr">
        <is>
          <t>Not Started</t>
        </is>
      </c>
    </row>
    <row r="734">
      <c r="A734" t="inlineStr">
        <is>
          <t>REQ-00269</t>
        </is>
      </c>
      <c r="B734" t="inlineStr">
        <is>
          <t>252.227-7025 Limitations on the Use or Disclosure of Government-
Furnished Information Marked With Restrictive Legends 2023-01 SEC I</t>
        </is>
      </c>
      <c r="C734" t="inlineStr">
        <is>
          <t>No</t>
        </is>
      </c>
      <c r="D734" t="inlineStr">
        <is>
          <t>Medium</t>
        </is>
      </c>
      <c r="E734" t="inlineStr">
        <is>
          <t>Not Started</t>
        </is>
      </c>
    </row>
    <row r="735">
      <c r="A735" t="inlineStr">
        <is>
          <t>REQ-00270</t>
        </is>
      </c>
      <c r="B735" t="inlineStr">
        <is>
          <t>252.227-7028 Technical Data or Computer Software Previously Delivered to 
the Government. 1995-06 SEC K</t>
        </is>
      </c>
      <c r="C735" t="inlineStr">
        <is>
          <t>No</t>
        </is>
      </c>
      <c r="D735" t="inlineStr">
        <is>
          <t>Medium</t>
        </is>
      </c>
      <c r="E735" t="inlineStr">
        <is>
          <t>Not Started</t>
        </is>
      </c>
    </row>
    <row r="736">
      <c r="A736" t="inlineStr">
        <is>
          <t>REQ-00271</t>
        </is>
      </c>
      <c r="B736" t="inlineStr">
        <is>
          <t>252.227-7030 Technical Data--Withholding of Payment. 2000-03 SEC I</t>
        </is>
      </c>
      <c r="C736" t="inlineStr">
        <is>
          <t>No</t>
        </is>
      </c>
      <c r="D736" t="inlineStr">
        <is>
          <t>Medium</t>
        </is>
      </c>
      <c r="E736" t="inlineStr">
        <is>
          <t>Not Started</t>
        </is>
      </c>
    </row>
    <row r="737">
      <c r="A737" t="inlineStr">
        <is>
          <t>REQ-00272</t>
        </is>
      </c>
      <c r="B737" t="inlineStr">
        <is>
          <t>252.227-7037 Validation of Restrictive Markings on Technical Data. 2023-01 SEC I</t>
        </is>
      </c>
      <c r="C737" t="inlineStr">
        <is>
          <t>No</t>
        </is>
      </c>
      <c r="D737" t="inlineStr">
        <is>
          <t>Medium</t>
        </is>
      </c>
      <c r="E737" t="inlineStr">
        <is>
          <t>Not Started</t>
        </is>
      </c>
    </row>
    <row r="738">
      <c r="A738" t="inlineStr">
        <is>
          <t>REQ-00273</t>
        </is>
      </c>
      <c r="B738" t="inlineStr">
        <is>
          <t>252.228-7005 Mishap Reporting and Investigation Involving Aircraft, 
Missiles, and Space Launch Vehicles. 2019-11 SEC I</t>
        </is>
      </c>
      <c r="C738" t="inlineStr">
        <is>
          <t>No</t>
        </is>
      </c>
      <c r="D738" t="inlineStr">
        <is>
          <t>Medium</t>
        </is>
      </c>
      <c r="E738" t="inlineStr">
        <is>
          <t>Not Started</t>
        </is>
      </c>
    </row>
    <row r="739">
      <c r="A739" t="inlineStr">
        <is>
          <t>REQ-00274</t>
        </is>
      </c>
      <c r="B739" t="inlineStr">
        <is>
          <t>52.227-1 Authorization and Consent. 2020-06 SEC I</t>
        </is>
      </c>
      <c r="C739" t="inlineStr">
        <is>
          <t>No</t>
        </is>
      </c>
      <c r="D739" t="inlineStr">
        <is>
          <t>Medium</t>
        </is>
      </c>
      <c r="E739" t="inlineStr">
        <is>
          <t>Not Started</t>
        </is>
      </c>
    </row>
    <row r="740">
      <c r="A740" t="inlineStr">
        <is>
          <t>REQ-00275</t>
        </is>
      </c>
      <c r="B740" t="inlineStr">
        <is>
          <t>52.227-14 Rights in Data-General. 2014-05 SEC I</t>
        </is>
      </c>
      <c r="C740" t="inlineStr">
        <is>
          <t>No</t>
        </is>
      </c>
      <c r="D740" t="inlineStr">
        <is>
          <t>Medium</t>
        </is>
      </c>
      <c r="E740" t="inlineStr">
        <is>
          <t>Not Started</t>
        </is>
      </c>
    </row>
    <row r="741">
      <c r="A741" t="inlineStr">
        <is>
          <t>REQ-00276</t>
        </is>
      </c>
      <c r="B741" t="inlineStr">
        <is>
          <t>52.227-14 ALT II Rights in Data-General. (Alternate II) 2007-12 SEC I</t>
        </is>
      </c>
      <c r="C741" t="inlineStr">
        <is>
          <t>No</t>
        </is>
      </c>
      <c r="D741" t="inlineStr">
        <is>
          <t>Medium</t>
        </is>
      </c>
      <c r="E741" t="inlineStr">
        <is>
          <t>Not Started</t>
        </is>
      </c>
    </row>
    <row r="742">
      <c r="A742" t="inlineStr">
        <is>
          <t>REQ-00277</t>
        </is>
      </c>
      <c r="B742" t="inlineStr">
        <is>
          <t>52.227-14 ALT III Rights in Data-General. (Alternate III) 2007-12 SEC I</t>
        </is>
      </c>
      <c r="C742" t="inlineStr">
        <is>
          <t>No</t>
        </is>
      </c>
      <c r="D742" t="inlineStr">
        <is>
          <t>Medium</t>
        </is>
      </c>
      <c r="E742" t="inlineStr">
        <is>
          <t>Not Started</t>
        </is>
      </c>
    </row>
    <row r="743">
      <c r="A743" t="inlineStr">
        <is>
          <t>REQ-00279</t>
        </is>
      </c>
      <c r="B743" t="inlineStr">
        <is>
          <t>52.227-22 Major System-Minimum Rights. 1987-06 SEC I</t>
        </is>
      </c>
      <c r="C743" t="inlineStr">
        <is>
          <t>No</t>
        </is>
      </c>
      <c r="D743" t="inlineStr">
        <is>
          <t>Medium</t>
        </is>
      </c>
      <c r="E743" t="inlineStr">
        <is>
          <t>Not Started</t>
        </is>
      </c>
    </row>
    <row r="744">
      <c r="A744" t="inlineStr">
        <is>
          <t>REQ-00280</t>
        </is>
      </c>
      <c r="B744" t="inlineStr">
        <is>
          <t>52.227-3 Patent Indemnity. 1984-04 SEC I</t>
        </is>
      </c>
      <c r="C744" t="inlineStr">
        <is>
          <t>No</t>
        </is>
      </c>
      <c r="D744" t="inlineStr">
        <is>
          <t>Medium</t>
        </is>
      </c>
      <c r="E744" t="inlineStr">
        <is>
          <t>Not Started</t>
        </is>
      </c>
    </row>
    <row r="745">
      <c r="A745" t="inlineStr">
        <is>
          <t>REQ-00281</t>
        </is>
      </c>
      <c r="B745" t="inlineStr">
        <is>
          <t>52.204-27 Prohibition on a ByteDance Covered Application. 2023-06 SEC I</t>
        </is>
      </c>
      <c r="C745" t="inlineStr">
        <is>
          <t>No</t>
        </is>
      </c>
      <c r="D745" t="inlineStr">
        <is>
          <t>Medium</t>
        </is>
      </c>
      <c r="E745" t="inlineStr">
        <is>
          <t>Not Started</t>
        </is>
      </c>
    </row>
    <row r="746">
      <c r="A746" t="inlineStr">
        <is>
          <t>REQ-00282</t>
        </is>
      </c>
      <c r="B746" t="inlineStr">
        <is>
          <t>52.204-9 Personal Identity Verification of Contractor Personnel. 2011-01 SEC I</t>
        </is>
      </c>
      <c r="C746" t="inlineStr">
        <is>
          <t>No</t>
        </is>
      </c>
      <c r="D746" t="inlineStr">
        <is>
          <t>Medium</t>
        </is>
      </c>
      <c r="E746" t="inlineStr">
        <is>
          <t>Not Started</t>
        </is>
      </c>
    </row>
    <row r="747">
      <c r="A747" t="inlineStr">
        <is>
          <t>REQ-00283</t>
        </is>
      </c>
      <c r="B747" t="inlineStr">
        <is>
          <t>52.204-21 Basic Safeguarding of Covered Contractor Information 
Systems. 2021-11 SEC I</t>
        </is>
      </c>
      <c r="C747" t="inlineStr">
        <is>
          <t>No</t>
        </is>
      </c>
      <c r="D747" t="inlineStr">
        <is>
          <t>Medium</t>
        </is>
      </c>
      <c r="E747" t="inlineStr">
        <is>
          <t>Not Started</t>
        </is>
      </c>
    </row>
    <row r="748">
      <c r="A748" t="inlineStr">
        <is>
          <t>REQ-00284</t>
        </is>
      </c>
      <c r="B748" t="inlineStr">
        <is>
          <t>52.211-17 Delivery of Excess Quantities. 1989-09 SEC F</t>
        </is>
      </c>
      <c r="C748" t="inlineStr">
        <is>
          <t>No</t>
        </is>
      </c>
      <c r="D748" t="inlineStr">
        <is>
          <t>Medium</t>
        </is>
      </c>
      <c r="E748" t="inlineStr">
        <is>
          <t>Not Started</t>
        </is>
      </c>
    </row>
    <row r="749">
      <c r="A749" t="inlineStr">
        <is>
          <t>REQ-00285</t>
        </is>
      </c>
      <c r="B749" t="inlineStr">
        <is>
          <t>52.227-14 ALT I Rights in Data-General. (Alternate I) 2007-12 SEC I
DRAFT</t>
        </is>
      </c>
      <c r="C749" t="inlineStr">
        <is>
          <t>No</t>
        </is>
      </c>
      <c r="D749" t="inlineStr">
        <is>
          <t>Medium</t>
        </is>
      </c>
      <c r="E749" t="inlineStr">
        <is>
          <t>Not Started</t>
        </is>
      </c>
    </row>
    <row r="750">
      <c r="A750" t="inlineStr">
        <is>
          <t>REQ-00286</t>
        </is>
      </c>
      <c r="B750" t="inlineStr">
        <is>
          <t>52.242-15 Stop-Work Order. 1989-08 SEC F</t>
        </is>
      </c>
      <c r="C750" t="inlineStr">
        <is>
          <t>No</t>
        </is>
      </c>
      <c r="D750" t="inlineStr">
        <is>
          <t>Medium</t>
        </is>
      </c>
      <c r="E750" t="inlineStr">
        <is>
          <t>Not Started</t>
        </is>
      </c>
    </row>
    <row r="751">
      <c r="A751" t="inlineStr">
        <is>
          <t>REQ-00287</t>
        </is>
      </c>
      <c r="B751" t="inlineStr">
        <is>
          <t>52.242-17 Government Delay of Work. 1984-04 SEC F</t>
        </is>
      </c>
      <c r="C751" t="inlineStr">
        <is>
          <t>No</t>
        </is>
      </c>
      <c r="D751" t="inlineStr">
        <is>
          <t>Medium</t>
        </is>
      </c>
      <c r="E751" t="inlineStr">
        <is>
          <t>Not Started</t>
        </is>
      </c>
    </row>
    <row r="752">
      <c r="A752" t="inlineStr">
        <is>
          <t>REQ-00288</t>
        </is>
      </c>
      <c r="B752" t="inlineStr">
        <is>
          <t>52.243-1 Changes-Fixed-Price. 1987-08 SEC I</t>
        </is>
      </c>
      <c r="C752" t="inlineStr">
        <is>
          <t>No</t>
        </is>
      </c>
      <c r="D752" t="inlineStr">
        <is>
          <t>Medium</t>
        </is>
      </c>
      <c r="E752" t="inlineStr">
        <is>
          <t>Not Started</t>
        </is>
      </c>
    </row>
    <row r="753">
      <c r="A753" t="inlineStr">
        <is>
          <t>REQ-00289</t>
        </is>
      </c>
      <c r="B753" t="inlineStr">
        <is>
          <t>52.243-2 Changes-Cost-Reimbursement. 1987-08 SEC I</t>
        </is>
      </c>
      <c r="C753" t="inlineStr">
        <is>
          <t>No</t>
        </is>
      </c>
      <c r="D753" t="inlineStr">
        <is>
          <t>Medium</t>
        </is>
      </c>
      <c r="E753" t="inlineStr">
        <is>
          <t>Not Started</t>
        </is>
      </c>
    </row>
    <row r="754">
      <c r="A754" t="inlineStr">
        <is>
          <t>REQ-00290</t>
        </is>
      </c>
      <c r="B754" t="inlineStr">
        <is>
          <t>52.246-2 Inspection of Supplies-Fixed-Price. 1996-08 SEC E</t>
        </is>
      </c>
      <c r="C754" t="inlineStr">
        <is>
          <t>No</t>
        </is>
      </c>
      <c r="D754" t="inlineStr">
        <is>
          <t>Medium</t>
        </is>
      </c>
      <c r="E754" t="inlineStr">
        <is>
          <t>Not Started</t>
        </is>
      </c>
    </row>
    <row r="755">
      <c r="A755" t="inlineStr">
        <is>
          <t>REQ-00291</t>
        </is>
      </c>
      <c r="B755" t="inlineStr">
        <is>
          <t>252.203-7003 Agency Office of the Inspector General. 2019-08 SEC I</t>
        </is>
      </c>
      <c r="C755" t="inlineStr">
        <is>
          <t>No</t>
        </is>
      </c>
      <c r="D755" t="inlineStr">
        <is>
          <t>Medium</t>
        </is>
      </c>
      <c r="E755" t="inlineStr">
        <is>
          <t>Not Started</t>
        </is>
      </c>
    </row>
    <row r="756">
      <c r="A756" t="inlineStr">
        <is>
          <t>REQ-00292</t>
        </is>
      </c>
      <c r="B756" t="inlineStr">
        <is>
          <t>252.225-7058 Postaward Disclosure of Employment of Individuals Who 
Work in the People's Republic of China. 2023-01 SEC I</t>
        </is>
      </c>
      <c r="C756" t="inlineStr">
        <is>
          <t>No</t>
        </is>
      </c>
      <c r="D756" t="inlineStr">
        <is>
          <t>Medium</t>
        </is>
      </c>
      <c r="E756" t="inlineStr">
        <is>
          <t>Not Started</t>
        </is>
      </c>
    </row>
    <row r="757">
      <c r="A757" t="inlineStr">
        <is>
          <t>REQ-00293</t>
        </is>
      </c>
      <c r="B757" t="inlineStr">
        <is>
          <t>252.225-7057 Preaward Disclosure of Employment of Individuals Who Work 
in the People's Republic of China. 2022-08 SEC K</t>
        </is>
      </c>
      <c r="C757" t="inlineStr">
        <is>
          <t>No</t>
        </is>
      </c>
      <c r="D757" t="inlineStr">
        <is>
          <t>Medium</t>
        </is>
      </c>
      <c r="E757" t="inlineStr">
        <is>
          <t>Not Started</t>
        </is>
      </c>
    </row>
    <row r="758">
      <c r="A758" t="inlineStr">
        <is>
          <t>REQ-00294</t>
        </is>
      </c>
      <c r="B758" t="inlineStr">
        <is>
          <t>252.227-7027 Deferred Ordering of Technical Data or Computer Software. 1988-04 SEC I</t>
        </is>
      </c>
      <c r="C758" t="inlineStr">
        <is>
          <t>No</t>
        </is>
      </c>
      <c r="D758" t="inlineStr">
        <is>
          <t>Medium</t>
        </is>
      </c>
      <c r="E758" t="inlineStr">
        <is>
          <t>Not Started</t>
        </is>
      </c>
    </row>
    <row r="759">
      <c r="A759" t="inlineStr">
        <is>
          <t>REQ-00295</t>
        </is>
      </c>
      <c r="B759" t="inlineStr">
        <is>
          <t>252.239-7010 Cloud Computing Services. 2023-01 SEC I</t>
        </is>
      </c>
      <c r="C759" t="inlineStr">
        <is>
          <t>No</t>
        </is>
      </c>
      <c r="D759" t="inlineStr">
        <is>
          <t>Medium</t>
        </is>
      </c>
      <c r="E759" t="inlineStr">
        <is>
          <t>Not Started</t>
        </is>
      </c>
    </row>
    <row r="760">
      <c r="A760" t="inlineStr">
        <is>
          <t>REQ-00296</t>
        </is>
      </c>
      <c r="B760" t="inlineStr">
        <is>
          <t>252.243-7001 Pricing of Contract Modifications. 1991-12 SEC I</t>
        </is>
      </c>
      <c r="C760" t="inlineStr">
        <is>
          <t>No</t>
        </is>
      </c>
      <c r="D760" t="inlineStr">
        <is>
          <t>Medium</t>
        </is>
      </c>
      <c r="E760" t="inlineStr">
        <is>
          <t>Not Started</t>
        </is>
      </c>
    </row>
    <row r="761">
      <c r="A761" t="inlineStr">
        <is>
          <t>REQ-00297</t>
        </is>
      </c>
      <c r="B761" t="inlineStr">
        <is>
          <t>252.227-7014 Rights in Other Than Commercial Computer Software and 
Other Than Commercial Computer Software Documentation. 2023-03 SEC I</t>
        </is>
      </c>
      <c r="C761" t="inlineStr">
        <is>
          <t>No</t>
        </is>
      </c>
      <c r="D761" t="inlineStr">
        <is>
          <t>Medium</t>
        </is>
      </c>
      <c r="E761" t="inlineStr">
        <is>
          <t>Not Started</t>
        </is>
      </c>
    </row>
    <row r="762">
      <c r="A762" t="inlineStr">
        <is>
          <t>REQ-00298</t>
        </is>
      </c>
      <c r="B762" t="inlineStr">
        <is>
          <t>252.227-7013 Rights in Technical Data-Other Than Commercial Products 
and Commercial Services. 2023-03 SEC I</t>
        </is>
      </c>
      <c r="C762" t="inlineStr">
        <is>
          <t>No</t>
        </is>
      </c>
      <c r="D762" t="inlineStr">
        <is>
          <t>Medium</t>
        </is>
      </c>
      <c r="E762" t="inlineStr">
        <is>
          <t>Not Started</t>
        </is>
      </c>
    </row>
    <row r="763">
      <c r="A763" t="inlineStr">
        <is>
          <t>REQ-00299</t>
        </is>
      </c>
      <c r="B763" t="inlineStr">
        <is>
          <t>252.227-7015 ALT I Technical Data-Commercial Products and Commercial 
Services. (Alternate I) 2022-03 SEC I</t>
        </is>
      </c>
      <c r="C763" t="inlineStr">
        <is>
          <t>No</t>
        </is>
      </c>
      <c r="D763" t="inlineStr">
        <is>
          <t>Medium</t>
        </is>
      </c>
      <c r="E763" t="inlineStr">
        <is>
          <t>Not Started</t>
        </is>
      </c>
    </row>
    <row r="764">
      <c r="A764" t="inlineStr">
        <is>
          <t>REQ-00300</t>
        </is>
      </c>
      <c r="B764" t="inlineStr">
        <is>
          <t>252.239-7000 Protection Against Compromising Emanations. 2019-10 SEC I</t>
        </is>
      </c>
      <c r="C764" t="inlineStr">
        <is>
          <t>No</t>
        </is>
      </c>
      <c r="D764" t="inlineStr">
        <is>
          <t>Medium</t>
        </is>
      </c>
      <c r="E764" t="inlineStr">
        <is>
          <t>Not Started</t>
        </is>
      </c>
    </row>
    <row r="765">
      <c r="A765" t="inlineStr">
        <is>
          <t>REQ-00301</t>
        </is>
      </c>
      <c r="B765" t="inlineStr">
        <is>
          <t>252.204-7009 Limitations on the Use or Disclosure of Third-Party Contractor 
Reported Cyber Incident Information. 2023-01 SEC I</t>
        </is>
      </c>
      <c r="C765" t="inlineStr">
        <is>
          <t>No</t>
        </is>
      </c>
      <c r="D765" t="inlineStr">
        <is>
          <t>Medium</t>
        </is>
      </c>
      <c r="E765" t="inlineStr">
        <is>
          <t>Not Started</t>
        </is>
      </c>
    </row>
    <row r="766">
      <c r="A766" t="inlineStr">
        <is>
          <t>REQ-00302</t>
        </is>
      </c>
      <c r="B766" t="inlineStr">
        <is>
          <t>52.249-2 Termination for Convenience of the Government (Fixed-Price). 2012-04 SEC I</t>
        </is>
      </c>
      <c r="C766" t="inlineStr">
        <is>
          <t>No</t>
        </is>
      </c>
      <c r="D766" t="inlineStr">
        <is>
          <t>Medium</t>
        </is>
      </c>
      <c r="E766" t="inlineStr">
        <is>
          <t>Not Started</t>
        </is>
      </c>
    </row>
    <row r="767">
      <c r="A767" t="inlineStr">
        <is>
          <t>REQ-00303</t>
        </is>
      </c>
      <c r="B767" t="inlineStr">
        <is>
          <t>52.249-14 Excusable Delays. 1984-04 SEC I</t>
        </is>
      </c>
      <c r="C767" t="inlineStr">
        <is>
          <t>No</t>
        </is>
      </c>
      <c r="D767" t="inlineStr">
        <is>
          <t>Medium</t>
        </is>
      </c>
      <c r="E767" t="inlineStr">
        <is>
          <t>Not Started</t>
        </is>
      </c>
    </row>
    <row r="768">
      <c r="A768" t="inlineStr">
        <is>
          <t>REQ-00304</t>
        </is>
      </c>
      <c r="B768" t="inlineStr">
        <is>
          <t>52.249-9 Default (Fixed-Price Research and Development). 1984-04 SEC I</t>
        </is>
      </c>
      <c r="C768" t="inlineStr">
        <is>
          <t>No</t>
        </is>
      </c>
      <c r="D768" t="inlineStr">
        <is>
          <t>Medium</t>
        </is>
      </c>
      <c r="E768" t="inlineStr">
        <is>
          <t>Not Started</t>
        </is>
      </c>
    </row>
    <row r="769">
      <c r="A769" t="inlineStr">
        <is>
          <t>REQ-00305</t>
        </is>
      </c>
      <c r="B769" t="inlineStr">
        <is>
          <t>52.246-3 Inspection of Supplies-Cost-Reimbursement. 2001-05 SEC E
CLAUSES IN FULL TEXT
CLAUSE 
NO
ALT NO/ 
DEV NO CLAUSE TITLE YEAR-
MO
CLAUSE TEXT</t>
        </is>
      </c>
      <c r="C769" t="inlineStr">
        <is>
          <t>No</t>
        </is>
      </c>
      <c r="D769" t="inlineStr">
        <is>
          <t>Medium</t>
        </is>
      </c>
      <c r="E769" t="inlineStr">
        <is>
          <t>Not Started</t>
        </is>
      </c>
    </row>
    <row r="770">
      <c r="A770" t="inlineStr">
        <is>
          <t>REQ-00306</t>
        </is>
      </c>
      <c r="B770" t="inlineStr">
        <is>
          <t>252.211-7003 Item Unique Identification and Valuation. 2023-01
As prescribed in 211.274-5(a), use the following clause:
ITEM UNIQUE IDENTIFICATION AND VALUATION (JAN 2023)</t>
        </is>
      </c>
      <c r="C770" t="inlineStr">
        <is>
          <t>No</t>
        </is>
      </c>
      <c r="D770" t="inlineStr">
        <is>
          <t>Medium</t>
        </is>
      </c>
      <c r="E770" t="inlineStr">
        <is>
          <t>Not Started</t>
        </is>
      </c>
    </row>
    <row r="771">
      <c r="A771" t="inlineStr">
        <is>
          <t>REQ-00308</t>
        </is>
      </c>
      <c r="B771" t="inlineStr">
        <is>
          <t>(1) For items that are serialized within the enterprise identifier, the linking together of                        
the unique identifier data elements in order of the issuing agency code, enterpri...</t>
        </is>
      </c>
      <c r="C771" t="inlineStr">
        <is>
          <t>No</t>
        </is>
      </c>
      <c r="D771" t="inlineStr">
        <is>
          <t>Medium</t>
        </is>
      </c>
      <c r="E771" t="inlineStr">
        <is>
          <t>Not Started</t>
        </is>
      </c>
    </row>
    <row r="772">
      <c r="A772" t="inlineStr">
        <is>
          <t>REQ-00310</t>
        </is>
      </c>
      <c r="B772" t="inlineStr">
        <is>
          <t>(1) For fixed-price type line, subline, or exhibit line items, the unit price identified in the                       
contract at the time of delivery;</t>
        </is>
      </c>
      <c r="C772" t="inlineStr">
        <is>
          <t>No</t>
        </is>
      </c>
      <c r="D772" t="inlineStr">
        <is>
          <t>Medium</t>
        </is>
      </c>
      <c r="E772" t="inlineStr">
        <is>
          <t>Not Started</t>
        </is>
      </c>
    </row>
    <row r="773">
      <c r="A773" t="inlineStr">
        <is>
          <t>REQ-00311</t>
        </is>
      </c>
      <c r="B773" t="inlineStr">
        <is>
          <t>(2) For cost-type or undefinitized line, subline, or exhibit line items, the Contractor's                       
estimated fully burdened unit cost to the Government at the time of delivery; and</t>
        </is>
      </c>
      <c r="C773" t="inlineStr">
        <is>
          <t>No</t>
        </is>
      </c>
      <c r="D773" t="inlineStr">
        <is>
          <t>Medium</t>
        </is>
      </c>
      <c r="E773" t="inlineStr">
        <is>
          <t>Not Started</t>
        </is>
      </c>
    </row>
    <row r="774">
      <c r="A774" t="inlineStr">
        <is>
          <t>REQ-00312</t>
        </is>
      </c>
      <c r="B774" t="inlineStr">
        <is>
          <t>(3) For items produced under a time-and-materials contract, the Contractor's estimated                       
fully burdened unit cost to the Government at the time of delivery.
"Issuing agency" me...</t>
        </is>
      </c>
      <c r="C774" t="inlineStr">
        <is>
          <t>No</t>
        </is>
      </c>
      <c r="D774" t="inlineStr">
        <is>
          <t>Medium</t>
        </is>
      </c>
      <c r="E774" t="inlineStr">
        <is>
          <t>Not Started</t>
        </is>
      </c>
    </row>
    <row r="775">
      <c r="A775" t="inlineStr">
        <is>
          <t>REQ-00318</t>
        </is>
      </c>
      <c r="B775" t="inlineStr">
        <is>
          <t>(v) Any item not included in (i), (ii), (iii), or (iv) for which the contractor creates and                       
marks a unique item identifier for traceability.</t>
        </is>
      </c>
      <c r="C775" t="inlineStr">
        <is>
          <t>No</t>
        </is>
      </c>
      <c r="D775" t="inlineStr">
        <is>
          <t>Medium</t>
        </is>
      </c>
      <c r="E775" t="inlineStr">
        <is>
          <t>Not Started</t>
        </is>
      </c>
    </row>
    <row r="776">
      <c r="A776" t="inlineStr">
        <is>
          <t>REQ-00323</t>
        </is>
      </c>
      <c r="B776" t="inlineStr">
        <is>
          <t>(5) .                
Unique item identifier</t>
        </is>
      </c>
      <c r="C776" t="inlineStr">
        <is>
          <t>No</t>
        </is>
      </c>
      <c r="D776" t="inlineStr">
        <is>
          <t>Medium</t>
        </is>
      </c>
      <c r="E776" t="inlineStr">
        <is>
          <t>Not Started</t>
        </is>
      </c>
    </row>
    <row r="777">
      <c r="A777" t="inlineStr">
        <is>
          <t>REQ-00327</t>
        </is>
      </c>
      <c r="B777" t="inlineStr">
        <is>
          <t>(3) Issuing agency code (if concatenated unique item identifier is used).</t>
        </is>
      </c>
      <c r="C777" t="inlineStr">
        <is>
          <t>No</t>
        </is>
      </c>
      <c r="D777" t="inlineStr">
        <is>
          <t>Medium</t>
        </is>
      </c>
      <c r="E777" t="inlineStr">
        <is>
          <t>Not Started</t>
        </is>
      </c>
    </row>
    <row r="778">
      <c r="A778" t="inlineStr">
        <is>
          <t>REQ-00328</t>
        </is>
      </c>
      <c r="B778" t="inlineStr">
        <is>
          <t>(4) identifier (if concatenated unique item identifier is used).                
Enterprise</t>
        </is>
      </c>
      <c r="C778" t="inlineStr">
        <is>
          <t>No</t>
        </is>
      </c>
      <c r="D778" t="inlineStr">
        <is>
          <t>Medium</t>
        </is>
      </c>
      <c r="E778" t="inlineStr">
        <is>
          <t>Not Started</t>
        </is>
      </c>
    </row>
    <row r="779">
      <c r="A779" t="inlineStr">
        <is>
          <t>REQ-00329</t>
        </is>
      </c>
      <c r="B779" t="inlineStr">
        <is>
          <t>(5) Original part number (if there is serialization within the original part number).</t>
        </is>
      </c>
      <c r="C779" t="inlineStr">
        <is>
          <t>No</t>
        </is>
      </c>
      <c r="D779" t="inlineStr">
        <is>
          <t>Medium</t>
        </is>
      </c>
      <c r="E779" t="inlineStr">
        <is>
          <t>Not Started</t>
        </is>
      </c>
    </row>
    <row r="780">
      <c r="A780" t="inlineStr">
        <is>
          <t>REQ-00330</t>
        </is>
      </c>
      <c r="B780" t="inlineStr">
        <is>
          <t>(6) or batch number (if there is serialization within the lot or batch number).                Lot 
DRAFT</t>
        </is>
      </c>
      <c r="C780" t="inlineStr">
        <is>
          <t>No</t>
        </is>
      </c>
      <c r="D780" t="inlineStr">
        <is>
          <t>Medium</t>
        </is>
      </c>
      <c r="E780" t="inlineStr">
        <is>
          <t>Not Started</t>
        </is>
      </c>
    </row>
    <row r="781">
      <c r="A781" t="inlineStr">
        <is>
          <t>REQ-00331</t>
        </is>
      </c>
      <c r="B781" t="inlineStr">
        <is>
          <t>(7) Current part number (optional and only if not the same as the original part number).</t>
        </is>
      </c>
      <c r="C781" t="inlineStr">
        <is>
          <t>No</t>
        </is>
      </c>
      <c r="D781" t="inlineStr">
        <is>
          <t>Low</t>
        </is>
      </c>
      <c r="E781" t="inlineStr">
        <is>
          <t>Not Started</t>
        </is>
      </c>
    </row>
    <row r="782">
      <c r="A782" t="inlineStr">
        <is>
          <t>REQ-00332</t>
        </is>
      </c>
      <c r="B782" t="inlineStr">
        <is>
          <t>(8) Current part number effective date (optional and only if current part number is used).</t>
        </is>
      </c>
      <c r="C782" t="inlineStr">
        <is>
          <t>No</t>
        </is>
      </c>
      <c r="D782" t="inlineStr">
        <is>
          <t>Low</t>
        </is>
      </c>
      <c r="E782" t="inlineStr">
        <is>
          <t>Not Started</t>
        </is>
      </c>
    </row>
    <row r="783">
      <c r="A783" t="inlineStr">
        <is>
          <t>REQ-00333</t>
        </is>
      </c>
      <c r="B783" t="inlineStr">
        <is>
          <t>(9) Serial number (if concatenated unique item identifier is used).</t>
        </is>
      </c>
      <c r="C783" t="inlineStr">
        <is>
          <t>No</t>
        </is>
      </c>
      <c r="D783" t="inlineStr">
        <is>
          <t>Medium</t>
        </is>
      </c>
      <c r="E783" t="inlineStr">
        <is>
          <t>Not Started</t>
        </is>
      </c>
    </row>
    <row r="784">
      <c r="A784" t="inlineStr">
        <is>
          <t>REQ-00334</t>
        </is>
      </c>
      <c r="B784" t="inlineStr">
        <is>
          <t>(10) Government's unit acquisition cost.</t>
        </is>
      </c>
      <c r="C784" t="inlineStr">
        <is>
          <t>No</t>
        </is>
      </c>
      <c r="D784" t="inlineStr">
        <is>
          <t>Medium</t>
        </is>
      </c>
      <c r="E784" t="inlineStr">
        <is>
          <t>Not Started</t>
        </is>
      </c>
    </row>
    <row r="785">
      <c r="A785" t="inlineStr">
        <is>
          <t>REQ-00335</t>
        </is>
      </c>
      <c r="B785" t="inlineStr">
        <is>
          <t>(12) Type designation of the item as specified in the contract schedule, if any.</t>
        </is>
      </c>
      <c r="C785" t="inlineStr">
        <is>
          <t>No</t>
        </is>
      </c>
      <c r="D785" t="inlineStr">
        <is>
          <t>Medium</t>
        </is>
      </c>
      <c r="E785" t="inlineStr">
        <is>
          <t>Not Started</t>
        </is>
      </c>
    </row>
    <row r="786">
      <c r="A786" t="inlineStr">
        <is>
          <t>REQ-00336</t>
        </is>
      </c>
      <c r="B786" t="inlineStr">
        <is>
          <t>(13) Whether the item is an item of Special Tooling or Special Test Equipment.</t>
        </is>
      </c>
      <c r="C786" t="inlineStr">
        <is>
          <t>No</t>
        </is>
      </c>
      <c r="D786" t="inlineStr">
        <is>
          <t>Medium</t>
        </is>
      </c>
      <c r="E786" t="inlineStr">
        <is>
          <t>Not Started</t>
        </is>
      </c>
    </row>
    <row r="787">
      <c r="A787" t="inlineStr">
        <is>
          <t>REQ-00337</t>
        </is>
      </c>
      <c r="B787" t="inlineStr">
        <is>
          <t>(14) Whether the item is covered by a warranty.</t>
        </is>
      </c>
      <c r="C787" t="inlineStr">
        <is>
          <t>No</t>
        </is>
      </c>
      <c r="D787" t="inlineStr">
        <is>
          <t>Medium</t>
        </is>
      </c>
      <c r="E787" t="inlineStr">
        <is>
          <t>Not Started</t>
        </is>
      </c>
    </row>
    <row r="788">
      <c r="A788" t="inlineStr">
        <is>
          <t>REQ-00339</t>
        </is>
      </c>
      <c r="B788" t="inlineStr">
        <is>
          <t>(1) Unique item identifier of the parent item under paragraph (c)(1) of this clause that                 
contains the embedded subassembly, component, or part.</t>
        </is>
      </c>
      <c r="C788" t="inlineStr">
        <is>
          <t>No</t>
        </is>
      </c>
      <c r="D788" t="inlineStr">
        <is>
          <t>Medium</t>
        </is>
      </c>
      <c r="E788" t="inlineStr">
        <is>
          <t>Not Started</t>
        </is>
      </c>
    </row>
    <row r="789">
      <c r="A789" t="inlineStr">
        <is>
          <t>REQ-00340</t>
        </is>
      </c>
      <c r="B789" t="inlineStr">
        <is>
          <t>(2) Unique item identifier of the embedded subassembly, component, or part.</t>
        </is>
      </c>
      <c r="C789" t="inlineStr">
        <is>
          <t>No</t>
        </is>
      </c>
      <c r="D789" t="inlineStr">
        <is>
          <t>Medium</t>
        </is>
      </c>
      <c r="E789" t="inlineStr">
        <is>
          <t>Not Started</t>
        </is>
      </c>
    </row>
    <row r="790">
      <c r="A790" t="inlineStr">
        <is>
          <t>REQ-00341</t>
        </is>
      </c>
      <c r="B790" t="inlineStr">
        <is>
          <t>(4) Issuing agency code (if concatenated unique item                
identifier is used).**</t>
        </is>
      </c>
      <c r="C790" t="inlineStr">
        <is>
          <t>No</t>
        </is>
      </c>
      <c r="D790" t="inlineStr">
        <is>
          <t>Medium</t>
        </is>
      </c>
      <c r="E790" t="inlineStr">
        <is>
          <t>Not Started</t>
        </is>
      </c>
    </row>
    <row r="791">
      <c r="A791" t="inlineStr">
        <is>
          <t>REQ-00342</t>
        </is>
      </c>
      <c r="B791" t="inlineStr">
        <is>
          <t>(5) identifier (if concatenated unique item identifier is used).**                Enterprise</t>
        </is>
      </c>
      <c r="C791" t="inlineStr">
        <is>
          <t>No</t>
        </is>
      </c>
      <c r="D791" t="inlineStr">
        <is>
          <t>Medium</t>
        </is>
      </c>
      <c r="E791" t="inlineStr">
        <is>
          <t>Not Started</t>
        </is>
      </c>
    </row>
    <row r="792">
      <c r="A792" t="inlineStr">
        <is>
          <t>REQ-00343</t>
        </is>
      </c>
      <c r="B792" t="inlineStr">
        <is>
          <t>(6) Original part number (if there is serialization within the original part number).**</t>
        </is>
      </c>
      <c r="C792" t="inlineStr">
        <is>
          <t>No</t>
        </is>
      </c>
      <c r="D792" t="inlineStr">
        <is>
          <t>Medium</t>
        </is>
      </c>
      <c r="E792" t="inlineStr">
        <is>
          <t>Not Started</t>
        </is>
      </c>
    </row>
    <row r="793">
      <c r="A793" t="inlineStr">
        <is>
          <t>REQ-00344</t>
        </is>
      </c>
      <c r="B793" t="inlineStr">
        <is>
          <t>(7) or batch number (if there is serialization within the lot or batch number).**                Lot 
DRAFT</t>
        </is>
      </c>
      <c r="C793" t="inlineStr">
        <is>
          <t>No</t>
        </is>
      </c>
      <c r="D793" t="inlineStr">
        <is>
          <t>Medium</t>
        </is>
      </c>
      <c r="E793" t="inlineStr">
        <is>
          <t>Not Started</t>
        </is>
      </c>
    </row>
    <row r="794">
      <c r="A794" t="inlineStr">
        <is>
          <t>REQ-00345</t>
        </is>
      </c>
      <c r="B794" t="inlineStr">
        <is>
          <t>(8) Current part number (optional and only if not the same as the original part number).**</t>
        </is>
      </c>
      <c r="C794" t="inlineStr">
        <is>
          <t>No</t>
        </is>
      </c>
      <c r="D794" t="inlineStr">
        <is>
          <t>Low</t>
        </is>
      </c>
      <c r="E794" t="inlineStr">
        <is>
          <t>Not Started</t>
        </is>
      </c>
    </row>
    <row r="795">
      <c r="A795" t="inlineStr">
        <is>
          <t>REQ-00346</t>
        </is>
      </c>
      <c r="B795" t="inlineStr">
        <is>
          <t>(9) Current part number effective date (optional and only if current part number is used).**</t>
        </is>
      </c>
      <c r="C795" t="inlineStr">
        <is>
          <t>No</t>
        </is>
      </c>
      <c r="D795" t="inlineStr">
        <is>
          <t>Low</t>
        </is>
      </c>
      <c r="E795" t="inlineStr">
        <is>
          <t>Not Started</t>
        </is>
      </c>
    </row>
    <row r="796">
      <c r="A796" t="inlineStr">
        <is>
          <t>REQ-00347</t>
        </is>
      </c>
      <c r="B796" t="inlineStr">
        <is>
          <t>(10) Serial number (if concatenated unique item identifier is used).**</t>
        </is>
      </c>
      <c r="C796" t="inlineStr">
        <is>
          <t>No</t>
        </is>
      </c>
      <c r="D796" t="inlineStr">
        <is>
          <t>Medium</t>
        </is>
      </c>
      <c r="E796" t="inlineStr">
        <is>
          <t>Not Started</t>
        </is>
      </c>
    </row>
    <row r="797">
      <c r="A797" t="inlineStr">
        <is>
          <t>REQ-00348</t>
        </is>
      </c>
      <c r="B797" t="inlineStr">
        <is>
          <t>(11) Description.                
** Once per item.</t>
        </is>
      </c>
      <c r="C797" t="inlineStr">
        <is>
          <t>No</t>
        </is>
      </c>
      <c r="D797" t="inlineStr">
        <is>
          <t>Medium</t>
        </is>
      </c>
      <c r="E797" t="inlineStr">
        <is>
          <t>Not Started</t>
        </is>
      </c>
    </row>
    <row r="798">
      <c r="A798" t="inlineStr">
        <is>
          <t>REQ-00354</t>
        </is>
      </c>
      <c r="B798" t="inlineStr">
        <is>
          <t>252.215-7008 Only One Offer. 2022-12
As prescribed at 215.408(3), use the following provision:
ONLY ONE OFFER (DEC 2022)
DRAFT</t>
        </is>
      </c>
      <c r="C798" t="inlineStr">
        <is>
          <t>No</t>
        </is>
      </c>
      <c r="D798" t="inlineStr">
        <is>
          <t>Medium</t>
        </is>
      </c>
      <c r="E798" t="inlineStr">
        <is>
          <t>Not Started</t>
        </is>
      </c>
    </row>
    <row r="799">
      <c r="A799" t="inlineStr">
        <is>
          <t>REQ-00356</t>
        </is>
      </c>
      <c r="B799" t="inlineStr">
        <is>
          <t>(1)  Submit any additional cost or pricing data that is required in order to determine whether 
the price is fair and reasonable (10 U.S.C. 3705) or to comply with the statutory requirement for cer...</t>
        </is>
      </c>
      <c r="C799" t="inlineStr">
        <is>
          <t>Yes</t>
        </is>
      </c>
      <c r="D799" t="inlineStr">
        <is>
          <t>Medium</t>
        </is>
      </c>
      <c r="E799" t="inlineStr">
        <is>
          <t>Not Started</t>
        </is>
      </c>
    </row>
    <row r="800">
      <c r="A800" t="inlineStr">
        <is>
          <t>REQ-00357</t>
        </is>
      </c>
      <c r="B800" t="inlineStr">
        <is>
          <t>(2)  Except as provided in paragraph (b) of this provision, if the acquisition exceeds the 
certified cost or pricing data threshold and an exception to the requirement for certified cost or pricin...</t>
        </is>
      </c>
      <c r="C800" t="inlineStr">
        <is>
          <t>No</t>
        </is>
      </c>
      <c r="D800" t="inlineStr">
        <is>
          <t>Medium</t>
        </is>
      </c>
      <c r="E800" t="inlineStr">
        <is>
          <t>Not Started</t>
        </is>
      </c>
    </row>
    <row r="801">
      <c r="A801" t="inlineStr">
        <is>
          <t>REQ-00359</t>
        </is>
      </c>
      <c r="B801" t="inlineStr">
        <is>
          <t>(2) Analysis provided by Public Works and Government Services Canada to the Canadian 
Commercial Corporation to determine a fair and reasonable price (comparable to the analysis required at 
FAR 15...</t>
        </is>
      </c>
      <c r="C801" t="inlineStr">
        <is>
          <t>Yes</t>
        </is>
      </c>
      <c r="D801" t="inlineStr">
        <is>
          <t>Medium</t>
        </is>
      </c>
      <c r="E801" t="inlineStr">
        <is>
          <t>Not Started</t>
        </is>
      </c>
    </row>
    <row r="802">
      <c r="A802" t="inlineStr">
        <is>
          <t>REQ-00360</t>
        </is>
      </c>
      <c r="B802" t="inlineStr">
        <is>
          <t>(3) Data other than certified cost or pricing data necessary to permit a determination by the U.</t>
        </is>
      </c>
      <c r="C802" t="inlineStr">
        <is>
          <t>No</t>
        </is>
      </c>
      <c r="D802" t="inlineStr">
        <is>
          <t>Medium</t>
        </is>
      </c>
      <c r="E802" t="inlineStr">
        <is>
          <t>Not Started</t>
        </is>
      </c>
    </row>
    <row r="803">
      <c r="A803" t="inlineStr">
        <is>
          <t>REQ-00361</t>
        </is>
      </c>
      <c r="B803" t="inlineStr">
        <is>
          <t>S. Contracting Officer that the proposed price is fair and reasonable [
____ U.S. Contracting Officer to 
].provide description of the data required in accordance with FAR 15.403-3(a)(1) with the n...</t>
        </is>
      </c>
      <c r="C803" t="inlineStr">
        <is>
          <t>Yes</t>
        </is>
      </c>
      <c r="D803" t="inlineStr">
        <is>
          <t>Medium</t>
        </is>
      </c>
      <c r="E803" t="inlineStr">
        <is>
          <t>Not Started</t>
        </is>
      </c>
    </row>
    <row r="804">
      <c r="A804" t="inlineStr">
        <is>
          <t>REQ-00362</t>
        </is>
      </c>
      <c r="B804" t="inlineStr">
        <is>
          <t>(4) As specified in FAR 15.403-3(a)(4), an offeror who does not comply with a requirement 
to submit data that the U.S. Contracting Officer has deemed necessary to determine price reasonableness 
o...</t>
        </is>
      </c>
      <c r="C804" t="inlineStr">
        <is>
          <t>No</t>
        </is>
      </c>
      <c r="D804" t="inlineStr">
        <is>
          <t>Medium</t>
        </is>
      </c>
      <c r="E804" t="inlineStr">
        <is>
          <t>Not Started</t>
        </is>
      </c>
    </row>
    <row r="805">
      <c r="A805" t="inlineStr">
        <is>
          <t>REQ-00364</t>
        </is>
      </c>
      <c r="B805" t="inlineStr">
        <is>
          <t>252.215-7010 ALT I Requirements for Certified Cost or Pricing Data and Data Other 
Than Certified Cost or Pricing Data. (Alternate I) 2024-08
. As prescribed in 215.408(5)(i) and (5)(i)(B), use the...</t>
        </is>
      </c>
      <c r="C805" t="inlineStr">
        <is>
          <t>No</t>
        </is>
      </c>
      <c r="D805" t="inlineStr">
        <is>
          <t>Medium</t>
        </is>
      </c>
      <c r="E805" t="inlineStr">
        <is>
          <t>Not Started</t>
        </is>
      </c>
    </row>
    <row r="806">
      <c r="A806" t="inlineStr">
        <is>
          <t>REQ-00367</t>
        </is>
      </c>
      <c r="B806" t="inlineStr">
        <is>
          <t>15.404-1(b)(2)(ii)(B).
"Uncertified cost data" means the subset of "data other than certified cost or pricing data" (see       
FAR 2.101) that relates to cost.</t>
        </is>
      </c>
      <c r="C806" t="inlineStr">
        <is>
          <t>No</t>
        </is>
      </c>
      <c r="D806" t="inlineStr">
        <is>
          <t>Medium</t>
        </is>
      </c>
      <c r="E806" t="inlineStr">
        <is>
          <t>Not Started</t>
        </is>
      </c>
    </row>
    <row r="807">
      <c r="A807" t="inlineStr">
        <is>
          <t>REQ-00373</t>
        </is>
      </c>
      <c r="B807" t="inlineStr">
        <is>
          <t>(2) The Offeror grants the Contracting Officer or an authorized representative the right to                 
examine, at any time before award, books, records, documents, or other directly pertinen...</t>
        </is>
      </c>
      <c r="C807" t="inlineStr">
        <is>
          <t>No</t>
        </is>
      </c>
      <c r="D807" t="inlineStr">
        <is>
          <t>Medium</t>
        </is>
      </c>
      <c r="E807" t="inlineStr">
        <is>
          <t>Not Started</t>
        </is>
      </c>
    </row>
    <row r="808">
      <c r="A808" t="inlineStr">
        <is>
          <t>REQ-00378</t>
        </is>
      </c>
      <c r="B808" t="inlineStr">
        <is>
          <t>(3) The Offeror is responsible for determining whether a subcontractor qualifies for an                 
exception from the requirement for submission of certified cost or pricing data on the basis...</t>
        </is>
      </c>
      <c r="C808" t="inlineStr">
        <is>
          <t>No</t>
        </is>
      </c>
      <c r="D808" t="inlineStr">
        <is>
          <t>Medium</t>
        </is>
      </c>
      <c r="E808" t="inlineStr">
        <is>
          <t>Not Started</t>
        </is>
      </c>
    </row>
    <row r="809">
      <c r="A809" t="inlineStr">
        <is>
          <t>REQ-00386</t>
        </is>
      </c>
      <c r="B809" t="inlineStr">
        <is>
          <t>(6) .                
Subcontract price evaluation</t>
        </is>
      </c>
      <c r="C809" t="inlineStr">
        <is>
          <t>No</t>
        </is>
      </c>
      <c r="D809" t="inlineStr">
        <is>
          <t>Medium</t>
        </is>
      </c>
      <c r="E809" t="inlineStr">
        <is>
          <t>Not Started</t>
        </is>
      </c>
    </row>
    <row r="810">
      <c r="A810" t="inlineStr">
        <is>
          <t>REQ-00390</t>
        </is>
      </c>
      <c r="B810" t="inlineStr">
        <is>
          <t>(1) Paragraph (c) and (d) of this provision for subcontracts above the threshold for                 
submission of certified cost or pricing data in FAR 15.403-4; and</t>
        </is>
      </c>
      <c r="C810" t="inlineStr">
        <is>
          <t>No</t>
        </is>
      </c>
      <c r="D810" t="inlineStr">
        <is>
          <t>Medium</t>
        </is>
      </c>
      <c r="E810" t="inlineStr">
        <is>
          <t>Not Started</t>
        </is>
      </c>
    </row>
    <row r="811">
      <c r="A811" t="inlineStr">
        <is>
          <t>REQ-00391</t>
        </is>
      </c>
      <c r="B811" t="inlineStr">
        <is>
          <t>(2) Paragraph (d) of this provision for subcontracts exceeding the simplified acquisition                 
threshold defined in FAR part 2.
(End of provision)</t>
        </is>
      </c>
      <c r="C811" t="inlineStr">
        <is>
          <t>No</t>
        </is>
      </c>
      <c r="D811" t="inlineStr">
        <is>
          <t>Medium</t>
        </is>
      </c>
      <c r="E811" t="inlineStr">
        <is>
          <t>Not Started</t>
        </is>
      </c>
    </row>
    <row r="812">
      <c r="A812" t="inlineStr">
        <is>
          <t>REQ-00392</t>
        </is>
      </c>
      <c r="B812" t="inlineStr">
        <is>
          <t>252.232-7006 Wide Area WorkFlow Payment Instructions. 2023-01
DRAFT</t>
        </is>
      </c>
      <c r="C812" t="inlineStr">
        <is>
          <t>No</t>
        </is>
      </c>
      <c r="D812" t="inlineStr">
        <is>
          <t>Medium</t>
        </is>
      </c>
      <c r="E812" t="inlineStr">
        <is>
          <t>Not Started</t>
        </is>
      </c>
    </row>
    <row r="813">
      <c r="A813" t="inlineStr">
        <is>
          <t>REQ-00398</t>
        </is>
      </c>
      <c r="B813" t="inlineStr">
        <is>
          <t>(2) Be registered to use WAWF at https://wawf.eb.mil/ following the step-by-step procedures                 
for self-registration available at this web site.</t>
        </is>
      </c>
      <c r="C813" t="inlineStr">
        <is>
          <t>No</t>
        </is>
      </c>
      <c r="D813" t="inlineStr">
        <is>
          <t>Medium</t>
        </is>
      </c>
      <c r="E813" t="inlineStr">
        <is>
          <t>Not Started</t>
        </is>
      </c>
    </row>
    <row r="814">
      <c r="A814" t="inlineStr">
        <is>
          <t>REQ-00405</t>
        </is>
      </c>
      <c r="B814" t="inlineStr">
        <is>
          <t>(v) For commercial financing, submit a commercial financing request.</t>
        </is>
      </c>
      <c r="C814" t="inlineStr">
        <is>
          <t>No</t>
        </is>
      </c>
      <c r="D814" t="inlineStr">
        <is>
          <t>Medium</t>
        </is>
      </c>
      <c r="E814" t="inlineStr">
        <is>
          <t>Not Started</t>
        </is>
      </c>
    </row>
    <row r="815">
      <c r="A815" t="inlineStr">
        <is>
          <t>REQ-00406</t>
        </is>
      </c>
      <c r="B815" t="inlineStr">
        <is>
          <t>(2) ) Fast Pay requests are only permitted when Federal Acquisition Regulation (FAR)</t>
        </is>
      </c>
      <c r="C815" t="inlineStr">
        <is>
          <t>No</t>
        </is>
      </c>
      <c r="D815" t="inlineStr">
        <is>
          <t>Medium</t>
        </is>
      </c>
      <c r="E815" t="inlineStr">
        <is>
          <t>Not Started</t>
        </is>
      </c>
    </row>
    <row r="816">
      <c r="A816" t="inlineStr">
        <is>
          <t>REQ-00407</t>
        </is>
      </c>
      <c r="B816" t="inlineStr">
        <is>
          <t>52.213-1 is included in the contract.
      [Note: The Contractor may use a WAWF "combo" document type to create some combinations of 
invoice and receiving report in one step.]</t>
        </is>
      </c>
      <c r="C816" t="inlineStr">
        <is>
          <t>No</t>
        </is>
      </c>
      <c r="D816" t="inlineStr">
        <is>
          <t>Low</t>
        </is>
      </c>
      <c r="E816" t="inlineStr">
        <is>
          <t>Not Started</t>
        </is>
      </c>
    </row>
    <row r="817">
      <c r="A817" t="inlineStr">
        <is>
          <t>REQ-00412</t>
        </is>
      </c>
      <c r="B817" t="inlineStr">
        <is>
          <t>(1) The Contractor may obtain clarification regarding invoicing in WAWF from the                 
following contracting activity's WAWF point of contact.
____
(Contracting Officer: Insert applicabl...</t>
        </is>
      </c>
      <c r="C817" t="inlineStr">
        <is>
          <t>No</t>
        </is>
      </c>
      <c r="D817" t="inlineStr">
        <is>
          <t>Low</t>
        </is>
      </c>
      <c r="E817" t="inlineStr">
        <is>
          <t>Not Started</t>
        </is>
      </c>
    </row>
    <row r="818">
      <c r="A818" t="inlineStr">
        <is>
          <t>REQ-00413</t>
        </is>
      </c>
      <c r="B818" t="inlineStr">
        <is>
          <t>(2) Contact the WAWF helpdesk at 866-618-5988, if assistance is needed.                
(End of clause)</t>
        </is>
      </c>
      <c r="C818" t="inlineStr">
        <is>
          <t>No</t>
        </is>
      </c>
      <c r="D818" t="inlineStr">
        <is>
          <t>Medium</t>
        </is>
      </c>
      <c r="E818" t="inlineStr">
        <is>
          <t>Not Started</t>
        </is>
      </c>
    </row>
    <row r="819">
      <c r="A819" t="inlineStr">
        <is>
          <t>REQ-00414</t>
        </is>
      </c>
      <c r="B819" t="inlineStr">
        <is>
          <t>252.249-7000 Special Termination Costs. 1991-12
As prescribed in 249.501-70, use the following clause:
SPECIAL TERMINATION COSTS (DEC 1991)</t>
        </is>
      </c>
      <c r="C819" t="inlineStr">
        <is>
          <t>No</t>
        </is>
      </c>
      <c r="D819" t="inlineStr">
        <is>
          <t>Medium</t>
        </is>
      </c>
      <c r="E819" t="inlineStr">
        <is>
          <t>Not Started</t>
        </is>
      </c>
    </row>
    <row r="820">
      <c r="A820" t="inlineStr">
        <is>
          <t>REQ-00416</t>
        </is>
      </c>
      <c r="B820" t="inlineStr">
        <is>
          <t>(1) Severance pay, as provided in FAR 31.205-6(g);                
DRAFT</t>
        </is>
      </c>
      <c r="C820" t="inlineStr">
        <is>
          <t>No</t>
        </is>
      </c>
      <c r="D820" t="inlineStr">
        <is>
          <t>Medium</t>
        </is>
      </c>
      <c r="E820" t="inlineStr">
        <is>
          <t>Not Started</t>
        </is>
      </c>
    </row>
    <row r="821">
      <c r="A821" t="inlineStr">
        <is>
          <t>REQ-00417</t>
        </is>
      </c>
      <c r="B821" t="inlineStr">
        <is>
          <t>(2) Reasonable costs continuing after termination, as provided in FAR 31.205-42(b);</t>
        </is>
      </c>
      <c r="C821" t="inlineStr">
        <is>
          <t>No</t>
        </is>
      </c>
      <c r="D821" t="inlineStr">
        <is>
          <t>Medium</t>
        </is>
      </c>
      <c r="E821" t="inlineStr">
        <is>
          <t>Not Started</t>
        </is>
      </c>
    </row>
    <row r="822">
      <c r="A822" t="inlineStr">
        <is>
          <t>REQ-00418</t>
        </is>
      </c>
      <c r="B822" t="inlineStr">
        <is>
          <t>(3) Settlement of expenses, as provided in FAR 31.205-42(g);</t>
        </is>
      </c>
      <c r="C822" t="inlineStr">
        <is>
          <t>No</t>
        </is>
      </c>
      <c r="D822" t="inlineStr">
        <is>
          <t>Medium</t>
        </is>
      </c>
      <c r="E822" t="inlineStr">
        <is>
          <t>Not Started</t>
        </is>
      </c>
    </row>
    <row r="823">
      <c r="A823" t="inlineStr">
        <is>
          <t>REQ-00419</t>
        </is>
      </c>
      <c r="B823" t="inlineStr">
        <is>
          <t>(4) Costs of return of field service personnel from sites, as provided in FAR 31.205-35 and                 
FAR 31.205-46(c); and</t>
        </is>
      </c>
      <c r="C823" t="inlineStr">
        <is>
          <t>No</t>
        </is>
      </c>
      <c r="D823" t="inlineStr">
        <is>
          <t>Medium</t>
        </is>
      </c>
      <c r="E823" t="inlineStr">
        <is>
          <t>Not Started</t>
        </is>
      </c>
    </row>
    <row r="824">
      <c r="A824" t="inlineStr">
        <is>
          <t>REQ-00420</t>
        </is>
      </c>
      <c r="B824" t="inlineStr">
        <is>
          <t>(5) Costs in paragraphs (a)(1), (2), (3), and (4) of this clause to which subcontractors may be                 
entitled in the event of termination.</t>
        </is>
      </c>
      <c r="C824" t="inlineStr">
        <is>
          <t>No</t>
        </is>
      </c>
      <c r="D824" t="inlineStr">
        <is>
          <t>Low</t>
        </is>
      </c>
      <c r="E824" t="inlineStr">
        <is>
          <t>Not Started</t>
        </is>
      </c>
    </row>
    <row r="825">
      <c r="A825" t="inlineStr">
        <is>
          <t>REQ-00425</t>
        </is>
      </c>
      <c r="B825" t="inlineStr">
        <is>
          <t>52.212-2 Evaluation-Commercial Products and Commercial Services. 2021-11
As prescribed in , the Contracting Officer may insert a provision substantially as follows:12.301(c)
Evaluation-Commercial P...</t>
        </is>
      </c>
      <c r="C825" t="inlineStr">
        <is>
          <t>No</t>
        </is>
      </c>
      <c r="D825" t="inlineStr">
        <is>
          <t>Low</t>
        </is>
      </c>
      <c r="E825" t="inlineStr">
        <is>
          <t>Not Started</t>
        </is>
      </c>
    </row>
    <row r="826">
      <c r="A826" t="inlineStr">
        <is>
          <t>REQ-00432</t>
        </is>
      </c>
      <c r="B826" t="inlineStr">
        <is>
          <t>(1)  Exacted from any person under the age of 18 under the menace of any penalty for its 
nonperformance and for which the worker does not offer himself voluntarily; or</t>
        </is>
      </c>
      <c r="C826" t="inlineStr">
        <is>
          <t>No</t>
        </is>
      </c>
      <c r="D826" t="inlineStr">
        <is>
          <t>Medium</t>
        </is>
      </c>
      <c r="E826" t="inlineStr">
        <is>
          <t>Not Started</t>
        </is>
      </c>
    </row>
    <row r="827">
      <c r="A827" t="inlineStr">
        <is>
          <t>REQ-00433</t>
        </is>
      </c>
      <c r="B827" t="inlineStr">
        <is>
          <t>(2)  Performed by any person under the age of 18 pursuant to a contract the enforcement of which can 
be accomplished by process or penalties.
Highest-level owner means the entity that owns or cont...</t>
        </is>
      </c>
      <c r="C827" t="inlineStr">
        <is>
          <t>No</t>
        </is>
      </c>
      <c r="D827" t="inlineStr">
        <is>
          <t>Low</t>
        </is>
      </c>
      <c r="E827" t="inlineStr">
        <is>
          <t>Not Started</t>
        </is>
      </c>
    </row>
    <row r="828">
      <c r="A828" t="inlineStr">
        <is>
          <t>REQ-00435</t>
        </is>
      </c>
      <c r="B828" t="inlineStr">
        <is>
          <t>(1)  PSC 5510, Lumber and Related Basic Wood Materials;</t>
        </is>
      </c>
      <c r="C828" t="inlineStr">
        <is>
          <t>No</t>
        </is>
      </c>
      <c r="D828" t="inlineStr">
        <is>
          <t>Medium</t>
        </is>
      </c>
      <c r="E828" t="inlineStr">
        <is>
          <t>Not Started</t>
        </is>
      </c>
    </row>
    <row r="829">
      <c r="A829" t="inlineStr">
        <is>
          <t>REQ-00436</t>
        </is>
      </c>
      <c r="B829" t="inlineStr">
        <is>
          <t>(2)  Product or Service Group (PSG) 87, Agricultural Supplies;</t>
        </is>
      </c>
      <c r="C829" t="inlineStr">
        <is>
          <t>No</t>
        </is>
      </c>
      <c r="D829" t="inlineStr">
        <is>
          <t>Medium</t>
        </is>
      </c>
      <c r="E829" t="inlineStr">
        <is>
          <t>Not Started</t>
        </is>
      </c>
    </row>
    <row r="830">
      <c r="A830" t="inlineStr">
        <is>
          <t>REQ-00437</t>
        </is>
      </c>
      <c r="B830" t="inlineStr">
        <is>
          <t>(5)  PSC 9410, Crude Grades of Plant Materials;</t>
        </is>
      </c>
      <c r="C830" t="inlineStr">
        <is>
          <t>No</t>
        </is>
      </c>
      <c r="D830" t="inlineStr">
        <is>
          <t>Medium</t>
        </is>
      </c>
      <c r="E830" t="inlineStr">
        <is>
          <t>Not Started</t>
        </is>
      </c>
    </row>
    <row r="831">
      <c r="A831" t="inlineStr">
        <is>
          <t>REQ-00438</t>
        </is>
      </c>
      <c r="B831" t="inlineStr">
        <is>
          <t>(6)  PSC 9430, Miscellaneous Crude Animal Products, Inedible;</t>
        </is>
      </c>
      <c r="C831" t="inlineStr">
        <is>
          <t>No</t>
        </is>
      </c>
      <c r="D831" t="inlineStr">
        <is>
          <t>Medium</t>
        </is>
      </c>
      <c r="E831" t="inlineStr">
        <is>
          <t>Not Started</t>
        </is>
      </c>
    </row>
    <row r="832">
      <c r="A832" t="inlineStr">
        <is>
          <t>REQ-00439</t>
        </is>
      </c>
      <c r="B832" t="inlineStr">
        <is>
          <t>(7)  PSC 9440, Miscellaneous Crude Agricultural and Forestry Products;</t>
        </is>
      </c>
      <c r="C832" t="inlineStr">
        <is>
          <t>No</t>
        </is>
      </c>
      <c r="D832" t="inlineStr">
        <is>
          <t>Medium</t>
        </is>
      </c>
      <c r="E832" t="inlineStr">
        <is>
          <t>Not Started</t>
        </is>
      </c>
    </row>
    <row r="833">
      <c r="A833" t="inlineStr">
        <is>
          <t>REQ-00440</t>
        </is>
      </c>
      <c r="B833" t="inlineStr">
        <is>
          <t>(9)  PSC 9620, Minerals, Natural and Synthetic; and</t>
        </is>
      </c>
      <c r="C833" t="inlineStr">
        <is>
          <t>No</t>
        </is>
      </c>
      <c r="D833" t="inlineStr">
        <is>
          <t>Medium</t>
        </is>
      </c>
      <c r="E833" t="inlineStr">
        <is>
          <t>Not Started</t>
        </is>
      </c>
    </row>
    <row r="834">
      <c r="A834" t="inlineStr">
        <is>
          <t>REQ-00441</t>
        </is>
      </c>
      <c r="B834" t="inlineStr">
        <is>
          <t>(10)  PSC 9630, Additive Metal Materials.
Place of manufacture means the place where an end product is assembled out of components, or 
otherwise made or processed from raw materials into the finis...</t>
        </is>
      </c>
      <c r="C834" t="inlineStr">
        <is>
          <t>No</t>
        </is>
      </c>
      <c r="D834" t="inlineStr">
        <is>
          <t>Low</t>
        </is>
      </c>
      <c r="E834" t="inlineStr">
        <is>
          <t>Not Started</t>
        </is>
      </c>
    </row>
    <row r="835">
      <c r="A835" t="inlineStr">
        <is>
          <t>REQ-00442</t>
        </is>
      </c>
      <c r="B835" t="inlineStr">
        <is>
          <t>(1) 
 Are conducted under contract directly and exclusively with the regional government of southern 
Sudan;</t>
        </is>
      </c>
      <c r="C835" t="inlineStr">
        <is>
          <t>No</t>
        </is>
      </c>
      <c r="D835" t="inlineStr">
        <is>
          <t>Medium</t>
        </is>
      </c>
      <c r="E835" t="inlineStr">
        <is>
          <t>Not Started</t>
        </is>
      </c>
    </row>
    <row r="836">
      <c r="A836" t="inlineStr">
        <is>
          <t>REQ-00443</t>
        </is>
      </c>
      <c r="B836" t="inlineStr">
        <is>
          <t>(2)  Are conducted pursuant to specific authorization from the Office of Foreign Assets Control in the 
Department of the Treasury, or are expressly exempted under Federal law from the requirement ...</t>
        </is>
      </c>
      <c r="C836" t="inlineStr">
        <is>
          <t>No</t>
        </is>
      </c>
      <c r="D836" t="inlineStr">
        <is>
          <t>Medium</t>
        </is>
      </c>
      <c r="E836" t="inlineStr">
        <is>
          <t>Not Started</t>
        </is>
      </c>
    </row>
    <row r="837">
      <c r="A837" t="inlineStr">
        <is>
          <t>REQ-00447</t>
        </is>
      </c>
      <c r="B837" t="inlineStr">
        <is>
          <t>(6)  Have been voluntarily suspended."Sensitive technology"-
DRAFT</t>
        </is>
      </c>
      <c r="C837" t="inlineStr">
        <is>
          <t>No</t>
        </is>
      </c>
      <c r="D837" t="inlineStr">
        <is>
          <t>Medium</t>
        </is>
      </c>
      <c r="E837" t="inlineStr">
        <is>
          <t>Not Started</t>
        </is>
      </c>
    </row>
    <row r="838">
      <c r="A838" t="inlineStr">
        <is>
          <t>REQ-00448</t>
        </is>
      </c>
      <c r="B838" t="inlineStr">
        <is>
          <t>(1)  Means hardware, software, telecommunications equipment, or any other technology that is to be 
used specifically-</t>
        </is>
      </c>
      <c r="C838" t="inlineStr">
        <is>
          <t>No</t>
        </is>
      </c>
      <c r="D838" t="inlineStr">
        <is>
          <t>Medium</t>
        </is>
      </c>
      <c r="E838" t="inlineStr">
        <is>
          <t>Not Started</t>
        </is>
      </c>
    </row>
    <row r="839">
      <c r="A839" t="inlineStr">
        <is>
          <t>REQ-00453</t>
        </is>
      </c>
      <c r="B839" t="inlineStr">
        <is>
          <t>(3)  , as used in this definition, means a veteran as defined in 38 U.S.C. 101Service-disabled veteran</t>
        </is>
      </c>
      <c r="C839" t="inlineStr">
        <is>
          <t>No</t>
        </is>
      </c>
      <c r="D839" t="inlineStr">
        <is>
          <t>Medium</t>
        </is>
      </c>
      <c r="E839" t="inlineStr">
        <is>
          <t>Not Started</t>
        </is>
      </c>
    </row>
    <row r="840">
      <c r="A840" t="inlineStr">
        <is>
          <t>REQ-00458</t>
        </is>
      </c>
      <c r="B840" t="inlineStr">
        <is>
          <t>(2)  , as used in this definition, means business concerns, one of whom directly or indirectly Affiliates
controls or has the power to control the others, or a third party or parties control or hav...</t>
        </is>
      </c>
      <c r="C840" t="inlineStr">
        <is>
          <t>No</t>
        </is>
      </c>
      <c r="D840" t="inlineStr">
        <is>
          <t>Medium</t>
        </is>
      </c>
      <c r="E840" t="inlineStr">
        <is>
          <t>Not Started</t>
        </is>
      </c>
    </row>
    <row r="841">
      <c r="A841" t="inlineStr">
        <is>
          <t>REQ-00461</t>
        </is>
      </c>
      <c r="B841" t="inlineStr">
        <is>
          <t>(2)  The management and daily business operations of which are controlled (as defined at 13.CFR</t>
        </is>
      </c>
      <c r="C841" t="inlineStr">
        <is>
          <t>No</t>
        </is>
      </c>
      <c r="D841" t="inlineStr">
        <is>
          <t>Medium</t>
        </is>
      </c>
      <c r="E841" t="inlineStr">
        <is>
          <t>Not Started</t>
        </is>
      </c>
    </row>
    <row r="842">
      <c r="A842" t="inlineStr">
        <is>
          <t>REQ-00462</t>
        </is>
      </c>
      <c r="B842" t="inlineStr">
        <is>
          <t>124.106) by individuals, who meet the criteria in paragraphs (1)(i) and (ii) of this definition.
Subsidiary means an entity in which more than 50 percent of the entity is owned-</t>
        </is>
      </c>
      <c r="C842" t="inlineStr">
        <is>
          <t>No</t>
        </is>
      </c>
      <c r="D842" t="inlineStr">
        <is>
          <t>Medium</t>
        </is>
      </c>
      <c r="E842" t="inlineStr">
        <is>
          <t>Not Started</t>
        </is>
      </c>
    </row>
    <row r="843">
      <c r="A843" t="inlineStr">
        <is>
          <t>REQ-00463</t>
        </is>
      </c>
      <c r="B843" t="inlineStr">
        <is>
          <t>(1)  Directly by a parent corporation; or</t>
        </is>
      </c>
      <c r="C843" t="inlineStr">
        <is>
          <t>No</t>
        </is>
      </c>
      <c r="D843" t="inlineStr">
        <is>
          <t>Medium</t>
        </is>
      </c>
      <c r="E843" t="inlineStr">
        <is>
          <t>Not Started</t>
        </is>
      </c>
    </row>
    <row r="844">
      <c r="A844" t="inlineStr">
        <is>
          <t>REQ-00465</t>
        </is>
      </c>
      <c r="B844" t="inlineStr">
        <is>
          <t>(1)  Not less than 51 percent of which is owned and controlled by one or more veterans (as defined at 
38 U.S.C. 101(2)) or, in the case of any publicly owned business, not less than 51 percent of ...</t>
        </is>
      </c>
      <c r="C844" t="inlineStr">
        <is>
          <t>No</t>
        </is>
      </c>
      <c r="D844" t="inlineStr">
        <is>
          <t>Medium</t>
        </is>
      </c>
      <c r="E844" t="inlineStr">
        <is>
          <t>Not Started</t>
        </is>
      </c>
    </row>
    <row r="845">
      <c r="A845" t="inlineStr">
        <is>
          <t>REQ-00467</t>
        </is>
      </c>
      <c r="B845" t="inlineStr">
        <is>
          <t>(1)  That is at least 51 percent owned by one or more women; or, in the case of any publicly owned 
business, at least51 percent of the stock of which is owned by one or more women; and</t>
        </is>
      </c>
      <c r="C845" t="inlineStr">
        <is>
          <t>No</t>
        </is>
      </c>
      <c r="D845" t="inlineStr">
        <is>
          <t>Medium</t>
        </is>
      </c>
      <c r="E845" t="inlineStr">
        <is>
          <t>Not Started</t>
        </is>
      </c>
    </row>
    <row r="846">
      <c r="A846" t="inlineStr">
        <is>
          <t>REQ-00479</t>
        </is>
      </c>
      <c r="B846" t="inlineStr">
        <is>
          <t>(4)  . The offeror represents that itSDVOSB concern joint venture eligible under the SDVOSB Program
is,
DRAFT</t>
        </is>
      </c>
      <c r="C846" t="inlineStr">
        <is>
          <t>No</t>
        </is>
      </c>
      <c r="D846" t="inlineStr">
        <is>
          <t>Medium</t>
        </is>
      </c>
      <c r="E846" t="inlineStr">
        <is>
          <t>Not Started</t>
        </is>
      </c>
    </row>
    <row r="847">
      <c r="A847" t="inlineStr">
        <is>
          <t>REQ-00481</t>
        </is>
      </c>
      <c r="B847" t="inlineStr">
        <is>
          <t>(5)  Small disadvantaged business concern. [Complete only if the offeror represented itself as a small 
 The offeror represents that itbusiness concern in paragraph (c)(1) of this provision.]
is,
i...</t>
        </is>
      </c>
      <c r="C847" t="inlineStr">
        <is>
          <t>No</t>
        </is>
      </c>
      <c r="D847" t="inlineStr">
        <is>
          <t>Medium</t>
        </is>
      </c>
      <c r="E847" t="inlineStr">
        <is>
          <t>Not Started</t>
        </is>
      </c>
    </row>
    <row r="848">
      <c r="A848" t="inlineStr">
        <is>
          <t>REQ-00490</t>
        </is>
      </c>
      <c r="B848" t="inlineStr">
        <is>
          <t>(1)  Previous contracts and compliance. The offeror represents that-</t>
        </is>
      </c>
      <c r="C848" t="inlineStr">
        <is>
          <t>No</t>
        </is>
      </c>
      <c r="D848" t="inlineStr">
        <is>
          <t>Medium</t>
        </is>
      </c>
      <c r="E848" t="inlineStr">
        <is>
          <t>Not Started</t>
        </is>
      </c>
    </row>
    <row r="849">
      <c r="A849" t="inlineStr">
        <is>
          <t>REQ-00492</t>
        </is>
      </c>
      <c r="B849" t="inlineStr">
        <is>
          <t>(2) 
 . The offeror represents that-Affirmative Action Compliance</t>
        </is>
      </c>
      <c r="C849" t="inlineStr">
        <is>
          <t>No</t>
        </is>
      </c>
      <c r="D849" t="inlineStr">
        <is>
          <t>Medium</t>
        </is>
      </c>
      <c r="E849" t="inlineStr">
        <is>
          <t>Not Started</t>
        </is>
      </c>
    </row>
    <row r="850">
      <c r="A850" t="inlineStr">
        <is>
          <t>REQ-00496</t>
        </is>
      </c>
      <c r="B850" t="inlineStr">
        <is>
          <t>52.225-1, Buy American-Supplies, is included in this solicitation.)</t>
        </is>
      </c>
      <c r="C850" t="inlineStr">
        <is>
          <t>No</t>
        </is>
      </c>
      <c r="D850" t="inlineStr">
        <is>
          <t>Medium</t>
        </is>
      </c>
      <c r="E850" t="inlineStr">
        <is>
          <t>Not Started</t>
        </is>
      </c>
    </row>
    <row r="851">
      <c r="A851" t="inlineStr">
        <is>
          <t>REQ-00498</t>
        </is>
      </c>
      <c r="B851" t="inlineStr">
        <is>
          <t>(2)  Foreign End Products:
Line Item No. Country of Origin Exceeds 55% domestic content (yes/no)
____ ____ ____
____ ____ ____
____ ____ ____
[ ]List as necessary</t>
        </is>
      </c>
      <c r="C851" t="inlineStr">
        <is>
          <t>No</t>
        </is>
      </c>
      <c r="D851" t="inlineStr">
        <is>
          <t>Medium</t>
        </is>
      </c>
      <c r="E851" t="inlineStr">
        <is>
          <t>Not Started</t>
        </is>
      </c>
    </row>
    <row r="852">
      <c r="A852" t="inlineStr">
        <is>
          <t>REQ-00499</t>
        </is>
      </c>
      <c r="B852" t="inlineStr">
        <is>
          <t>(3)  Domestic end products containing a critical component:
Line Item No. ____
[ ]List as necessary</t>
        </is>
      </c>
      <c r="C852" t="inlineStr">
        <is>
          <t>No</t>
        </is>
      </c>
      <c r="D852" t="inlineStr">
        <is>
          <t>Medium</t>
        </is>
      </c>
      <c r="E852" t="inlineStr">
        <is>
          <t>Not Started</t>
        </is>
      </c>
    </row>
    <row r="853">
      <c r="A853" t="inlineStr">
        <is>
          <t>REQ-00500</t>
        </is>
      </c>
      <c r="B853" t="inlineStr">
        <is>
          <t>(4)  The Government will evaluate offers in accordance with the policies and procedures of FAR 
part  25.</t>
        </is>
      </c>
      <c r="C853" t="inlineStr">
        <is>
          <t>No</t>
        </is>
      </c>
      <c r="D853" t="inlineStr">
        <is>
          <t>Medium</t>
        </is>
      </c>
      <c r="E853" t="inlineStr">
        <is>
          <t>Not Started</t>
        </is>
      </c>
    </row>
    <row r="854">
      <c r="A854" t="inlineStr">
        <is>
          <t>REQ-00501</t>
        </is>
      </c>
      <c r="B854" t="inlineStr">
        <is>
          <t>(1) 
 . (Applies only if the clause at Buy American-Free Trade Agreements-Israeli Trade Act Certificate
FAR 52.225-3, Buy American-Free Trade Agreements-Israeli Trade Act, is included in this solic...</t>
        </is>
      </c>
      <c r="C854" t="inlineStr">
        <is>
          <t>No</t>
        </is>
      </c>
      <c r="D854" t="inlineStr">
        <is>
          <t>Medium</t>
        </is>
      </c>
      <c r="E854" t="inlineStr">
        <is>
          <t>Not Started</t>
        </is>
      </c>
    </row>
    <row r="855">
      <c r="A855" t="inlineStr">
        <is>
          <t>REQ-00505</t>
        </is>
      </c>
      <c r="B855" t="inlineStr">
        <is>
          <t>(v)  The Government will evaluate  in accordance with the policies and procedures of FAR offers
part  25.</t>
        </is>
      </c>
      <c r="C855" t="inlineStr">
        <is>
          <t>No</t>
        </is>
      </c>
      <c r="D855" t="inlineStr">
        <is>
          <t>Medium</t>
        </is>
      </c>
      <c r="E855" t="inlineStr">
        <is>
          <t>Not Started</t>
        </is>
      </c>
    </row>
    <row r="856">
      <c r="A856" t="inlineStr">
        <is>
          <t>REQ-00506</t>
        </is>
      </c>
      <c r="B856" t="inlineStr">
        <is>
          <t>(2)  . If Alternate II to Buy American-Free Trade Agreements-Israeli Trade Act Certificate, Alternate II
the clause at FAR 52.225-3 is included in this solicitation, substitute the following paragr...</t>
        </is>
      </c>
      <c r="C856" t="inlineStr">
        <is>
          <t>No</t>
        </is>
      </c>
      <c r="D856" t="inlineStr">
        <is>
          <t>Medium</t>
        </is>
      </c>
      <c r="E856" t="inlineStr">
        <is>
          <t>Not Started</t>
        </is>
      </c>
    </row>
    <row r="857">
      <c r="A857" t="inlineStr">
        <is>
          <t>REQ-00508</t>
        </is>
      </c>
      <c r="B857" t="inlineStr">
        <is>
          <t>(3)  . If Alternate III Buy American-Free Trade Agreements-Israeli Trade Act Certificate, Alternate III
to the clause at 52.225-3 is included in this solicitation, substitute the following paragrap...</t>
        </is>
      </c>
      <c r="C857" t="inlineStr">
        <is>
          <t>No</t>
        </is>
      </c>
      <c r="D857" t="inlineStr">
        <is>
          <t>Medium</t>
        </is>
      </c>
      <c r="E857" t="inlineStr">
        <is>
          <t>Not Started</t>
        </is>
      </c>
    </row>
    <row r="858">
      <c r="A858" t="inlineStr">
        <is>
          <t>REQ-00511</t>
        </is>
      </c>
      <c r="B858" t="inlineStr">
        <is>
          <t>(4)  . (Applies only if the clause at FAR 52.225-5, Trade Agreements, is Trade Agreements Certificate
included in this solicitation.)</t>
        </is>
      </c>
      <c r="C858" t="inlineStr">
        <is>
          <t>No</t>
        </is>
      </c>
      <c r="D858" t="inlineStr">
        <is>
          <t>Medium</t>
        </is>
      </c>
      <c r="E858" t="inlineStr">
        <is>
          <t>Not Started</t>
        </is>
      </c>
    </row>
    <row r="859">
      <c r="A859" t="inlineStr">
        <is>
          <t>REQ-00515</t>
        </is>
      </c>
      <c r="B859" t="inlineStr">
        <is>
          <t>(2) 
 Have,
 have not, within a three-year period preceding this offer, been convicted of or had a civil judgment 
rendered against them for: commission of fraud or a criminal offense in connection...</t>
        </is>
      </c>
      <c r="C859" t="inlineStr">
        <is>
          <t>No</t>
        </is>
      </c>
      <c r="D859" t="inlineStr">
        <is>
          <t>Medium</t>
        </is>
      </c>
      <c r="E859" t="inlineStr">
        <is>
          <t>Not Started</t>
        </is>
      </c>
    </row>
    <row r="860">
      <c r="A860" t="inlineStr">
        <is>
          <t>REQ-00517</t>
        </is>
      </c>
      <c r="B860" t="inlineStr">
        <is>
          <t>(3) 
 Are,
 are not presently indicted for, or otherwise criminally or civilly charged by a Government entity with, 
commission of any of these offenses enumerated in paragraph (h)(2) of this claus...</t>
        </is>
      </c>
      <c r="C860" t="inlineStr">
        <is>
          <t>No</t>
        </is>
      </c>
      <c r="D860" t="inlineStr">
        <is>
          <t>Medium</t>
        </is>
      </c>
      <c r="E860" t="inlineStr">
        <is>
          <t>Not Started</t>
        </is>
      </c>
    </row>
    <row r="861">
      <c r="A861" t="inlineStr">
        <is>
          <t>REQ-00518</t>
        </is>
      </c>
      <c r="B861" t="inlineStr">
        <is>
          <t>(4) 
 Have,
 have not, within a three-year period preceding this offer, been notified of any delinquent Federal taxes 
in an amount that exceeds the threshold at 9.104-5(a)(2) for which the liabili...</t>
        </is>
      </c>
      <c r="C861" t="inlineStr">
        <is>
          <t>No</t>
        </is>
      </c>
      <c r="D861" t="inlineStr">
        <is>
          <t>Medium</t>
        </is>
      </c>
      <c r="E861" t="inlineStr">
        <is>
          <t>Not Started</t>
        </is>
      </c>
    </row>
    <row r="862">
      <c r="A862" t="inlineStr">
        <is>
          <t>REQ-00521</t>
        </is>
      </c>
      <c r="B862" t="inlineStr">
        <is>
          <t>(1)  Listed end products.
Listed End Product Listed Countries of Origin
____ ____
____ ____</t>
        </is>
      </c>
      <c r="C862" t="inlineStr">
        <is>
          <t>No</t>
        </is>
      </c>
      <c r="D862" t="inlineStr">
        <is>
          <t>Medium</t>
        </is>
      </c>
      <c r="E862" t="inlineStr">
        <is>
          <t>Not Started</t>
        </is>
      </c>
    </row>
    <row r="863">
      <c r="A863" t="inlineStr">
        <is>
          <t>REQ-00524</t>
        </is>
      </c>
      <c r="B863" t="inlineStr">
        <is>
          <t>(1) 
In the United States (Check this box if the total anticipated price of offered end products manufactured 
in the United States exceeds the total anticipated price of offered end products manuf...</t>
        </is>
      </c>
      <c r="C863" t="inlineStr">
        <is>
          <t>No</t>
        </is>
      </c>
      <c r="D863" t="inlineStr">
        <is>
          <t>Medium</t>
        </is>
      </c>
      <c r="E863" t="inlineStr">
        <is>
          <t>Not Started</t>
        </is>
      </c>
    </row>
    <row r="864">
      <c r="A864" t="inlineStr">
        <is>
          <t>REQ-00526</t>
        </is>
      </c>
      <c r="B864" t="inlineStr">
        <is>
          <t>22.1003-4(c)(1). The offeror
does
does not certify that-</t>
        </is>
      </c>
      <c r="C864" t="inlineStr">
        <is>
          <t>No</t>
        </is>
      </c>
      <c r="D864" t="inlineStr">
        <is>
          <t>Medium</t>
        </is>
      </c>
      <c r="E864" t="inlineStr">
        <is>
          <t>Not Started</t>
        </is>
      </c>
    </row>
    <row r="865">
      <c r="A865" t="inlineStr">
        <is>
          <t>REQ-00528</t>
        </is>
      </c>
      <c r="B865" t="inlineStr">
        <is>
          <t>22.1003-4(d)(1). The offeror
does
does not certify that-</t>
        </is>
      </c>
      <c r="C865" t="inlineStr">
        <is>
          <t>No</t>
        </is>
      </c>
      <c r="D865" t="inlineStr">
        <is>
          <t>Medium</t>
        </is>
      </c>
      <c r="E865" t="inlineStr">
        <is>
          <t>Not Started</t>
        </is>
      </c>
    </row>
    <row r="866">
      <c r="A866" t="inlineStr">
        <is>
          <t>REQ-00530</t>
        </is>
      </c>
      <c r="B866" t="inlineStr">
        <is>
          <t>(3)  If paragraph (k)(1) or (k)(2) of this clause applies-</t>
        </is>
      </c>
      <c r="C866" t="inlineStr">
        <is>
          <t>No</t>
        </is>
      </c>
      <c r="D866" t="inlineStr">
        <is>
          <t>Medium</t>
        </is>
      </c>
      <c r="E866" t="inlineStr">
        <is>
          <t>Not Started</t>
        </is>
      </c>
    </row>
    <row r="867">
      <c r="A867" t="inlineStr">
        <is>
          <t>REQ-00534</t>
        </is>
      </c>
      <c r="B867" t="inlineStr">
        <is>
          <t>(2)  The TIN may be used by the Government to collect and report on any delinquent amounts arising 
out of the offeror's relationship with the Government (31 U.S.C. 7701(c)(3)). If the resulting co...</t>
        </is>
      </c>
      <c r="C867" t="inlineStr">
        <is>
          <t>No</t>
        </is>
      </c>
      <c r="D867" t="inlineStr">
        <is>
          <t>Low</t>
        </is>
      </c>
      <c r="E867" t="inlineStr">
        <is>
          <t>Not Started</t>
        </is>
      </c>
    </row>
    <row r="868">
      <c r="A868" t="inlineStr">
        <is>
          <t>REQ-00537</t>
        </is>
      </c>
      <c r="B868" t="inlineStr">
        <is>
          <t>(4) 
 .Type of organization
Sole proprietorship;
Partnership;
Corporate entity (not tax-exempt);
Corporate entity (tax-exempt);
Government entity (Federal, State, or local);
Foreign government;
Int...</t>
        </is>
      </c>
      <c r="C868" t="inlineStr">
        <is>
          <t>No</t>
        </is>
      </c>
      <c r="D868" t="inlineStr">
        <is>
          <t>Medium</t>
        </is>
      </c>
      <c r="E868" t="inlineStr">
        <is>
          <t>Not Started</t>
        </is>
      </c>
    </row>
    <row r="869">
      <c r="A869" t="inlineStr">
        <is>
          <t>REQ-00538</t>
        </is>
      </c>
      <c r="B869" t="inlineStr">
        <is>
          <t>(5)  .Common parent
Offeror is not owned or controlled by a common parent;
Name and TIN of common parent:
Name .____
TIN .____</t>
        </is>
      </c>
      <c r="C869" t="inlineStr">
        <is>
          <t>No</t>
        </is>
      </c>
      <c r="D869" t="inlineStr">
        <is>
          <t>Medium</t>
        </is>
      </c>
      <c r="E869" t="inlineStr">
        <is>
          <t>Not Started</t>
        </is>
      </c>
    </row>
    <row r="870">
      <c r="A870" t="inlineStr">
        <is>
          <t>REQ-00540</t>
        </is>
      </c>
      <c r="B870" t="inlineStr">
        <is>
          <t>(1)  Government agencies are not permitted to use appropriated (or otherwise made available) funds 
for contracts with either an inverted domestic corporation, or a subsidiary of an inverted domest...</t>
        </is>
      </c>
      <c r="C870" t="inlineStr">
        <is>
          <t>No</t>
        </is>
      </c>
      <c r="D870" t="inlineStr">
        <is>
          <t>Medium</t>
        </is>
      </c>
      <c r="E870" t="inlineStr">
        <is>
          <t>Not Started</t>
        </is>
      </c>
    </row>
    <row r="871">
      <c r="A871" t="inlineStr">
        <is>
          <t>REQ-00549</t>
        </is>
      </c>
      <c r="B871" t="inlineStr">
        <is>
          <t>(p)  . (Applies in all solicitations when there is a requirement to be Ownership or Control of Offeror
registered in SAM or a requirement to have a unique entity identifier in the solicitation).</t>
        </is>
      </c>
      <c r="C871" t="inlineStr">
        <is>
          <t>No</t>
        </is>
      </c>
      <c r="D871" t="inlineStr">
        <is>
          <t>Medium</t>
        </is>
      </c>
      <c r="E871" t="inlineStr">
        <is>
          <t>Not Started</t>
        </is>
      </c>
    </row>
    <row r="872">
      <c r="A872" t="inlineStr">
        <is>
          <t>REQ-00551</t>
        </is>
      </c>
      <c r="B872" t="inlineStr">
        <is>
          <t>(2)  If the Offeror indicates "has" in paragraph (p)(1) of this provision, enter the following information:
Immediate owner CAGE code: .____
Immediate owner legal name: .____
(Do not use a "doing b...</t>
        </is>
      </c>
      <c r="C872" t="inlineStr">
        <is>
          <t>No</t>
        </is>
      </c>
      <c r="D872" t="inlineStr">
        <is>
          <t>Medium</t>
        </is>
      </c>
      <c r="E872" t="inlineStr">
        <is>
          <t>Not Started</t>
        </is>
      </c>
    </row>
    <row r="873">
      <c r="A873" t="inlineStr">
        <is>
          <t>REQ-00552</t>
        </is>
      </c>
      <c r="B873" t="inlineStr">
        <is>
          <t>(3)  If the Offeror indicates "yes" in paragraph (p)(2) of this provision, indicating that the immediate 
owner is owned or controlled by another entity, then enter the following information:
Highe...</t>
        </is>
      </c>
      <c r="C873" t="inlineStr">
        <is>
          <t>No</t>
        </is>
      </c>
      <c r="D873" t="inlineStr">
        <is>
          <t>Medium</t>
        </is>
      </c>
      <c r="E873" t="inlineStr">
        <is>
          <t>Not Started</t>
        </is>
      </c>
    </row>
    <row r="874">
      <c r="A874" t="inlineStr">
        <is>
          <t>REQ-00554</t>
        </is>
      </c>
      <c r="B874" t="inlineStr">
        <is>
          <t>(1)  As required by sections 744 and 745 of Division E of the Consolidated and Further Continuing 
Appropriations Act, 2015 (Pub. L. 113-235), and similar provisions, if contained in subsequent 
ap...</t>
        </is>
      </c>
      <c r="C874" t="inlineStr">
        <is>
          <t>Yes</t>
        </is>
      </c>
      <c r="D874" t="inlineStr">
        <is>
          <t>Medium</t>
        </is>
      </c>
      <c r="E874" t="inlineStr">
        <is>
          <t>Not Started</t>
        </is>
      </c>
    </row>
    <row r="875">
      <c r="A875" t="inlineStr">
        <is>
          <t>REQ-00557</t>
        </is>
      </c>
      <c r="B875" t="inlineStr">
        <is>
          <t>(r)   (Applies in all solicitations that include the provision at 52.204-16, Predecessor of Offeror.
Commercial and Government Entity Code Reporting.)</t>
        </is>
      </c>
      <c r="C875" t="inlineStr">
        <is>
          <t>No</t>
        </is>
      </c>
      <c r="D875" t="inlineStr">
        <is>
          <t>Medium</t>
        </is>
      </c>
      <c r="E875" t="inlineStr">
        <is>
          <t>Not Started</t>
        </is>
      </c>
    </row>
    <row r="876">
      <c r="A876" t="inlineStr">
        <is>
          <t>REQ-00558</t>
        </is>
      </c>
      <c r="B876" t="inlineStr">
        <is>
          <t>(1)  The Offeror represents that it
 is or
DRAFT</t>
        </is>
      </c>
      <c r="C876" t="inlineStr">
        <is>
          <t>No</t>
        </is>
      </c>
      <c r="D876" t="inlineStr">
        <is>
          <t>Medium</t>
        </is>
      </c>
      <c r="E876" t="inlineStr">
        <is>
          <t>Not Started</t>
        </is>
      </c>
    </row>
    <row r="877">
      <c r="A877" t="inlineStr">
        <is>
          <t>REQ-00560</t>
        </is>
      </c>
      <c r="B877" t="inlineStr">
        <is>
          <t>(2)  If the Offeror has indicated "is" in paragraph (r)(1) of this provision, enter the following 
information for all predecessors that held a Federal contract or grant within the last three years...</t>
        </is>
      </c>
      <c r="C877" t="inlineStr">
        <is>
          <t>No</t>
        </is>
      </c>
      <c r="D877" t="inlineStr">
        <is>
          <t>Medium</t>
        </is>
      </c>
      <c r="E877" t="inlineStr">
        <is>
          <t>Not Started</t>
        </is>
      </c>
    </row>
    <row r="878">
      <c r="A878" t="inlineStr">
        <is>
          <t>REQ-00561</t>
        </is>
      </c>
      <c r="B878" t="inlineStr">
        <is>
          <t>(t)  . Applies in all solicitations Public Disclosure of Greenhouse Gas Emissions and Reduction Goals
that require offerors to register in SAM (12.301(d)(1)).</t>
        </is>
      </c>
      <c r="C878" t="inlineStr">
        <is>
          <t>No</t>
        </is>
      </c>
      <c r="D878" t="inlineStr">
        <is>
          <t>Medium</t>
        </is>
      </c>
      <c r="E878" t="inlineStr">
        <is>
          <t>Not Started</t>
        </is>
      </c>
    </row>
    <row r="879">
      <c r="A879" t="inlineStr">
        <is>
          <t>REQ-00565</t>
        </is>
      </c>
      <c r="B879" t="inlineStr">
        <is>
          <t>(1)  In accordance with section 743 of Division E, Title VII, of the Consolidated and Further 
Continuing Appropriations Act, 2015 (Pub. L. 113-235) and its successor provisions in subsequent 
appr...</t>
        </is>
      </c>
      <c r="C879" t="inlineStr">
        <is>
          <t>No</t>
        </is>
      </c>
      <c r="D879" t="inlineStr">
        <is>
          <t>Medium</t>
        </is>
      </c>
      <c r="E879" t="inlineStr">
        <is>
          <t>Not Started</t>
        </is>
      </c>
    </row>
    <row r="880">
      <c r="A880" t="inlineStr">
        <is>
          <t>REQ-00566</t>
        </is>
      </c>
      <c r="B880" t="inlineStr">
        <is>
          <t>(2)  The prohibition in paragraph (u)(1) of this provision does not contravene requirements applicable 
to Standard Form 312 (Classified Information Nondisclosure Agreement), Form 4414 (Sensitive 
...</t>
        </is>
      </c>
      <c r="C880" t="inlineStr">
        <is>
          <t>No</t>
        </is>
      </c>
      <c r="D880" t="inlineStr">
        <is>
          <t>Medium</t>
        </is>
      </c>
      <c r="E880" t="inlineStr">
        <is>
          <t>Not Started</t>
        </is>
      </c>
    </row>
    <row r="881">
      <c r="A881" t="inlineStr">
        <is>
          <t>REQ-00572</t>
        </is>
      </c>
      <c r="B881" t="inlineStr">
        <is>
          <t>(12) (Complete if the offeror has represented itself as disadvantaged in paragraph (c)(5) of this 
provision.)
Black American.
Hispanic American.
DRAFT</t>
        </is>
      </c>
      <c r="C881" t="inlineStr">
        <is>
          <t>No</t>
        </is>
      </c>
      <c r="D881" t="inlineStr">
        <is>
          <t>Medium</t>
        </is>
      </c>
      <c r="E881" t="inlineStr">
        <is>
          <t>Not Started</t>
        </is>
      </c>
    </row>
    <row r="882">
      <c r="A882" t="inlineStr">
        <is>
          <t>REQ-00574</t>
        </is>
      </c>
      <c r="B882" t="inlineStr">
        <is>
          <t>52.212-4 ALT I Contract Terms and Conditions-Commercial Products and 
Commercial Services. (Alternate I) 2021-11
Alternate I . When a time-and-materials or labor-hour contract is contemplated, subs...</t>
        </is>
      </c>
      <c r="C882" t="inlineStr">
        <is>
          <t>No</t>
        </is>
      </c>
      <c r="D882" t="inlineStr">
        <is>
          <t>Medium</t>
        </is>
      </c>
      <c r="E882" t="inlineStr">
        <is>
          <t>Not Started</t>
        </is>
      </c>
    </row>
    <row r="883">
      <c r="A883" t="inlineStr">
        <is>
          <t>REQ-00577</t>
        </is>
      </c>
      <c r="B883" t="inlineStr">
        <is>
          <t>(3) Unless otherwise specified in the contract, the Government will accept or reject services and 
materials at the place of delivery as promptly as practicable after delivery, and they will be pre...</t>
        </is>
      </c>
      <c r="C883" t="inlineStr">
        <is>
          <t>No</t>
        </is>
      </c>
      <c r="D883" t="inlineStr">
        <is>
          <t>Medium</t>
        </is>
      </c>
      <c r="E883" t="inlineStr">
        <is>
          <t>Not Started</t>
        </is>
      </c>
    </row>
    <row r="884">
      <c r="A884" t="inlineStr">
        <is>
          <t>REQ-00579</t>
        </is>
      </c>
      <c r="B884" t="inlineStr">
        <is>
          <t>(5)(i) If the Contractor fails to proceed with reasonable promptness to perform required 
replacement or correction, and if the replacement or correction can be performed within the ceiling price 
...</t>
        </is>
      </c>
      <c r="C884" t="inlineStr">
        <is>
          <t>Yes</t>
        </is>
      </c>
      <c r="D884" t="inlineStr">
        <is>
          <t>Low</t>
        </is>
      </c>
      <c r="E884" t="inlineStr">
        <is>
          <t>Not Started</t>
        </is>
      </c>
    </row>
    <row r="885">
      <c r="A885" t="inlineStr">
        <is>
          <t>REQ-00581</t>
        </is>
      </c>
      <c r="B885" t="inlineStr">
        <is>
          <t>(6) Notwithstanding paragraphs (a)(4) and (5) above, the Government may at any time require the 
Contractor to remedy by correction or replacement, without cost to the Government, any failure by th...</t>
        </is>
      </c>
      <c r="C885" t="inlineStr">
        <is>
          <t>No</t>
        </is>
      </c>
      <c r="D885" t="inlineStr">
        <is>
          <t>Low</t>
        </is>
      </c>
      <c r="E885" t="inlineStr">
        <is>
          <t>Not Started</t>
        </is>
      </c>
    </row>
    <row r="886">
      <c r="A886" t="inlineStr">
        <is>
          <t>REQ-00583</t>
        </is>
      </c>
      <c r="B886" t="inlineStr">
        <is>
          <t>(7) This clause applies in the same manner and to the same extent to corrected or replacement 
materials or services as to materials and services originally delivered under this contract.</t>
        </is>
      </c>
      <c r="C886" t="inlineStr">
        <is>
          <t>No</t>
        </is>
      </c>
      <c r="D886" t="inlineStr">
        <is>
          <t>Medium</t>
        </is>
      </c>
      <c r="E886" t="inlineStr">
        <is>
          <t>Not Started</t>
        </is>
      </c>
    </row>
    <row r="887">
      <c r="A887" t="inlineStr">
        <is>
          <t>REQ-00584</t>
        </is>
      </c>
      <c r="B887" t="inlineStr">
        <is>
          <t>(8) The Contractor has no obligation or liability under this contract to correct or replace materials 
and services that at time of delivery do not meet contract requirements, except as provided in...</t>
        </is>
      </c>
      <c r="C887" t="inlineStr">
        <is>
          <t>No</t>
        </is>
      </c>
      <c r="D887" t="inlineStr">
        <is>
          <t>Low</t>
        </is>
      </c>
      <c r="E887" t="inlineStr">
        <is>
          <t>Not Started</t>
        </is>
      </c>
    </row>
    <row r="888">
      <c r="A888" t="inlineStr">
        <is>
          <t>REQ-00592</t>
        </is>
      </c>
      <c r="B888" t="inlineStr">
        <is>
          <t>(1) Has made payments for materials in accordance with the terms and conditions of the 
agreement or invoice; or</t>
        </is>
      </c>
      <c r="C888" t="inlineStr">
        <is>
          <t>No</t>
        </is>
      </c>
      <c r="D888" t="inlineStr">
        <is>
          <t>Medium</t>
        </is>
      </c>
      <c r="E888" t="inlineStr">
        <is>
          <t>Not Started</t>
        </is>
      </c>
    </row>
    <row r="889">
      <c r="A889" t="inlineStr">
        <is>
          <t>REQ-00594</t>
        </is>
      </c>
      <c r="B889" t="inlineStr">
        <is>
          <t>(1) Obtain materials at the most advantageous prices available with due regard to securing 
prompt delivery of satisfactory materials; and</t>
        </is>
      </c>
      <c r="C889" t="inlineStr">
        <is>
          <t>No</t>
        </is>
      </c>
      <c r="D889" t="inlineStr">
        <is>
          <t>Medium</t>
        </is>
      </c>
      <c r="E889" t="inlineStr">
        <is>
          <t>Not Started</t>
        </is>
      </c>
    </row>
    <row r="890">
      <c r="A890" t="inlineStr">
        <is>
          <t>REQ-00595</t>
        </is>
      </c>
      <c r="B890" t="inlineStr">
        <is>
          <t>(2) Give credit to the Government for cash and trade discounts, rebates, scrap, 
commissions, and other amounts that are identifiable to the contract.
(D) . Unless listed below, other direct and in...</t>
        </is>
      </c>
      <c r="C890" t="inlineStr">
        <is>
          <t>No</t>
        </is>
      </c>
      <c r="D890" t="inlineStr">
        <is>
          <t>Medium</t>
        </is>
      </c>
      <c r="E890" t="inlineStr">
        <is>
          <t>Not Started</t>
        </is>
      </c>
    </row>
    <row r="891">
      <c r="A891" t="inlineStr">
        <is>
          <t>REQ-00611</t>
        </is>
      </c>
      <c r="B891" t="inlineStr">
        <is>
          <t>(8) . The Government will make payment in accordance with the Prompt Prompt payment
Payment Act (31 U.S.C. 3903) and prompt payment regulations at .5 CFR part 1315</t>
        </is>
      </c>
      <c r="C891" t="inlineStr">
        <is>
          <t>No</t>
        </is>
      </c>
      <c r="D891" t="inlineStr">
        <is>
          <t>Medium</t>
        </is>
      </c>
      <c r="E891" t="inlineStr">
        <is>
          <t>Not Started</t>
        </is>
      </c>
    </row>
    <row r="892">
      <c r="A892" t="inlineStr">
        <is>
          <t>REQ-00612</t>
        </is>
      </c>
      <c r="B892" t="inlineStr">
        <is>
          <t>(9) . If the Government makes payment by EFT, see 52.212-5(b) Electronic Funds Transfer (EFT)
for the appropriate EFT clause.</t>
        </is>
      </c>
      <c r="C892" t="inlineStr">
        <is>
          <t>No</t>
        </is>
      </c>
      <c r="D892" t="inlineStr">
        <is>
          <t>Medium</t>
        </is>
      </c>
      <c r="E892" t="inlineStr">
        <is>
          <t>Not Started</t>
        </is>
      </c>
    </row>
    <row r="893">
      <c r="A893" t="inlineStr">
        <is>
          <t>REQ-00616</t>
        </is>
      </c>
      <c r="B893" t="inlineStr">
        <is>
          <t>52.212-5
Contract Terms and Conditions Required To Implement 
Statutes or Executive Orders-Commercial Products and 
Commercial Services.
2024-05
As prescribed in , insert the following clause: 12.3...</t>
        </is>
      </c>
      <c r="C893" t="inlineStr">
        <is>
          <t>Yes</t>
        </is>
      </c>
      <c r="D893" t="inlineStr">
        <is>
          <t>Medium</t>
        </is>
      </c>
      <c r="E893" t="inlineStr">
        <is>
          <t>Not Started</t>
        </is>
      </c>
    </row>
    <row r="894">
      <c r="A894" t="inlineStr">
        <is>
          <t>REQ-00619</t>
        </is>
      </c>
      <c r="B894" t="inlineStr">
        <is>
          <t>(1)  52.203-19, Prohibition on Requiring Certain Internal Confidentiality Agreements or Statements 
 (section 743 of Division E, Title VII, of the Consolidated and Further Continuing (JAN 2017)
App...</t>
        </is>
      </c>
      <c r="C894" t="inlineStr">
        <is>
          <t>No</t>
        </is>
      </c>
      <c r="D894" t="inlineStr">
        <is>
          <t>Medium</t>
        </is>
      </c>
      <c r="E894" t="inlineStr">
        <is>
          <t>Not Started</t>
        </is>
      </c>
    </row>
    <row r="895">
      <c r="A895" t="inlineStr">
        <is>
          <t>REQ-00620</t>
        </is>
      </c>
      <c r="B895" t="inlineStr">
        <is>
          <t>(2)  52.204-23, Prohibition on Contracting for Hardware, Software, and Services Developed or 
Provided by Kaspersky Lab Covered Entities  (Section 1634 of Pub. L. 115-91).(DEC 2023)</t>
        </is>
      </c>
      <c r="C895" t="inlineStr">
        <is>
          <t>No</t>
        </is>
      </c>
      <c r="D895" t="inlineStr">
        <is>
          <t>Medium</t>
        </is>
      </c>
      <c r="E895" t="inlineStr">
        <is>
          <t>Not Started</t>
        </is>
      </c>
    </row>
    <row r="896">
      <c r="A896" t="inlineStr">
        <is>
          <t>REQ-00621</t>
        </is>
      </c>
      <c r="B896" t="inlineStr">
        <is>
          <t>(3)  52.204-25, Prohibition on Contracting for Certain Telecommunications and Video Surveillance 
Services or Equipment.  (Section 889(a)(1)(A) of Pub. L. 115-232).(NOV 2021)</t>
        </is>
      </c>
      <c r="C896" t="inlineStr">
        <is>
          <t>No</t>
        </is>
      </c>
      <c r="D896" t="inlineStr">
        <is>
          <t>Medium</t>
        </is>
      </c>
      <c r="E896" t="inlineStr">
        <is>
          <t>Not Started</t>
        </is>
      </c>
    </row>
    <row r="897">
      <c r="A897" t="inlineStr">
        <is>
          <t>REQ-00622</t>
        </is>
      </c>
      <c r="B897" t="inlineStr">
        <is>
          <t>(4)  52.209-10, Prohibition on Contracting with Inverted Domestic Corporations .(NOV 2015)</t>
        </is>
      </c>
      <c r="C897" t="inlineStr">
        <is>
          <t>No</t>
        </is>
      </c>
      <c r="D897" t="inlineStr">
        <is>
          <t>Medium</t>
        </is>
      </c>
      <c r="E897" t="inlineStr">
        <is>
          <t>Not Started</t>
        </is>
      </c>
    </row>
    <row r="898">
      <c r="A898" t="inlineStr">
        <is>
          <t>REQ-00625</t>
        </is>
      </c>
      <c r="B898" t="inlineStr">
        <is>
          <t>(7)    52.233-4, Applicable Law for Breach of Contract Claim  (Public Laws 108-77 and (OCT 2004)
108-78 ( 19 U.S.C. 3805 note)).</t>
        </is>
      </c>
      <c r="C898" t="inlineStr">
        <is>
          <t>No</t>
        </is>
      </c>
      <c r="D898" t="inlineStr">
        <is>
          <t>Medium</t>
        </is>
      </c>
      <c r="E898" t="inlineStr">
        <is>
          <t>Not Started</t>
        </is>
      </c>
    </row>
    <row r="899">
      <c r="A899" t="inlineStr">
        <is>
          <t>REQ-00627</t>
        </is>
      </c>
      <c r="B899" t="inlineStr">
        <is>
          <t>52.203-6, Restrictions on Subcontractor Sales to the Government  with  (1) (JUN 2020), Alternate I
(41 U.S.C. 4704 and 10 U.S.C. 4655). (NOV 2021)</t>
        </is>
      </c>
      <c r="C899" t="inlineStr">
        <is>
          <t>No</t>
        </is>
      </c>
      <c r="D899" t="inlineStr">
        <is>
          <t>Medium</t>
        </is>
      </c>
      <c r="E899" t="inlineStr">
        <is>
          <t>Not Started</t>
        </is>
      </c>
    </row>
    <row r="900">
      <c r="A900" t="inlineStr">
        <is>
          <t>REQ-00628</t>
        </is>
      </c>
      <c r="B900" t="inlineStr">
        <is>
          <t>52.203-13, Contractor Code of Business Ethics and Conduct  (41 U.S.C. 3509)).(2) (NOV 2021)</t>
        </is>
      </c>
      <c r="C900" t="inlineStr">
        <is>
          <t>No</t>
        </is>
      </c>
      <c r="D900" t="inlineStr">
        <is>
          <t>Medium</t>
        </is>
      </c>
      <c r="E900" t="inlineStr">
        <is>
          <t>Not Started</t>
        </is>
      </c>
    </row>
    <row r="901">
      <c r="A901" t="inlineStr">
        <is>
          <t>REQ-00629</t>
        </is>
      </c>
      <c r="B901" t="inlineStr">
        <is>
          <t>52.203-15, Whistleblower Protections under the American Recovery and Reinvestment Act of 2009 (3) 
 (Section 1553 of Pub. L. 111-5). (Applies to contracts funded by the American Recovery (JUN 2010)...</t>
        </is>
      </c>
      <c r="C901" t="inlineStr">
        <is>
          <t>No</t>
        </is>
      </c>
      <c r="D901" t="inlineStr">
        <is>
          <t>Medium</t>
        </is>
      </c>
      <c r="E901" t="inlineStr">
        <is>
          <t>Not Started</t>
        </is>
      </c>
    </row>
    <row r="902">
      <c r="A902" t="inlineStr">
        <is>
          <t>REQ-00630</t>
        </is>
      </c>
      <c r="B902" t="inlineStr">
        <is>
          <t>52.203-17, Contractor Employee Whistleblower Rights  (41 U.S.C. 4712); this clause (4) (NOV 2023)
does not apply to contracts of DoD, NASA, the Coast Guard, or applicable elements of the intelligen...</t>
        </is>
      </c>
      <c r="C902" t="inlineStr">
        <is>
          <t>No</t>
        </is>
      </c>
      <c r="D902" t="inlineStr">
        <is>
          <t>Medium</t>
        </is>
      </c>
      <c r="E902" t="inlineStr">
        <is>
          <t>Not Started</t>
        </is>
      </c>
    </row>
    <row r="903">
      <c r="A903" t="inlineStr">
        <is>
          <t>REQ-00631</t>
        </is>
      </c>
      <c r="B903" t="inlineStr">
        <is>
          <t>52.204-10, Reporting Executive Compensation and First-Tier Subcontract Awards  (Pub. (5) (JUN 2020)</t>
        </is>
      </c>
      <c r="C903" t="inlineStr">
        <is>
          <t>No</t>
        </is>
      </c>
      <c r="D903" t="inlineStr">
        <is>
          <t>Medium</t>
        </is>
      </c>
      <c r="E903" t="inlineStr">
        <is>
          <t>Not Started</t>
        </is>
      </c>
    </row>
    <row r="904">
      <c r="A904" t="inlineStr">
        <is>
          <t>REQ-00633</t>
        </is>
      </c>
      <c r="B904" t="inlineStr">
        <is>
          <t>52.204-14, Service Contract Reporting Requirements  (Pub. L. 111-117, section 743 of (7) (OCT 2016)
Div. C).</t>
        </is>
      </c>
      <c r="C904" t="inlineStr">
        <is>
          <t>No</t>
        </is>
      </c>
      <c r="D904" t="inlineStr">
        <is>
          <t>Medium</t>
        </is>
      </c>
      <c r="E904" t="inlineStr">
        <is>
          <t>Not Started</t>
        </is>
      </c>
    </row>
    <row r="905">
      <c r="A905" t="inlineStr">
        <is>
          <t>REQ-00634</t>
        </is>
      </c>
      <c r="B905" t="inlineStr">
        <is>
          <t>52.204-15, Service Contract Reporting Requirements for Indefinite-Delivery Contracts  (8) (OCT 2016)
(Pub. L. 111-117, section 743 of Div. C).</t>
        </is>
      </c>
      <c r="C905" t="inlineStr">
        <is>
          <t>No</t>
        </is>
      </c>
      <c r="D905" t="inlineStr">
        <is>
          <t>Medium</t>
        </is>
      </c>
      <c r="E905" t="inlineStr">
        <is>
          <t>Not Started</t>
        </is>
      </c>
    </row>
    <row r="906">
      <c r="A906" t="inlineStr">
        <is>
          <t>REQ-00635</t>
        </is>
      </c>
      <c r="B906" t="inlineStr">
        <is>
          <t>52.204-27, Prohibition on a ByteDance Covered Application  (Section 102 of Division R (9) (JUN 2023)
of Pub. L. 117-328).</t>
        </is>
      </c>
      <c r="C906" t="inlineStr">
        <is>
          <t>No</t>
        </is>
      </c>
      <c r="D906" t="inlineStr">
        <is>
          <t>Medium</t>
        </is>
      </c>
      <c r="E906" t="inlineStr">
        <is>
          <t>Not Started</t>
        </is>
      </c>
    </row>
    <row r="907">
      <c r="A907" t="inlineStr">
        <is>
          <t>REQ-00636</t>
        </is>
      </c>
      <c r="B907" t="inlineStr">
        <is>
          <t>52.204-28, Federal Acquisition Supply Chain Security Act Orders-Federal Supply Schedules, (10) 
Governmentwide Acquisition Contracts, and Multi-Agency Contracts.  (Pub. L. 115-390, (DEC 2023)
title...</t>
        </is>
      </c>
      <c r="C907" t="inlineStr">
        <is>
          <t>No</t>
        </is>
      </c>
      <c r="D907" t="inlineStr">
        <is>
          <t>Medium</t>
        </is>
      </c>
      <c r="E907" t="inlineStr">
        <is>
          <t>Not Started</t>
        </is>
      </c>
    </row>
    <row r="908">
      <c r="A908" t="inlineStr">
        <is>
          <t>REQ-00640</t>
        </is>
      </c>
      <c r="B908" t="inlineStr">
        <is>
          <t>52.209-9, Updates of Publicly Available Information Regarding Responsibility Matters (13) (OCT 2018)
(41 U.S.C. 2313).
 [Reserved].(14)</t>
        </is>
      </c>
      <c r="C908" t="inlineStr">
        <is>
          <t>No</t>
        </is>
      </c>
      <c r="D908" t="inlineStr">
        <is>
          <t>Medium</t>
        </is>
      </c>
      <c r="E908" t="inlineStr">
        <is>
          <t>Not Started</t>
        </is>
      </c>
    </row>
    <row r="909">
      <c r="A909" t="inlineStr">
        <is>
          <t>REQ-00641</t>
        </is>
      </c>
      <c r="B909" t="inlineStr">
        <is>
          <t>52.219-3, Notice of HUBZone Set-Aside or Sole-Source Award ( ) (15 U.S.C. 657a).(15) OCT 2022</t>
        </is>
      </c>
      <c r="C909" t="inlineStr">
        <is>
          <t>No</t>
        </is>
      </c>
      <c r="D909" t="inlineStr">
        <is>
          <t>Medium</t>
        </is>
      </c>
      <c r="E909" t="inlineStr">
        <is>
          <t>Not Started</t>
        </is>
      </c>
    </row>
    <row r="910">
      <c r="A910" t="inlineStr">
        <is>
          <t>REQ-00649</t>
        </is>
      </c>
      <c r="B910" t="inlineStr">
        <is>
          <t>52.219-14, Limitations on Subcontracting ( ) (15 U.S.C. 637s).(23) OCT 2022</t>
        </is>
      </c>
      <c r="C910" t="inlineStr">
        <is>
          <t>No</t>
        </is>
      </c>
      <c r="D910" t="inlineStr">
        <is>
          <t>Medium</t>
        </is>
      </c>
      <c r="E910" t="inlineStr">
        <is>
          <t>Not Started</t>
        </is>
      </c>
    </row>
    <row r="911">
      <c r="A911" t="inlineStr">
        <is>
          <t>REQ-00650</t>
        </is>
      </c>
      <c r="B911" t="inlineStr">
        <is>
          <t>52.219-16, Liquidated Damages-Subcontracting Plan  (15 U.S.C. 637(d)(4)(F)(i)).(24) (SEP 2021)</t>
        </is>
      </c>
      <c r="C911" t="inlineStr">
        <is>
          <t>No</t>
        </is>
      </c>
      <c r="D911" t="inlineStr">
        <is>
          <t>Medium</t>
        </is>
      </c>
      <c r="E911" t="inlineStr">
        <is>
          <t>Not Started</t>
        </is>
      </c>
    </row>
    <row r="912">
      <c r="A912" t="inlineStr">
        <is>
          <t>REQ-00659</t>
        </is>
      </c>
      <c r="B912" t="inlineStr">
        <is>
          <t>52.222-19, Child Labor-Cooperation with Authorities and Remedies .(32) (FEB 2024)</t>
        </is>
      </c>
      <c r="C912" t="inlineStr">
        <is>
          <t>No</t>
        </is>
      </c>
      <c r="D912" t="inlineStr">
        <is>
          <t>Medium</t>
        </is>
      </c>
      <c r="E912" t="inlineStr">
        <is>
          <t>Not Started</t>
        </is>
      </c>
    </row>
    <row r="913">
      <c r="A913" t="inlineStr">
        <is>
          <t>REQ-00660</t>
        </is>
      </c>
      <c r="B913" t="inlineStr">
        <is>
          <t>52.222-21, Prohibition of Segregated Facilities .(33) (APR 2015)</t>
        </is>
      </c>
      <c r="C913" t="inlineStr">
        <is>
          <t>No</t>
        </is>
      </c>
      <c r="D913" t="inlineStr">
        <is>
          <t>Medium</t>
        </is>
      </c>
      <c r="E913" t="inlineStr">
        <is>
          <t>Not Started</t>
        </is>
      </c>
    </row>
    <row r="914">
      <c r="A914" t="inlineStr">
        <is>
          <t>REQ-00664</t>
        </is>
      </c>
      <c r="B914" t="inlineStr">
        <is>
          <t>52.222-37, Employment Reports on Veterans ( ) (38 U.S.C. 4212).(37) JUN 2020</t>
        </is>
      </c>
      <c r="C914" t="inlineStr">
        <is>
          <t>No</t>
        </is>
      </c>
      <c r="D914" t="inlineStr">
        <is>
          <t>Medium</t>
        </is>
      </c>
      <c r="E914" t="inlineStr">
        <is>
          <t>Not Started</t>
        </is>
      </c>
    </row>
    <row r="915">
      <c r="A915" t="inlineStr">
        <is>
          <t>REQ-00665</t>
        </is>
      </c>
      <c r="B915" t="inlineStr">
        <is>
          <t>52.222-40, Notification of Employee Rights Under the National Labor Relations Act  (38) (DEC 2010)
(E.O. 13496).
DRAFT</t>
        </is>
      </c>
      <c r="C915" t="inlineStr">
        <is>
          <t>No</t>
        </is>
      </c>
      <c r="D915" t="inlineStr">
        <is>
          <t>Medium</t>
        </is>
      </c>
      <c r="E915" t="inlineStr">
        <is>
          <t>Not Started</t>
        </is>
      </c>
    </row>
    <row r="916">
      <c r="A916" t="inlineStr">
        <is>
          <t>REQ-00667</t>
        </is>
      </c>
      <c r="B916" t="inlineStr">
        <is>
          <t>52.222-54, Employment Eligibility Verification  (Executive Order 12989). (Not (40) (MAY 2022)
applicable to the acquisition of commercially available off-the-shelf items or certain other types of 
...</t>
        </is>
      </c>
      <c r="C916" t="inlineStr">
        <is>
          <t>No</t>
        </is>
      </c>
      <c r="D916" t="inlineStr">
        <is>
          <t>Low</t>
        </is>
      </c>
      <c r="E916" t="inlineStr">
        <is>
          <t>Not Started</t>
        </is>
      </c>
    </row>
    <row r="917">
      <c r="A917" t="inlineStr">
        <is>
          <t>REQ-00669</t>
        </is>
      </c>
      <c r="B917" t="inlineStr">
        <is>
          <t>(42) 52.223-11, Ozone-Depleting Substances and High Global Warming Potential Hydrofluorocarbons 
 (42 U.S.C. 7671, ).(MAY 2024) et seq.</t>
        </is>
      </c>
      <c r="C917" t="inlineStr">
        <is>
          <t>No</t>
        </is>
      </c>
      <c r="D917" t="inlineStr">
        <is>
          <t>Low</t>
        </is>
      </c>
      <c r="E917" t="inlineStr">
        <is>
          <t>Not Started</t>
        </is>
      </c>
    </row>
    <row r="918">
      <c r="A918" t="inlineStr">
        <is>
          <t>REQ-00670</t>
        </is>
      </c>
      <c r="B918" t="inlineStr">
        <is>
          <t>(43) 52.223-12, Maintenance, Service, Repair, or Disposal of Refrigeration Equipment and Air 
Conditioners  (42 U.S.C. 7671, ).(MAY 2024) et seq.</t>
        </is>
      </c>
      <c r="C918" t="inlineStr">
        <is>
          <t>No</t>
        </is>
      </c>
      <c r="D918" t="inlineStr">
        <is>
          <t>Low</t>
        </is>
      </c>
      <c r="E918" t="inlineStr">
        <is>
          <t>Not Started</t>
        </is>
      </c>
    </row>
    <row r="919">
      <c r="A919" t="inlineStr">
        <is>
          <t>REQ-00679</t>
        </is>
      </c>
      <c r="B919" t="inlineStr">
        <is>
          <t>52.225-13, Restrictions on Certain Foreign Purchases  (E.O.'s, proclamations, and (51) (FEB 2021)
statutes administered by the Office of Foreign Assets Control of the Department of the Treasury).</t>
        </is>
      </c>
      <c r="C919" t="inlineStr">
        <is>
          <t>No</t>
        </is>
      </c>
      <c r="D919" t="inlineStr">
        <is>
          <t>Medium</t>
        </is>
      </c>
      <c r="E919" t="inlineStr">
        <is>
          <t>Not Started</t>
        </is>
      </c>
    </row>
    <row r="920">
      <c r="A920" t="inlineStr">
        <is>
          <t>REQ-00680</t>
        </is>
      </c>
      <c r="B920" t="inlineStr">
        <is>
          <t>52.225-26, Contractors Performing Private Security Functions Outside the United States (Oct 2016) (52) 
(Section 862, as amended, of the National Defense Authorization Act for Fiscal Year 2008; 10 ...</t>
        </is>
      </c>
      <c r="C920" t="inlineStr">
        <is>
          <t>No</t>
        </is>
      </c>
      <c r="D920" t="inlineStr">
        <is>
          <t>Medium</t>
        </is>
      </c>
      <c r="E920" t="inlineStr">
        <is>
          <t>Not Started</t>
        </is>
      </c>
    </row>
    <row r="921">
      <c r="A921" t="inlineStr">
        <is>
          <t>REQ-00681</t>
        </is>
      </c>
      <c r="B921" t="inlineStr">
        <is>
          <t>52.226-4, Notice of Disaster or Emergency Area Set-Aside (Nov 2007) (42 U.S.C. 5150).(53)</t>
        </is>
      </c>
      <c r="C921" t="inlineStr">
        <is>
          <t>No</t>
        </is>
      </c>
      <c r="D921" t="inlineStr">
        <is>
          <t>Medium</t>
        </is>
      </c>
      <c r="E921" t="inlineStr">
        <is>
          <t>Not Started</t>
        </is>
      </c>
    </row>
    <row r="922">
      <c r="A922" t="inlineStr">
        <is>
          <t>REQ-00682</t>
        </is>
      </c>
      <c r="B922" t="inlineStr">
        <is>
          <t>52.226-5, Restrictions on Subcontracting Outside Disaster or Emergency Area  (42 U.(54) (NOV 2007)</t>
        </is>
      </c>
      <c r="C922" t="inlineStr">
        <is>
          <t>No</t>
        </is>
      </c>
      <c r="D922" t="inlineStr">
        <is>
          <t>Medium</t>
        </is>
      </c>
      <c r="E922" t="inlineStr">
        <is>
          <t>Not Started</t>
        </is>
      </c>
    </row>
    <row r="923">
      <c r="A923" t="inlineStr">
        <is>
          <t>REQ-00683</t>
        </is>
      </c>
      <c r="B923" t="inlineStr">
        <is>
          <t>(55) 52.226-8, Encouraging Contractor Policies to Ban Text Messaging While Driving  (E.(MAY 2024)</t>
        </is>
      </c>
      <c r="C923" t="inlineStr">
        <is>
          <t>No</t>
        </is>
      </c>
      <c r="D923" t="inlineStr">
        <is>
          <t>Low</t>
        </is>
      </c>
      <c r="E923" t="inlineStr">
        <is>
          <t>Not Started</t>
        </is>
      </c>
    </row>
    <row r="924">
      <c r="A924" t="inlineStr">
        <is>
          <t>REQ-00684</t>
        </is>
      </c>
      <c r="B924" t="inlineStr">
        <is>
          <t>52.229-12, Tax on Certain Foreign Procurements .(56) (FEB 2021)</t>
        </is>
      </c>
      <c r="C924" t="inlineStr">
        <is>
          <t>No</t>
        </is>
      </c>
      <c r="D924" t="inlineStr">
        <is>
          <t>Medium</t>
        </is>
      </c>
      <c r="E924" t="inlineStr">
        <is>
          <t>Not Started</t>
        </is>
      </c>
    </row>
    <row r="925">
      <c r="A925" t="inlineStr">
        <is>
          <t>REQ-00685</t>
        </is>
      </c>
      <c r="B925" t="inlineStr">
        <is>
          <t>52.232-29, Terms for Financing of Purchases of Commercial Products and Commercial Services (57) 
 (41 U.S.C. 4505, 10 U.S.C. 3805).(NOV 2021)
DRAFT</t>
        </is>
      </c>
      <c r="C925" t="inlineStr">
        <is>
          <t>No</t>
        </is>
      </c>
      <c r="D925" t="inlineStr">
        <is>
          <t>Medium</t>
        </is>
      </c>
      <c r="E925" t="inlineStr">
        <is>
          <t>Not Started</t>
        </is>
      </c>
    </row>
    <row r="926">
      <c r="A926" t="inlineStr">
        <is>
          <t>REQ-00686</t>
        </is>
      </c>
      <c r="B926" t="inlineStr">
        <is>
          <t>52.232-30, Installment Payments for Commercial Products and Commercial Services  (58) (NOV 2021)
(41 U.S.C. 4505, 10 U.S.C. 3805).</t>
        </is>
      </c>
      <c r="C926" t="inlineStr">
        <is>
          <t>No</t>
        </is>
      </c>
      <c r="D926" t="inlineStr">
        <is>
          <t>Medium</t>
        </is>
      </c>
      <c r="E926" t="inlineStr">
        <is>
          <t>Not Started</t>
        </is>
      </c>
    </row>
    <row r="927">
      <c r="A927" t="inlineStr">
        <is>
          <t>REQ-00687</t>
        </is>
      </c>
      <c r="B927" t="inlineStr">
        <is>
          <t>52.232-33, Payment by Electronic Funds Transfer-System for Award Management  (59) (OCT2018)
(31 U.S.C. 3332).</t>
        </is>
      </c>
      <c r="C927" t="inlineStr">
        <is>
          <t>No</t>
        </is>
      </c>
      <c r="D927" t="inlineStr">
        <is>
          <t>Medium</t>
        </is>
      </c>
      <c r="E927" t="inlineStr">
        <is>
          <t>Not Started</t>
        </is>
      </c>
    </row>
    <row r="928">
      <c r="A928" t="inlineStr">
        <is>
          <t>REQ-00688</t>
        </is>
      </c>
      <c r="B928" t="inlineStr">
        <is>
          <t>52.232-34, Payment by Electronic Funds Transfer-Other than System for Award Management (Jul (60) 
2013) (31 U.S.C. 3332).</t>
        </is>
      </c>
      <c r="C928" t="inlineStr">
        <is>
          <t>No</t>
        </is>
      </c>
      <c r="D928" t="inlineStr">
        <is>
          <t>Medium</t>
        </is>
      </c>
      <c r="E928" t="inlineStr">
        <is>
          <t>Not Started</t>
        </is>
      </c>
    </row>
    <row r="929">
      <c r="A929" t="inlineStr">
        <is>
          <t>REQ-00690</t>
        </is>
      </c>
      <c r="B929" t="inlineStr">
        <is>
          <t>52.239-1, Privacy or Security Safeguards  (5 U.S.C. 552a).(62) (AUG 1996)</t>
        </is>
      </c>
      <c r="C929" t="inlineStr">
        <is>
          <t>No</t>
        </is>
      </c>
      <c r="D929" t="inlineStr">
        <is>
          <t>Medium</t>
        </is>
      </c>
      <c r="E929" t="inlineStr">
        <is>
          <t>Not Started</t>
        </is>
      </c>
    </row>
    <row r="930">
      <c r="A930" t="inlineStr">
        <is>
          <t>REQ-00695</t>
        </is>
      </c>
      <c r="B930" t="inlineStr">
        <is>
          <t>52.222-41, Service Contract Labor Standards  (41 U.S.C. chapter67).(1) (AUG 2018)</t>
        </is>
      </c>
      <c r="C930" t="inlineStr">
        <is>
          <t>No</t>
        </is>
      </c>
      <c r="D930" t="inlineStr">
        <is>
          <t>Medium</t>
        </is>
      </c>
      <c r="E930" t="inlineStr">
        <is>
          <t>Not Started</t>
        </is>
      </c>
    </row>
    <row r="931">
      <c r="A931" t="inlineStr">
        <is>
          <t>REQ-00696</t>
        </is>
      </c>
      <c r="B931" t="inlineStr">
        <is>
          <t>52.222-42, Statement of Equivalent Rates for Federal Hires  (29 U.S.C. 206 and 41 U.S.(2) (MAY 2014)</t>
        </is>
      </c>
      <c r="C931" t="inlineStr">
        <is>
          <t>No</t>
        </is>
      </c>
      <c r="D931" t="inlineStr">
        <is>
          <t>Low</t>
        </is>
      </c>
      <c r="E931" t="inlineStr">
        <is>
          <t>Not Started</t>
        </is>
      </c>
    </row>
    <row r="932">
      <c r="A932" t="inlineStr">
        <is>
          <t>REQ-00697</t>
        </is>
      </c>
      <c r="B932" t="inlineStr">
        <is>
          <t>52.222-43, Fair Labor Standards Act and Service Contract Labor Standards-Price Adjustment (3) 
(Multiple Year and Option Contracts)  (29 U.S.C. 206 and 41 U.S.C. chapter 67).(AUG 2018)</t>
        </is>
      </c>
      <c r="C932" t="inlineStr">
        <is>
          <t>No</t>
        </is>
      </c>
      <c r="D932" t="inlineStr">
        <is>
          <t>Medium</t>
        </is>
      </c>
      <c r="E932" t="inlineStr">
        <is>
          <t>Not Started</t>
        </is>
      </c>
    </row>
    <row r="933">
      <c r="A933" t="inlineStr">
        <is>
          <t>REQ-00698</t>
        </is>
      </c>
      <c r="B933" t="inlineStr">
        <is>
          <t>52.222-44, Fair Labor Standards Act and Service Contract Labor Standards-Price Adjustment (May (4) 
2014) ( 29U.S.C.206 and 41 U.S.C. chapter 67).
DRAFT</t>
        </is>
      </c>
      <c r="C933" t="inlineStr">
        <is>
          <t>No</t>
        </is>
      </c>
      <c r="D933" t="inlineStr">
        <is>
          <t>Low</t>
        </is>
      </c>
      <c r="E933" t="inlineStr">
        <is>
          <t>Not Started</t>
        </is>
      </c>
    </row>
    <row r="934">
      <c r="A934" t="inlineStr">
        <is>
          <t>REQ-00699</t>
        </is>
      </c>
      <c r="B934" t="inlineStr">
        <is>
          <t>52.222-51, Exemption from Application of the Service Contract Labor Standards to Contracts for (5) 
Maintenance, Calibration, or Repair of Certain Equipment-Requirements (May 2014) (41 U.S.</t>
        </is>
      </c>
      <c r="C934" t="inlineStr">
        <is>
          <t>No</t>
        </is>
      </c>
      <c r="D934" t="inlineStr">
        <is>
          <t>Low</t>
        </is>
      </c>
      <c r="E934" t="inlineStr">
        <is>
          <t>Not Started</t>
        </is>
      </c>
    </row>
    <row r="935">
      <c r="A935" t="inlineStr">
        <is>
          <t>REQ-00700</t>
        </is>
      </c>
      <c r="B935" t="inlineStr">
        <is>
          <t>52.222-53, Exemption from Application of the Service Contract Labor Standards to Contracts for (6) 
Certain Services-Requirements  (41 U.S.C. chapter 67).(MAY 2014)</t>
        </is>
      </c>
      <c r="C935" t="inlineStr">
        <is>
          <t>No</t>
        </is>
      </c>
      <c r="D935" t="inlineStr">
        <is>
          <t>Low</t>
        </is>
      </c>
      <c r="E935" t="inlineStr">
        <is>
          <t>Not Started</t>
        </is>
      </c>
    </row>
    <row r="936">
      <c r="A936" t="inlineStr">
        <is>
          <t>REQ-00701</t>
        </is>
      </c>
      <c r="B936" t="inlineStr">
        <is>
          <t>52.222-55, Minimum Wages for Contractor Workers Under Executive Order 14026 .(7) (JAN 2022)</t>
        </is>
      </c>
      <c r="C936" t="inlineStr">
        <is>
          <t>No</t>
        </is>
      </c>
      <c r="D936" t="inlineStr">
        <is>
          <t>Medium</t>
        </is>
      </c>
      <c r="E936" t="inlineStr">
        <is>
          <t>Not Started</t>
        </is>
      </c>
    </row>
    <row r="937">
      <c r="A937" t="inlineStr">
        <is>
          <t>REQ-00702</t>
        </is>
      </c>
      <c r="B937" t="inlineStr">
        <is>
          <t>52.222-62, Paid Sick Leave Under Executive Order 13706  (E.O. 13706).(8) (JAN 2022)</t>
        </is>
      </c>
      <c r="C937" t="inlineStr">
        <is>
          <t>No</t>
        </is>
      </c>
      <c r="D937" t="inlineStr">
        <is>
          <t>Medium</t>
        </is>
      </c>
      <c r="E937" t="inlineStr">
        <is>
          <t>Not Started</t>
        </is>
      </c>
    </row>
    <row r="938">
      <c r="A938" t="inlineStr">
        <is>
          <t>REQ-00703</t>
        </is>
      </c>
      <c r="B938" t="inlineStr">
        <is>
          <t>52.226-6, Promoting Excess Food Donation to Nonprofit Organizations (Jun 2020) (42 U.S.C. 1792).(9)</t>
        </is>
      </c>
      <c r="C938" t="inlineStr">
        <is>
          <t>No</t>
        </is>
      </c>
      <c r="D938" t="inlineStr">
        <is>
          <t>Medium</t>
        </is>
      </c>
      <c r="E938" t="inlineStr">
        <is>
          <t>Not Started</t>
        </is>
      </c>
    </row>
    <row r="939">
      <c r="A939" t="inlineStr">
        <is>
          <t>REQ-00707</t>
        </is>
      </c>
      <c r="B939" t="inlineStr">
        <is>
          <t>(3) 
 As used in this clause, records include books, documents, accounting procedures and practices, 
and other data, regardless of type and regardless of form. This does not require the Contractor...</t>
        </is>
      </c>
      <c r="C939" t="inlineStr">
        <is>
          <t>No</t>
        </is>
      </c>
      <c r="D939" t="inlineStr">
        <is>
          <t>Medium</t>
        </is>
      </c>
      <c r="E939" t="inlineStr">
        <is>
          <t>Not Started</t>
        </is>
      </c>
    </row>
    <row r="940">
      <c r="A940" t="inlineStr">
        <is>
          <t>REQ-00709</t>
        </is>
      </c>
      <c r="B940" t="inlineStr">
        <is>
          <t>52.203-13, Contractor Code of Business Ethics and Conduct  (41 U.S.C. 3509).(NOV 2021)
(ii)  52.203-17, Contractor Employee Whistleblower Rights  (41 U.S.C. 4712).(NOV 2023)
(iii)  52.203-19, Prohi...</t>
        </is>
      </c>
      <c r="C940" t="inlineStr">
        <is>
          <t>No</t>
        </is>
      </c>
      <c r="D940" t="inlineStr">
        <is>
          <t>Medium</t>
        </is>
      </c>
      <c r="E940" t="inlineStr">
        <is>
          <t>Not Started</t>
        </is>
      </c>
    </row>
    <row r="941">
      <c r="A941" t="inlineStr">
        <is>
          <t>REQ-00711</t>
        </is>
      </c>
      <c r="B941" t="inlineStr">
        <is>
          <t>(v)  52.204-25, Prohibition on Contracting for Certain Telecommunications and Video Surveillance 
Services or Equipment.  (Section 889(a)(1)(A) of Pub. L. 115-232).(NOV 2021)
(vi)  52.204-27, Prohi...</t>
        </is>
      </c>
      <c r="C941" t="inlineStr">
        <is>
          <t>No</t>
        </is>
      </c>
      <c r="D941" t="inlineStr">
        <is>
          <t>Medium</t>
        </is>
      </c>
      <c r="E941" t="inlineStr">
        <is>
          <t>Not Started</t>
        </is>
      </c>
    </row>
    <row r="942">
      <c r="A942" t="inlineStr">
        <is>
          <t>REQ-00713</t>
        </is>
      </c>
      <c r="B942" t="inlineStr">
        <is>
          <t>(x)  52.222-26, Equal Opportunity  (E.O.11246).(SEP 2015)
(xi)  52.222-35, Equal Opportunity for Veterans  (38 U.S.C. 4212).(JUN 2020)
(xii)  52.222-36, Equal Opportunity for Workers with Disabilit...</t>
        </is>
      </c>
      <c r="C942" t="inlineStr">
        <is>
          <t>No</t>
        </is>
      </c>
      <c r="D942" t="inlineStr">
        <is>
          <t>Low</t>
        </is>
      </c>
      <c r="E942" t="inlineStr">
        <is>
          <t>Not Started</t>
        </is>
      </c>
    </row>
    <row r="943">
      <c r="A943" t="inlineStr">
        <is>
          <t>REQ-00714</t>
        </is>
      </c>
      <c r="B943" t="inlineStr">
        <is>
          <t>52.222-53, Exemption from Application of the Service Contract Labor Standards to Contracts 
for Certain Services-Requirements  (41 U.S.C. chapter 67).(MAY 2014)
(xix)  52.222-54, Employment Eligibi...</t>
        </is>
      </c>
      <c r="C943" t="inlineStr">
        <is>
          <t>No</t>
        </is>
      </c>
      <c r="D943" t="inlineStr">
        <is>
          <t>Low</t>
        </is>
      </c>
      <c r="E943" t="inlineStr">
        <is>
          <t>Not Started</t>
        </is>
      </c>
    </row>
    <row r="944">
      <c r="A944" t="inlineStr">
        <is>
          <t>REQ-00716</t>
        </is>
      </c>
      <c r="B944" t="inlineStr">
        <is>
          <t>C. Subtitle A, Part V, Subpart G Note).
(xxiv)  52.226-6, Promoting Excess Food Donation to Nonprofit Organizations  (42 U.S.(JUN 2020)</t>
        </is>
      </c>
      <c r="C944" t="inlineStr">
        <is>
          <t>No</t>
        </is>
      </c>
      <c r="D944" t="inlineStr">
        <is>
          <t>Medium</t>
        </is>
      </c>
      <c r="E944" t="inlineStr">
        <is>
          <t>Not Started</t>
        </is>
      </c>
    </row>
    <row r="945">
      <c r="A945" t="inlineStr">
        <is>
          <t>REQ-00718</t>
        </is>
      </c>
      <c r="B945" t="inlineStr">
        <is>
          <t>U.S.C. 3903 and 10 U.S.C. 3801). Flow down required in accordance with paragraph (c) of 52.232-40.
(xxvi)    52.247-64, Preference for Privately Owned U.S.-Flag Commercial Vessels  (46 (NOV 2021)</t>
        </is>
      </c>
      <c r="C945" t="inlineStr">
        <is>
          <t>Yes</t>
        </is>
      </c>
      <c r="D945" t="inlineStr">
        <is>
          <t>Medium</t>
        </is>
      </c>
      <c r="E945" t="inlineStr">
        <is>
          <t>Not Started</t>
        </is>
      </c>
    </row>
    <row r="946">
      <c r="A946" t="inlineStr">
        <is>
          <t>REQ-00719</t>
        </is>
      </c>
      <c r="B946" t="inlineStr">
        <is>
          <t>U.S.C. 55305 and 10 U.S.C. 2631). Flow down required in accordance with paragraph (d) of FAR clause</t>
        </is>
      </c>
      <c r="C946" t="inlineStr">
        <is>
          <t>Yes</t>
        </is>
      </c>
      <c r="D946" t="inlineStr">
        <is>
          <t>Medium</t>
        </is>
      </c>
      <c r="E946" t="inlineStr">
        <is>
          <t>Not Started</t>
        </is>
      </c>
    </row>
    <row r="947">
      <c r="A947" t="inlineStr">
        <is>
          <t>REQ-00720</t>
        </is>
      </c>
      <c r="B947" t="inlineStr">
        <is>
          <t>(2) 
 While not required, the Contractor may include in its subcontracts for commercial products and 
commercial services a minimal number of additional clauses necessary to satisfy its contractual...</t>
        </is>
      </c>
      <c r="C947" t="inlineStr">
        <is>
          <t>Yes</t>
        </is>
      </c>
      <c r="D947" t="inlineStr">
        <is>
          <t>Low</t>
        </is>
      </c>
      <c r="E947" t="inlineStr">
        <is>
          <t>Not Started</t>
        </is>
      </c>
    </row>
    <row r="948">
      <c r="A948" t="inlineStr">
        <is>
          <t>REQ-00724</t>
        </is>
      </c>
      <c r="B948" t="inlineStr">
        <is>
          <t>252.227-7009 Reporting and Payment of Royalties. 2019-09
As prescribed at 227.7009-4(d), insert the following clause in patent releases, license agreements, and 
assignments:
REPORTING AND PAYMENT ...</t>
        </is>
      </c>
      <c r="C948" t="inlineStr">
        <is>
          <t>No</t>
        </is>
      </c>
      <c r="D948" t="inlineStr">
        <is>
          <t>Medium</t>
        </is>
      </c>
      <c r="E948" t="inlineStr">
        <is>
          <t>Not Started</t>
        </is>
      </c>
    </row>
    <row r="949">
      <c r="A949" t="inlineStr">
        <is>
          <t>REQ-00728</t>
        </is>
      </c>
      <c r="B949" t="inlineStr">
        <is>
          <t>SUBSTANTIVE -- Substantive comments are provided because sections in the document appear to be or are potentially unnecessary, incorrect, incomplete, misleading, confusing, or inconsistent with oth...</t>
        </is>
      </c>
      <c r="C949" t="inlineStr">
        <is>
          <t>No</t>
        </is>
      </c>
      <c r="D949" t="inlineStr">
        <is>
          <t>Medium</t>
        </is>
      </c>
      <c r="E949" t="inlineStr">
        <is>
          <t>Not Started</t>
        </is>
      </c>
    </row>
    <row r="950">
      <c r="A950" t="inlineStr">
        <is>
          <t>REQ-00729</t>
        </is>
      </c>
      <c r="B950" t="inlineStr">
        <is>
          <t>ADMINISTRATIVE -- Administrative comments correct what appear to be typographical, grammatical, or formatting errors.</t>
        </is>
      </c>
      <c r="C950" t="inlineStr">
        <is>
          <t>No</t>
        </is>
      </c>
      <c r="D950" t="inlineStr">
        <is>
          <t>Medium</t>
        </is>
      </c>
      <c r="E950" t="inlineStr">
        <is>
          <t>Not Started</t>
        </is>
      </c>
    </row>
    <row r="951">
      <c r="A951" t="inlineStr">
        <is>
          <t>REQ-00730</t>
        </is>
      </c>
      <c r="B951" t="inlineStr">
        <is>
          <t>Accept/Reject/Partial (A/R/P) are to be used by the document sponsor for comment resolution/adjudication. This format will allow the document sponsor to accept, reject, or partially accept/reject o...</t>
        </is>
      </c>
      <c r="C951" t="inlineStr">
        <is>
          <t>No</t>
        </is>
      </c>
      <c r="D951" t="inlineStr">
        <is>
          <t>Medium</t>
        </is>
      </c>
      <c r="E951" t="inlineStr">
        <is>
          <t>Not Started</t>
        </is>
      </c>
    </row>
    <row r="952">
      <c r="A952" t="inlineStr">
        <is>
          <t>REQ-00835</t>
        </is>
      </c>
      <c r="B952">
        <f>== Sheet: CLIN 000X Travel Estimate ===
** Create a breakout of projected travel and ODC costs which will be linked to the appropriate tab
include links to environments and environment agnostic/in...</f>
        <v/>
      </c>
      <c r="C952" t="inlineStr">
        <is>
          <t>No</t>
        </is>
      </c>
      <c r="D952" t="inlineStr">
        <is>
          <t>Medium</t>
        </is>
      </c>
      <c r="E952" t="inlineStr">
        <is>
          <t>Not Started</t>
        </is>
      </c>
    </row>
    <row r="953">
      <c r="A953" t="inlineStr">
        <is>
          <t>REQ-00837</t>
        </is>
      </c>
      <c r="B953">
        <f>== Sheet: CLIN 0006 ===
** Create a breakout of projected enablement, Licenses, Warranties, and Service Agreement costs which will be linked to the appropriate tab |  |  |  |  |  |  | 
Item | # Un...</f>
        <v/>
      </c>
      <c r="C953" t="inlineStr">
        <is>
          <t>No</t>
        </is>
      </c>
      <c r="D953" t="inlineStr">
        <is>
          <t>Medium</t>
        </is>
      </c>
      <c r="E953" t="inlineStr">
        <is>
          <t>Not Started</t>
        </is>
      </c>
    </row>
  </sheetData>
  <mergeCells count="14">
    <mergeCell ref="A618:E618"/>
    <mergeCell ref="A422:E422"/>
    <mergeCell ref="A597:E597"/>
    <mergeCell ref="A398:E398"/>
    <mergeCell ref="A406:E406"/>
    <mergeCell ref="A416:E416"/>
    <mergeCell ref="A552:E552"/>
    <mergeCell ref="A429:E429"/>
    <mergeCell ref="A25:E25"/>
    <mergeCell ref="A1:E1"/>
    <mergeCell ref="A483:E483"/>
    <mergeCell ref="A14:E14"/>
    <mergeCell ref="A433:E433"/>
    <mergeCell ref="A487:E48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c r="A1" s="18" t="inlineStr">
        <is>
          <t>ID</t>
        </is>
      </c>
      <c r="B1" s="18" t="inlineStr">
        <is>
          <t>Type</t>
        </is>
      </c>
      <c r="C1" s="18" t="inlineStr">
        <is>
          <t>Section</t>
        </is>
      </c>
      <c r="D1" s="18" t="inlineStr">
        <is>
          <t>Confidence</t>
        </is>
      </c>
      <c r="E1" s="18" t="inlineStr">
        <is>
          <t>References To</t>
        </is>
      </c>
      <c r="F1" s="18" t="inlineStr">
        <is>
          <t>Evaluated By</t>
        </is>
      </c>
      <c r="G1" s="18" t="inlineStr">
        <is>
          <t>Instructed By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2025-12-15T12:30:33Z</dcterms:created>
  <dcterms:modified xmlns:dcterms="http://purl.org/dc/terms/" xmlns:xsi="http://www.w3.org/2001/XMLSchema-instance" xsi:type="dcterms:W3CDTF">2025-12-15T12:30:34Z</dcterms:modified>
</cp:coreProperties>
</file>