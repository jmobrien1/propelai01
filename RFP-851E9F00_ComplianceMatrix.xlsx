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N0017826R3002</t>
        </is>
      </c>
    </row>
    <row r="4">
      <c r="A4" t="inlineStr">
        <is>
          <t>Title: Attachment J.3 QASP (Dated 05072025)(12 Pages)</t>
        </is>
      </c>
    </row>
    <row r="5">
      <c r="A5" t="inlineStr">
        <is>
          <t>Generated: 2025-12-03 00:13</t>
        </is>
      </c>
    </row>
    <row r="6">
      <c r="A6" t="inlineStr">
        <is>
          <t>Generated by PropelAI v2.10</t>
        </is>
      </c>
    </row>
    <row r="8">
      <c r="A8" s="2" t="inlineStr">
        <is>
          <t>EXTRACTION SUMMARY</t>
        </is>
      </c>
    </row>
    <row r="9">
      <c r="A9" t="inlineStr">
        <is>
          <t>Total Requirements Identified</t>
        </is>
      </c>
      <c r="B9" t="n">
        <v>307</v>
      </c>
    </row>
    <row r="10">
      <c r="A10" t="inlineStr">
        <is>
          <t>Section L (Submission Instructions)</t>
        </is>
      </c>
      <c r="B10" t="n">
        <v>52</v>
      </c>
    </row>
    <row r="11">
      <c r="A11" t="inlineStr">
        <is>
          <t>Technical Requirements (C/PWS/SOW)</t>
        </is>
      </c>
      <c r="B11" t="n">
        <v>188</v>
      </c>
    </row>
    <row r="12">
      <c r="A12" t="inlineStr">
        <is>
          <t>Section M (Evaluation Factors)</t>
        </is>
      </c>
      <c r="B12" t="n">
        <v>18</v>
      </c>
    </row>
    <row r="13">
      <c r="A13" t="inlineStr">
        <is>
          <t>Attachment Requirements</t>
        </is>
      </c>
      <c r="B13" t="n">
        <v>5</v>
      </c>
    </row>
    <row r="15">
      <c r="A15" s="2" t="inlineStr">
        <is>
          <t>BINDING LEVEL BREAKDOWN</t>
        </is>
      </c>
    </row>
    <row r="16">
      <c r="A16" t="inlineStr">
        <is>
          <t>Mandatory (SHALL/MUST)</t>
        </is>
      </c>
      <c r="B16" t="n">
        <v>234</v>
      </c>
    </row>
    <row r="17">
      <c r="A17" t="inlineStr">
        <is>
          <t>Highly Desirable (SHOULD)</t>
        </is>
      </c>
      <c r="B17" t="n">
        <v>13</v>
      </c>
    </row>
    <row r="18">
      <c r="A18" t="inlineStr">
        <is>
          <t>Desirable (MAY)</t>
        </is>
      </c>
      <c r="B18" t="n">
        <v>45</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N0017826R30020003 - FINAL
Page 94 of 114
(DEVIATION 2021-O0003)</t>
        </is>
      </c>
      <c r="C2" t="n">
        <v>96</v>
      </c>
      <c r="D2" s="5" t="inlineStr">
        <is>
          <t>Low</t>
        </is>
      </c>
      <c r="E2" t="inlineStr">
        <is>
          <t>Informational</t>
        </is>
      </c>
      <c r="F2" t="inlineStr"/>
      <c r="G2" t="inlineStr">
        <is>
          <t>Not Started</t>
        </is>
      </c>
      <c r="H2" t="inlineStr"/>
      <c r="I2" t="inlineStr"/>
    </row>
    <row r="3">
      <c r="A3" t="inlineStr">
        <is>
          <t>L</t>
        </is>
      </c>
      <c r="B3" s="4" t="inlineStr">
        <is>
          <t>CLAUSES INCORPORATED BY FULL TEXT
52.211-14 NOTICE OF PRIORITY RATING FOR NATIONAL DEFENSE, EMERGENCY PREPAREDNESS,AND ENERGY USE PROGRAM (APR 2008) 
Any Task Order awarded as a result of this solicitation will be aDO-C9 rated order certified for national defense,emergency preparedness, and energy preparedness, and energy program use under the Defense Priorities and AllocationsSystem (DPAS) (15 CFR 700), and the Contractor will be required to follow all of the requirements of this regulation.
52.216-1 TYPE OF CONTRACT (APR 1984) 
The Government contemplates award of a Cost-Plus-Fixed-Fee contract Cost-Plus-Fixed-Fee (CPFF) for LaborCLINs (6xxx), Cost Only for ODC CLINs (7xxx), and Not Separately Priced (NSP) for Data CLINs (8xxx) Levelof Effort, Task Order, resulting from this solicitation.
52.233-2 SERVICE OF PROTEST   (SEP 2006)</t>
        </is>
      </c>
      <c r="C3" t="n">
        <v>96</v>
      </c>
      <c r="D3" s="6" t="inlineStr">
        <is>
          <t>High</t>
        </is>
      </c>
      <c r="E3" t="inlineStr">
        <is>
          <t>Mandatory</t>
        </is>
      </c>
      <c r="F3" t="inlineStr"/>
      <c r="G3" t="inlineStr">
        <is>
          <t>Not Started</t>
        </is>
      </c>
      <c r="H3" t="inlineStr"/>
      <c r="I3" t="inlineStr"/>
    </row>
    <row r="4">
      <c r="A4" t="inlineStr">
        <is>
          <t>L</t>
        </is>
      </c>
      <c r="B4" s="4" t="inlineStr">
        <is>
          <t>Protests, as defined in section 33.101 of the Federal Acquisition Regulation, that are filed directly with an agency,and copies of any protests that are filed with the Government Accountability Office (GAO), shall be served on theContracting Officer (addressed as follows) by obtaining written and dated acknowledgement of receipt from:
Bill J. Turner Jr.
bill.j.turner.civ@us.navy.mil</t>
        </is>
      </c>
      <c r="C4" t="n">
        <v>96</v>
      </c>
      <c r="D4" s="6" t="inlineStr">
        <is>
          <t>High</t>
        </is>
      </c>
      <c r="E4" t="inlineStr">
        <is>
          <t>Mandatory</t>
        </is>
      </c>
      <c r="F4" t="inlineStr"/>
      <c r="G4" t="inlineStr">
        <is>
          <t>Not Started</t>
        </is>
      </c>
      <c r="H4" t="inlineStr"/>
      <c r="I4" t="inlineStr"/>
    </row>
    <row r="5">
      <c r="A5" t="inlineStr">
        <is>
          <t>L</t>
        </is>
      </c>
      <c r="B5" s="4" t="inlineStr">
        <is>
          <t>The copy of any protest shall be received in the office designated above within one day of filing a protest with theGAO.
52.252-1   SOLICITATION PROVISIONS INCORPORATED BY REFERENCE (FEB 1998)
This solicitation incorporates one or more solicitation provisions by reference, with the same force and effect as if theywere given in full text. Upon request, the Contracting Officer will make its full text available. The Offeror is cautionedthat the listed provisions may include blocks that must be completed by the Offeror and submitted with its quotation oroffer. In lieu of submitting the full text of those provisions, the Offeror may identify the provision by paragraphidentifier and provide the appropriate information with its quotation or offer. Also, the full text of a solicitation provisionmay be accessed electronically at this address: https://www.acquisition.gov/
52.252-5 AUTHORIZED DEVIATIONS IN PROVISIONS (Nov 2020)</t>
        </is>
      </c>
      <c r="C5" t="n">
        <v>96</v>
      </c>
      <c r="D5" s="6" t="inlineStr">
        <is>
          <t>High</t>
        </is>
      </c>
      <c r="E5" t="inlineStr">
        <is>
          <t>Mandatory</t>
        </is>
      </c>
      <c r="F5" t="inlineStr"/>
      <c r="G5" t="inlineStr">
        <is>
          <t>Not Started</t>
        </is>
      </c>
      <c r="H5" t="inlineStr"/>
      <c r="I5" t="inlineStr"/>
    </row>
    <row r="6">
      <c r="A6" t="inlineStr">
        <is>
          <t>L</t>
        </is>
      </c>
      <c r="B6" s="4" t="inlineStr">
        <is>
          <t>NA VSEA may use a contractor to manage official contract files hereinafter referred to as "the support contractor",including the official file supporting this procurement. These official files may contain information that is considered atrade secret, proprietary, business sensitive or otherwise protected pursuant to law or regulation, hereinafter referred toas “protected information”. File management services consist of any of the following: secretarial or clerical support;data entry; document reproduction, scanning, imaging, or destruction; operation, management, or maintenance ofpaper-based or electronic mail rooms, file rooms, or libraries; and supervision in connection with functions listed herein.</t>
        </is>
      </c>
      <c r="C6" t="n">
        <v>96</v>
      </c>
      <c r="D6" s="5" t="inlineStr">
        <is>
          <t>Low</t>
        </is>
      </c>
      <c r="E6" t="inlineStr">
        <is>
          <t>Desirable</t>
        </is>
      </c>
      <c r="F6" t="inlineStr"/>
      <c r="G6" t="inlineStr">
        <is>
          <t>Not Started</t>
        </is>
      </c>
      <c r="H6" t="inlineStr"/>
      <c r="I6" t="inlineStr"/>
    </row>
    <row r="7">
      <c r="A7" t="inlineStr">
        <is>
          <t>L</t>
        </is>
      </c>
      <c r="B7" s="4" t="inlineStr">
        <is>
          <t>The cognizant Contracting Officer will ensure that any NA VSEA contract under which these file managementservices are acquired will contain a requirement that</t>
        </is>
      </c>
      <c r="C7" t="n">
        <v>96</v>
      </c>
      <c r="D7" s="6" t="inlineStr">
        <is>
          <t>High</t>
        </is>
      </c>
      <c r="E7" t="inlineStr">
        <is>
          <t>Mandatory</t>
        </is>
      </c>
      <c r="F7" t="inlineStr"/>
      <c r="G7" t="inlineStr">
        <is>
          <t>Not Started</t>
        </is>
      </c>
      <c r="H7" t="inlineStr"/>
      <c r="I7" t="inlineStr"/>
    </row>
    <row r="8">
      <c r="A8" t="inlineStr">
        <is>
          <t>L</t>
        </is>
      </c>
      <c r="B8" s="4" t="inlineStr">
        <is>
          <t>The support contractor not disclose any information,</t>
        </is>
      </c>
      <c r="C8" t="n">
        <v>96</v>
      </c>
      <c r="D8" s="5" t="inlineStr">
        <is>
          <t>Low</t>
        </is>
      </c>
      <c r="E8" t="inlineStr">
        <is>
          <t>Informational</t>
        </is>
      </c>
      <c r="F8" t="inlineStr"/>
      <c r="G8" t="inlineStr">
        <is>
          <t>Not Started</t>
        </is>
      </c>
      <c r="H8" t="inlineStr"/>
      <c r="I8" t="inlineStr"/>
    </row>
    <row r="9">
      <c r="A9" t="inlineStr">
        <is>
          <t>L</t>
        </is>
      </c>
      <c r="B9" s="4" t="inlineStr">
        <is>
          <t>In addition to any other rights the Offeror may have, it is a third party beneficiary who has the right of direct actionagainst the support contractor, or any person to whom the support contractor has released or disclosed ProtectedInformation, for the unauthorized duplication, release, or disclosure of such Protected Information.</t>
        </is>
      </c>
      <c r="C9" t="n">
        <v>96</v>
      </c>
      <c r="D9" s="5" t="inlineStr">
        <is>
          <t>Low</t>
        </is>
      </c>
      <c r="E9" t="inlineStr">
        <is>
          <t>Desirable</t>
        </is>
      </c>
      <c r="F9" t="inlineStr"/>
      <c r="G9" t="inlineStr">
        <is>
          <t>Not Started</t>
        </is>
      </c>
      <c r="H9" t="inlineStr"/>
      <c r="I9" t="inlineStr"/>
    </row>
    <row r="10">
      <c r="A10" t="inlineStr">
        <is>
          <t>L</t>
        </is>
      </c>
      <c r="B10" s="4" t="inlineStr">
        <is>
          <t>Submission of a proposal will be considered as consent to NA VSEA's permitting access to any information,irrespective of restrictive markings or the nature of the information submitted, by its file management support contractorfor the limited purpose of executing its file support contract responsibilities.</t>
        </is>
      </c>
      <c r="C10" t="n">
        <v>96</v>
      </c>
      <c r="D10" s="5" t="inlineStr">
        <is>
          <t>Low</t>
        </is>
      </c>
      <c r="E10" t="inlineStr">
        <is>
          <t>Informational</t>
        </is>
      </c>
      <c r="F10" t="inlineStr"/>
      <c r="G10" t="inlineStr">
        <is>
          <t>Not Started</t>
        </is>
      </c>
      <c r="H10" t="inlineStr"/>
      <c r="I10" t="inlineStr"/>
    </row>
    <row r="11">
      <c r="A11" t="inlineStr">
        <is>
          <t>L</t>
        </is>
      </c>
      <c r="B11" s="4" t="inlineStr">
        <is>
          <t>NA VSEA may, without further notice, enter into contracts with other contractors for these services. Offerors are freeto enter into separate non-disclosure agreements with the file support contractor. Contact the Procuring ContractingOfficer for contractor specifics. However, any such agreement will not be considered a prerequisite before informationsubmitted is stored in the files or otherwise encumber the Government.
*Note: For the purposes of SeaPort-NxG, Octo Consulting, the software provider/portal maintainer, is the solecontractor who, in the course of trouble-shooting, could have access to the official contract files maintained within theportal.
L-209-H009 NOTIFICATION OF POTENTIAL ORGANIZATIONAL OR PERSONAL CONFLICT(S) OFINTEREST (NA VSEA) (APR 2022)</t>
        </is>
      </c>
      <c r="C11" t="n">
        <v>96</v>
      </c>
      <c r="D11" s="5" t="inlineStr">
        <is>
          <t>Low</t>
        </is>
      </c>
      <c r="E11" t="inlineStr">
        <is>
          <t>Desirable</t>
        </is>
      </c>
      <c r="F11" t="inlineStr"/>
      <c r="G11" t="inlineStr">
        <is>
          <t>Not Started</t>
        </is>
      </c>
      <c r="H11" t="inlineStr"/>
      <c r="I11" t="inlineStr"/>
    </row>
    <row r="12">
      <c r="A12" t="inlineStr">
        <is>
          <t>L</t>
        </is>
      </c>
      <c r="B12" s="4" t="inlineStr">
        <is>
          <t>Offerors are reminded that certain existing contractual arrangements may preclude, restrict or limit participation, inwhole or in part, either as a subcontractor or as a prime contractor under this competitive procurement.  Of primaryconcern are those contractual arrangements in which the Offeror provides support to IT Services, or related laboratories(if applicable), in support of operation of the office or any of its programs.  General guidance may be found in FAR9.505; however, this guidance is not all-inclusive.  The Offeror's attention is directed to the "Organizational Conflict ofInterest" (OCI) or similar requirement which may be contained in current or completed contract(s) which prohibits theprime or subcontractor from providing certain supplies or services to the Government as described above during theperiod of the current "support" contract(s) or for a period after completion of the "support" contract(s).  Notwithstandingthe existence or non-existence of an OCI or similar requirement in current or completed contract(s), the Offeror shallcomply with FAR subpart 9.5 and identify whether an OCI exists and not rely solely on the presence of an OCI orsimilar requirement.</t>
        </is>
      </c>
      <c r="C12" t="n">
        <v>96</v>
      </c>
      <c r="D12" s="5" t="inlineStr">
        <is>
          <t>Low</t>
        </is>
      </c>
      <c r="E12" t="inlineStr">
        <is>
          <t>Desirable</t>
        </is>
      </c>
      <c r="F12" t="inlineStr"/>
      <c r="G12" t="inlineStr">
        <is>
          <t>Not Started</t>
        </is>
      </c>
      <c r="H12" t="inlineStr"/>
      <c r="I12" t="inlineStr"/>
    </row>
    <row r="13">
      <c r="A13" t="inlineStr">
        <is>
          <t>L</t>
        </is>
      </c>
      <c r="B13" s="4" t="inlineStr">
        <is>
          <t>Offerors also are reminded that certain potential conflicts of interest may arise where an Offeror has unequal accessto nonpublic information about a competitor that may provide the Offeror with an unfair competitive advantage andpreclude, restrict or limit participation, in whole or in part, either of the individual, subcontractor or prime contractorunder this competitive procurement.  For example, a potential conflict may arise if former Department of Navyemployee(s), subcontractors, or teaming partners of the Offeror may have gained access to nonpublic information abouta competitor through participation in previous or ongoing performance or during the solicitation development/sourceselection process associated with this competitive procurement, and then participates in the formation of the Offeror’ sproposal.  Other potential conflicts of interest may arise where either the former Department of Navy employee(s),subcontractors, or teaming partners of the Offeror under this competitive procurement set the ground rules forcompetition; for example, by drafting specifications or assisting in the drafting of the statement of work. Generalguidance may be found in FAR 3.101 and 9.505; however, this guidance is not all-inclusive.</t>
        </is>
      </c>
      <c r="C13" t="n">
        <v>96</v>
      </c>
      <c r="D13" s="5" t="inlineStr">
        <is>
          <t>Low</t>
        </is>
      </c>
      <c r="E13" t="inlineStr">
        <is>
          <t>Desirable</t>
        </is>
      </c>
      <c r="F13" t="inlineStr"/>
      <c r="G13" t="inlineStr">
        <is>
          <t>Not Started</t>
        </is>
      </c>
      <c r="H13" t="inlineStr"/>
      <c r="I13" t="inlineStr">
        <is>
          <t>FAR 3.101</t>
        </is>
      </c>
    </row>
    <row r="14">
      <c r="A14" t="inlineStr">
        <is>
          <t>L</t>
        </is>
      </c>
      <c r="B14" s="4" t="inlineStr">
        <is>
          <t>If an Offeror identifies a potential conflict of interest that exists at any tier, that Offeror is requested to notify theContracting Officer within 14 days of the date of this solicitation.  The Offeror shall provide: (1) the contract or previoussource selection’ s solicitation number and name and phone number of the Contracting Officer for the contract whichgives rise to a potential conflict of interest; (2) a copy of the requirement; (3) the statement of work and technicalinstruction from the existing contract, as applicable; (4) a brief description of the type of work to be performed by eachsubcontractor under the competitive procurement; (5) a brief description of the individual’ s, subcontractor’ s, or teaming</t>
        </is>
      </c>
      <c r="C14" t="n">
        <v>96</v>
      </c>
      <c r="D14" s="6" t="inlineStr">
        <is>
          <t>High</t>
        </is>
      </c>
      <c r="E14" t="inlineStr">
        <is>
          <t>Mandatory</t>
        </is>
      </c>
      <c r="F14" t="inlineStr"/>
      <c r="G14" t="inlineStr">
        <is>
          <t>Not Started</t>
        </is>
      </c>
      <c r="H14" t="inlineStr"/>
      <c r="I14" t="inlineStr"/>
    </row>
    <row r="15">
      <c r="A15" t="inlineStr">
        <is>
          <t>L</t>
        </is>
      </c>
      <c r="B15" s="4" t="inlineStr">
        <is>
          <t>N0017826R30020003 - FINAL
Page 96 of 114
partner’ s unequal access to nonpublic information about a competitor, which may lead to a conflict of interest in theformation of the Offeror’ s proposal, or establishment of ground rules for this competitive procurement, as applicable; (6)an OCI mitigation plan, as applicable; and (7) any additional information the Contracting Officer should consider inmaking a determination of whether a conflict of interest exists.  The Government may independently verify theinformation received from the Offeror.  The requirement to identify potential conflicts of interest as outlined hereincontinues until contract award.  Notwithstanding the above, the Government reserves the right to determine whether aconflict of interest exists based on any information received from any source.</t>
        </is>
      </c>
      <c r="C15" t="n">
        <v>96</v>
      </c>
      <c r="D15" s="7" t="inlineStr">
        <is>
          <t>Medium</t>
        </is>
      </c>
      <c r="E15" t="inlineStr">
        <is>
          <t>Highly Desirable</t>
        </is>
      </c>
      <c r="F15" t="inlineStr"/>
      <c r="G15" t="inlineStr">
        <is>
          <t>Not Started</t>
        </is>
      </c>
      <c r="H15" t="inlineStr"/>
      <c r="I15" t="inlineStr"/>
    </row>
    <row r="16">
      <c r="A16" t="inlineStr">
        <is>
          <t>L</t>
        </is>
      </c>
      <c r="B16" s="4" t="inlineStr">
        <is>
          <t>The Government will notify an Offeror of any conflict of interest within 14 days of receipt of all requiredinformation.  Those Offerors deemed to have a conflict of interest may be ineligible for award.  Failure to provide theinformation in a timely manner does not waive the Government's rights to make a conflict of interest determination. The Offeror is notified that if it expends time and money on proposal preparation, such expenditure is at its own riskregardless of whether the Government determines a personal or organizational conflict of interest does or does not exist.</t>
        </is>
      </c>
      <c r="C16" t="n">
        <v>96</v>
      </c>
      <c r="D16" s="5" t="inlineStr">
        <is>
          <t>Low</t>
        </is>
      </c>
      <c r="E16" t="inlineStr">
        <is>
          <t>Desirable</t>
        </is>
      </c>
      <c r="F16" t="inlineStr"/>
      <c r="G16" t="inlineStr">
        <is>
          <t>Not Started</t>
        </is>
      </c>
      <c r="H16" t="inlineStr"/>
      <c r="I16" t="inlineStr"/>
    </row>
    <row r="17">
      <c r="A17" t="inlineStr">
        <is>
          <t>L</t>
        </is>
      </c>
      <c r="B17" s="4" t="inlineStr">
        <is>
          <t>Any potential prime contractor which proposes an individual, subcontractor, or teaming partner later determined tohave a conflict of interest and deemed ineligible to participate in the current competition, may not be granted theopportunity to revise its proposal to remove the ineligible individual, subcontractor or teaming partner.  TheGovernment reserves the right to determine which Offerors remain in the competitive range through the normal sourceselection process.</t>
        </is>
      </c>
      <c r="C17" t="n">
        <v>96</v>
      </c>
      <c r="D17" s="5" t="inlineStr">
        <is>
          <t>Low</t>
        </is>
      </c>
      <c r="E17" t="inlineStr">
        <is>
          <t>Desirable</t>
        </is>
      </c>
      <c r="F17" t="inlineStr"/>
      <c r="G17" t="inlineStr">
        <is>
          <t>Not Started</t>
        </is>
      </c>
      <c r="H17" t="inlineStr"/>
      <c r="I17" t="inlineStr"/>
    </row>
    <row r="18">
      <c r="A18" t="inlineStr">
        <is>
          <t>L</t>
        </is>
      </c>
      <c r="B18" s="4" t="inlineStr">
        <is>
          <t>If the Offeror determines that a potential organizational and/or personal conflict of interest does not exist at any tier,the Offeror shall include a statement to that effect in its response to this solicitation.
L-211-H001 UPDATES TO PERIOD OF PERFORMANCE AND DELIVERY DATES (NA VSEA) (JUN 2022)
For proposal purposes the estimated date of contract, task order, or delivery order award is 20 August 2026.  The governmentreserves the right to award sooner or later if necessary.  The delivery dates and/or period of performance start and enddates in Section F will be updated at award based upon actual contract, task order, or delivery order award date.
L-215-H004 INSTRUCTIONS FOR PRICING OF CONTRACT DATA REQUIREMENTS LIST (NA VSEA)(OCT 2018)</t>
        </is>
      </c>
      <c r="C18" t="n">
        <v>96</v>
      </c>
      <c r="D18" s="6" t="inlineStr">
        <is>
          <t>High</t>
        </is>
      </c>
      <c r="E18" t="inlineStr">
        <is>
          <t>Mandatory</t>
        </is>
      </c>
      <c r="F18" t="inlineStr"/>
      <c r="G18" t="inlineStr">
        <is>
          <t>Not Started</t>
        </is>
      </c>
      <c r="H18" t="inlineStr"/>
      <c r="I18" t="inlineStr">
        <is>
          <t>Section F</t>
        </is>
      </c>
    </row>
    <row r="19">
      <c r="A19" t="inlineStr">
        <is>
          <t>L</t>
        </is>
      </c>
      <c r="B19" s="4" t="inlineStr">
        <is>
          <t>The Offeror shall complete the “Price Group” (Block 17) and “Estimated Total Price” (Block 18) of each data itemon the Contract Data Requirements List (CDRL) of this solicitation using the following instructions:</t>
        </is>
      </c>
      <c r="C19" t="n">
        <v>96</v>
      </c>
      <c r="D19" s="6" t="inlineStr">
        <is>
          <t>High</t>
        </is>
      </c>
      <c r="E19" t="inlineStr">
        <is>
          <t>Mandatory</t>
        </is>
      </c>
      <c r="F19" t="inlineStr"/>
      <c r="G19" t="inlineStr">
        <is>
          <t>Not Started</t>
        </is>
      </c>
      <c r="H19" t="inlineStr"/>
      <c r="I19" t="inlineStr"/>
    </row>
    <row r="20">
      <c r="A20" t="inlineStr">
        <is>
          <t>L</t>
        </is>
      </c>
      <c r="B20" s="4" t="inlineStr">
        <is>
          <t>Group I.  Definition – Data which is not otherwise essential to the Offeror’ s performance of the primary contractedeffort (production, development, testing, and administration) but which is required by DD Form 1423.</t>
        </is>
      </c>
      <c r="C20" t="n">
        <v>96</v>
      </c>
      <c r="D20" s="6" t="inlineStr">
        <is>
          <t>High</t>
        </is>
      </c>
      <c r="E20" t="inlineStr">
        <is>
          <t>Mandatory</t>
        </is>
      </c>
      <c r="F20" t="inlineStr"/>
      <c r="G20" t="inlineStr">
        <is>
          <t>Not Started</t>
        </is>
      </c>
      <c r="H20" t="inlineStr"/>
      <c r="I20" t="inlineStr"/>
    </row>
    <row r="21">
      <c r="A21" t="inlineStr">
        <is>
          <t>L</t>
        </is>
      </c>
      <c r="B21" s="4" t="inlineStr">
        <is>
          <t>Group II.  Definition – Data which is essential to the performance of the primary contracted effort but the Offeror isrequired to perform additional work to conform to Government requirements with regard to depth of content, format,frequency of submittal, preparation, control, or quality of the data item.</t>
        </is>
      </c>
      <c r="C21" t="n">
        <v>96</v>
      </c>
      <c r="D21" s="5" t="inlineStr">
        <is>
          <t>Low</t>
        </is>
      </c>
      <c r="E21" t="inlineStr">
        <is>
          <t>Informational</t>
        </is>
      </c>
      <c r="F21" t="inlineStr"/>
      <c r="G21" t="inlineStr">
        <is>
          <t>Not Started</t>
        </is>
      </c>
      <c r="H21" t="inlineStr"/>
      <c r="I21" t="inlineStr"/>
    </row>
    <row r="22">
      <c r="A22" t="inlineStr">
        <is>
          <t>L</t>
        </is>
      </c>
      <c r="B22" s="4" t="inlineStr">
        <is>
          <t>Group III.  Definition – Data which the Offeror must develop for his internal use in performance of the primarycontracted effort and does not require any substantial change to conform to Government requirements with regard todepth of content, format, frequency of submittal, preparation, control, or quality of the data item.</t>
        </is>
      </c>
      <c r="C22" t="n">
        <v>96</v>
      </c>
      <c r="D22" s="6" t="inlineStr">
        <is>
          <t>High</t>
        </is>
      </c>
      <c r="E22" t="inlineStr">
        <is>
          <t>Mandatory</t>
        </is>
      </c>
      <c r="F22" t="inlineStr"/>
      <c r="G22" t="inlineStr">
        <is>
          <t>Not Started</t>
        </is>
      </c>
      <c r="H22" t="inlineStr"/>
      <c r="I22" t="inlineStr"/>
    </row>
    <row r="23">
      <c r="A23" t="inlineStr">
        <is>
          <t>L</t>
        </is>
      </c>
      <c r="B23" s="4" t="inlineStr">
        <is>
          <t>N0017826R30020003 - FINAL
Page 97 of 114
his effort in supplying these data to the Government is minimal.</t>
        </is>
      </c>
      <c r="C23" t="n">
        <v>96</v>
      </c>
      <c r="D23" s="5" t="inlineStr">
        <is>
          <t>Low</t>
        </is>
      </c>
      <c r="E23" t="inlineStr">
        <is>
          <t>Informational</t>
        </is>
      </c>
      <c r="F23" t="inlineStr"/>
      <c r="G23" t="inlineStr">
        <is>
          <t>Not Started</t>
        </is>
      </c>
      <c r="H23" t="inlineStr"/>
      <c r="I23" t="inlineStr"/>
    </row>
    <row r="24">
      <c r="A24" t="inlineStr">
        <is>
          <t>L</t>
        </is>
      </c>
      <c r="B24" s="4" t="inlineStr">
        <is>
          <t>Estimated Price – Group IV items should normally be shown on the DD Form 1423 at no cost.</t>
        </is>
      </c>
      <c r="C24" t="n">
        <v>96</v>
      </c>
      <c r="D24" s="7" t="inlineStr">
        <is>
          <t>Medium</t>
        </is>
      </c>
      <c r="E24" t="inlineStr">
        <is>
          <t>Highly Desirable</t>
        </is>
      </c>
      <c r="F24" t="inlineStr"/>
      <c r="G24" t="inlineStr">
        <is>
          <t>Not Started</t>
        </is>
      </c>
      <c r="H24" t="inlineStr"/>
      <c r="I24" t="inlineStr"/>
    </row>
    <row r="25">
      <c r="A25" t="inlineStr">
        <is>
          <t>L</t>
        </is>
      </c>
      <c r="B25" s="4" t="inlineStr">
        <is>
          <t>Block 18.  For each data item, enter an amount equal to that portion of the total price which is estimated to beattributable to the production or development for the Government of that item of data.  The estimated data prices shallbe developed only from those costs which will be incurred as a direct result of the requirement to supply the data, overand above those costs which would otherwise be incurred in performance of the contract if no data were required.  Theentry “N/C” for “no charge” will be acceptable.  The estimated price shall not include any amount for rights in data. The Government’ s rights to use the data shall be governed by the pertinent provisions of the contract.
L-215-H006 SUBMISSION OF QUESTIONS BY OFFERORS--BASIC (NA VSEA) (APR 2022)</t>
        </is>
      </c>
      <c r="C25" t="n">
        <v>96</v>
      </c>
      <c r="D25" s="6" t="inlineStr">
        <is>
          <t>High</t>
        </is>
      </c>
      <c r="E25" t="inlineStr">
        <is>
          <t>Mandatory</t>
        </is>
      </c>
      <c r="F25" t="inlineStr"/>
      <c r="G25" t="inlineStr">
        <is>
          <t>Not Started</t>
        </is>
      </c>
      <c r="H25" t="inlineStr"/>
      <c r="I25" t="inlineStr"/>
    </row>
    <row r="26">
      <c r="A26" t="inlineStr">
        <is>
          <t>L</t>
        </is>
      </c>
      <c r="B26" s="4" t="inlineStr">
        <is>
          <t>Offerors may submit questions or request clarification of any aspect of this solicitation.  It is the Offeror’ sresponsibility to bring to the attention of the Contracting Officer at the earliest possible time, but prior to the closingdate, any ambiguities, discrepancies, inconsistencies, or conflicts between the SOW or PWS (as applicable) and othersolicitation documents attached hereto or incorporated by reference.  Each question should identify solicitation number,document, page number, paragraph number or other identifier relating to the question.  Questions without thisinformation may not be answered.  Acknowledgment of questions received will not be made.</t>
        </is>
      </c>
      <c r="C26" t="n">
        <v>96</v>
      </c>
      <c r="D26" s="7" t="inlineStr">
        <is>
          <t>Medium</t>
        </is>
      </c>
      <c r="E26" t="inlineStr">
        <is>
          <t>Highly Desirable</t>
        </is>
      </c>
      <c r="F26" t="inlineStr"/>
      <c r="G26" t="inlineStr">
        <is>
          <t>Not Started</t>
        </is>
      </c>
      <c r="H26" t="inlineStr"/>
      <c r="I26" t="inlineStr"/>
    </row>
    <row r="27">
      <c r="A27" t="inlineStr">
        <is>
          <t>L</t>
        </is>
      </c>
      <c r="B27" s="4" t="inlineStr">
        <is>
          <t>All questions shall be submitted via the SeaPort portal for this solicitation.  Responses will be posted to the SeaPortportal.
L-216-H001 TASK ORDER GENERAL INFORMATION (NA VSEA) (JUL 2023)</t>
        </is>
      </c>
      <c r="C27" t="n">
        <v>96</v>
      </c>
      <c r="D27" s="6" t="inlineStr">
        <is>
          <t>High</t>
        </is>
      </c>
      <c r="E27" t="inlineStr">
        <is>
          <t>Mandatory</t>
        </is>
      </c>
      <c r="F27" t="inlineStr"/>
      <c r="G27" t="inlineStr">
        <is>
          <t>Not Started</t>
        </is>
      </c>
      <c r="H27" t="inlineStr"/>
      <c r="I27" t="inlineStr"/>
    </row>
    <row r="28">
      <c r="A28" t="inlineStr">
        <is>
          <t>L</t>
        </is>
      </c>
      <c r="B28" s="4" t="inlineStr">
        <is>
          <t>There[x ] will be [  ]will not be an industry day.  If there will be an industry day, information will be providedelsewhere in this Section L.</t>
        </is>
      </c>
      <c r="C28" t="n">
        <v>96</v>
      </c>
      <c r="D28" s="5" t="inlineStr">
        <is>
          <t>Low</t>
        </is>
      </c>
      <c r="E28" t="inlineStr">
        <is>
          <t>Informational</t>
        </is>
      </c>
      <c r="F28" t="inlineStr"/>
      <c r="G28" t="inlineStr">
        <is>
          <t>Not Started</t>
        </is>
      </c>
      <c r="H28" t="inlineStr"/>
      <c r="I28" t="inlineStr">
        <is>
          <t>Section L</t>
        </is>
      </c>
    </row>
    <row r="29">
      <c r="A29" t="inlineStr">
        <is>
          <t>L</t>
        </is>
      </c>
      <c r="B29" s="4" t="inlineStr">
        <is>
          <t>Proposal in response to this solicitation shall be valid for 365 calendar days.</t>
        </is>
      </c>
      <c r="C29" t="n">
        <v>96</v>
      </c>
      <c r="D29" s="6" t="inlineStr">
        <is>
          <t>High</t>
        </is>
      </c>
      <c r="E29" t="inlineStr">
        <is>
          <t>Mandatory</t>
        </is>
      </c>
      <c r="F29" t="inlineStr"/>
      <c r="G29" t="inlineStr">
        <is>
          <t>Not Started</t>
        </is>
      </c>
      <c r="H29" t="inlineStr"/>
      <c r="I29" t="inlineStr"/>
    </row>
    <row r="30">
      <c r="A30" t="inlineStr">
        <is>
          <t>L</t>
        </is>
      </c>
      <c r="B30" s="4" t="inlineStr">
        <is>
          <t>Please consider the following suggestions for avoiding last-minute proposal submission problems:
 Verify your account’ s ability to submit the necessary proposal information (either as a prime or subcontractor) well inadvance of the closing time.  This may be accomplished through the following steps:</t>
        </is>
      </c>
      <c r="C30" t="n">
        <v>96</v>
      </c>
      <c r="D30" s="5" t="inlineStr">
        <is>
          <t>Low</t>
        </is>
      </c>
      <c r="E30" t="inlineStr">
        <is>
          <t>Desirable</t>
        </is>
      </c>
      <c r="F30" t="inlineStr"/>
      <c r="G30" t="inlineStr">
        <is>
          <t>Not Started</t>
        </is>
      </c>
      <c r="H30" t="inlineStr"/>
      <c r="I30" t="inlineStr"/>
    </row>
    <row r="31">
      <c r="A31" t="inlineStr">
        <is>
          <t>L</t>
        </is>
      </c>
      <c r="B31" s="4" t="inlineStr">
        <is>
          <t>Login to the portal and access the “View Events Details” page for this solicitation.</t>
        </is>
      </c>
      <c r="C31" t="n">
        <v>96</v>
      </c>
      <c r="D31" s="5" t="inlineStr">
        <is>
          <t>Low</t>
        </is>
      </c>
      <c r="E31" t="inlineStr">
        <is>
          <t>Informational</t>
        </is>
      </c>
      <c r="F31" t="inlineStr"/>
      <c r="G31" t="inlineStr">
        <is>
          <t>Not Started</t>
        </is>
      </c>
      <c r="H31" t="inlineStr"/>
      <c r="I31" t="inlineStr"/>
    </row>
    <row r="32">
      <c r="A32" t="inlineStr">
        <is>
          <t>L</t>
        </is>
      </c>
      <c r="B32" s="4" t="inlineStr">
        <is>
          <t>Click on “Place New Bid” in the “Bids” section of the page.  This will open the “Place New Bids” page.</t>
        </is>
      </c>
      <c r="C32" t="n">
        <v>96</v>
      </c>
      <c r="D32" s="5" t="inlineStr">
        <is>
          <t>Low</t>
        </is>
      </c>
      <c r="E32" t="inlineStr">
        <is>
          <t>Informational</t>
        </is>
      </c>
      <c r="F32" t="inlineStr"/>
      <c r="G32" t="inlineStr">
        <is>
          <t>Not Started</t>
        </is>
      </c>
      <c r="H32" t="inlineStr"/>
      <c r="I32" t="inlineStr"/>
    </row>
    <row r="33">
      <c r="A33" t="inlineStr">
        <is>
          <t>L</t>
        </is>
      </c>
      <c r="B33" s="4" t="inlineStr">
        <is>
          <t>If you are submitting a proposal as a prime, ensure that the “Enter Pricing Info” button is visible and enabled.  Fromhere you may simply hit the “Cancel” button to return to the previous page.</t>
        </is>
      </c>
      <c r="C33" t="n">
        <v>96</v>
      </c>
      <c r="D33" s="5" t="inlineStr">
        <is>
          <t>Low</t>
        </is>
      </c>
      <c r="E33" t="inlineStr">
        <is>
          <t>Desirable</t>
        </is>
      </c>
      <c r="F33" t="inlineStr"/>
      <c r="G33" t="inlineStr">
        <is>
          <t>Not Started</t>
        </is>
      </c>
      <c r="H33" t="inlineStr"/>
      <c r="I33" t="inlineStr"/>
    </row>
    <row r="34">
      <c r="A34" t="inlineStr">
        <is>
          <t>L</t>
        </is>
      </c>
      <c r="B34" s="4" t="inlineStr">
        <is>
          <t>N0017826R30020003 - FINAL
Page 98 of 114
 (j)  If things do not appear as you believe they should, contact SeaPortSupport.fct@navy.mil for assistance.
L-239-W001 REQUIREMENTS FOR ELECTRONIC INFORMATION TECHNOLOGY (EIT)ACCESSIBILITY STANDARDS/SECTION 508 COMPLIANCE (NA VSEA) (OCT 2018)</t>
        </is>
      </c>
      <c r="C34" t="n">
        <v>96</v>
      </c>
      <c r="D34" s="7" t="inlineStr">
        <is>
          <t>Medium</t>
        </is>
      </c>
      <c r="E34" t="inlineStr">
        <is>
          <t>Highly Desirable</t>
        </is>
      </c>
      <c r="F34" t="inlineStr"/>
      <c r="G34" t="inlineStr">
        <is>
          <t>Not Started</t>
        </is>
      </c>
      <c r="H34" t="inlineStr"/>
      <c r="I34" t="inlineStr"/>
    </row>
    <row r="35">
      <c r="A35" t="inlineStr">
        <is>
          <t>L</t>
        </is>
      </c>
      <c r="B35" s="4" t="inlineStr">
        <is>
          <t>Requirements for accessibility based on Section 508 of the Rehabilitation Act of 1973 (29 U.S.C. 794d) aredetermined to be relevant for product(s)/service(s) procured under this solicitation.  All offerors __ arerequired, X are not required to submit a V oluntary Product Accessibility Template (VPAT) for items or a GovernmentProduct/Service Accessibility Template (GPAT) for service to document compliance with the indicated Section 508Standards.
If required, offerors, which do not provide a VPAT or GPAT, may be determined technically unacceptable.
 (b)  Each Electronic and Information Technology (EIT) item or service provided under this contract shall comply withthe EIT Accessibility Standards listed below:
 _X___ 36 C.F.R. § 1194.21 - Software applications and operating systems
_X___ 36 C.F.R. § 1194.22 - Web-based and internet information and applications
_X___ 36 C.F.R. § 1194.23 - Telecommunications products
_X___ 36 C.F.R. § 1194.24 - Video and multimedia products
_X___ 36 C.F.R. § 1194.25 - Self-contained, closed products
_X___ 36 C.F.R. § 1194.26 - Desktop and portable computers
_X___ 36 C.F.R. § 1194.31 - Functional Performance Criteria
_____ 36 C.F.R. § 1194.41 - Information, Documentation, and Support
 (c)  For more information on VPATs and GPATs please referto: http://www.buyaccessible.gov/ or http://www.section508.gov/content/sell/vpat
L-245-H001 A V AILABILITY OF GOVERNMENT PROPERTY (NA VSEA) (JUL 2024) 
Government property is offered for use under this solicitation.  The contractor is responsible for all costs related tomaking the property available for use, including (but not limited to) payment of all transportation, installation, andrehabilitation costs.
L-245-H002 INSTRUCTIONS REGARDING GOVERNMENT PROPERTY (NA VSEA) (JUL 2024)
All offerors shall submit the following information in their proposal:</t>
        </is>
      </c>
      <c r="C35" t="n">
        <v>96</v>
      </c>
      <c r="D35" s="6" t="inlineStr">
        <is>
          <t>High</t>
        </is>
      </c>
      <c r="E35" t="inlineStr">
        <is>
          <t>Mandatory</t>
        </is>
      </c>
      <c r="F35" t="inlineStr"/>
      <c r="G35" t="inlineStr">
        <is>
          <t>Not Started</t>
        </is>
      </c>
      <c r="H35" t="inlineStr"/>
      <c r="I35" t="inlineStr"/>
    </row>
    <row r="36">
      <c r="A36" t="inlineStr">
        <is>
          <t>L</t>
        </is>
      </c>
      <c r="B36" s="4" t="inlineStr">
        <is>
          <t>A list or description of all Government property that the offeror or its subcontractors propose to use on a rent-freebasis. The list shall identify the accountable contract under which the property is held and the authorization for its use(from the contracting officer having cognizance of the property);</t>
        </is>
      </c>
      <c r="C36" t="n">
        <v>96</v>
      </c>
      <c r="D36" s="6" t="inlineStr">
        <is>
          <t>High</t>
        </is>
      </c>
      <c r="E36" t="inlineStr">
        <is>
          <t>Mandatory</t>
        </is>
      </c>
      <c r="F36" t="inlineStr"/>
      <c r="G36" t="inlineStr">
        <is>
          <t>Not Started</t>
        </is>
      </c>
      <c r="H36" t="inlineStr"/>
      <c r="I36" t="inlineStr"/>
    </row>
    <row r="37">
      <c r="A37" t="inlineStr">
        <is>
          <t>L</t>
        </is>
      </c>
      <c r="B37" s="4" t="inlineStr">
        <is>
          <t>A description of the offeror's property management system, plan, and any customary commercial practices, voluntaryconsensus standards, or industry-leading practices and standards to be used by the offeror in managing Governmentproperty.
1.0 INSTRUCTIONS FOR SUBMISSION OF OFFERS
Offeror shall comply with the detailed instructions for the format and content of the proposal.  Proposals shall be clear andunambiguous. Proposals that do not comply with the detailed instructions for the format and content of the proposal mayrender the Offeror ineligible for award.  The Government reserves the right to reject any proposal that does not complywith these proposal submission instructions.</t>
        </is>
      </c>
      <c r="C37" t="n">
        <v>96</v>
      </c>
      <c r="D37" s="6" t="inlineStr">
        <is>
          <t>High</t>
        </is>
      </c>
      <c r="E37" t="inlineStr">
        <is>
          <t>Mandatory</t>
        </is>
      </c>
      <c r="F37" t="inlineStr"/>
      <c r="G37" t="inlineStr">
        <is>
          <t>Not Started</t>
        </is>
      </c>
      <c r="H37" t="inlineStr"/>
      <c r="I37" t="inlineStr"/>
    </row>
    <row r="38">
      <c r="A38" t="inlineStr">
        <is>
          <t>L</t>
        </is>
      </c>
      <c r="B38" s="4" t="inlineStr">
        <is>
          <t>N0017826R30020003 - FINAL
Page 99 of 114
Proposals shall be submitted through the SeaPort-NxG portal by the solicitation closing date and time specified on thecover page of this solicitation, block (9).  Offers must be received via the SeaPort-NxG portal by the closing date and timein order to be considered for award.  It is not permissible to upload a link to an internet-based data center (e.g. Googlecloud or Dropbox).  Offeror shall submit all required proposal information as files uploaded directly in the SeaPort-NxGportal.   In the rare event the portal is down or inaccessible, Offeror shall immediately notify the cognizant ContractingOfficer for the solicitation via e-mail prior to the solicitation closing date and time.  Offeror shall also contact theSeaPort-NxG helpdesk to register a help ticket that the portal is down or inoperable prior to the closing time and date.  Inthe rare event of a portal malfunction, arrangements must be made with the Contracting Officer cognizant for thesolicitation prior to the solicitation closing date and time in order to submit a proposal electronically outside the portal. Failure to submit a complete proposal prior to the solicitation closing date and time will render the proposal late andunacceptable. 
Offerorsareresponsibleforsubmittingproposalsandany proposal modifications intheportalbythetimespecifiedinthesolicitation. Anyproposalmodificationnotsubmittedintheportalbytheexacttimespecifiedforreceiptofoffersis“late”andwillnotbeconsidered.ThesolicitationwillcloseattheexactdateandtimespecifiedinthesolicitationandOfferorswillbeunabletosubmititsproposalafterthattime.Eachproposalsubmittedintheportalistime/datestamprecordedbytheportalattimeofproposalupload. Proposalsmaybewithdrawnbywrittennoticetothe cognizant ContractingOfficerfor the solicitationprovidedsuchnoticeisreceivedpriortoTaskOrderaward.
2.0 Proposal Format
In order to maximize efficiency and minimize the time for proposal evaluation, all Offerors shall submit their proposals inaccordance with the format and content specified below.   The requirements below apply equally to subcontractors. Proposals that do not meet the below requirements may be deemed unresponsive and may not be eligible for award.  Theelectronic proposal shall be prepared so that if printed, the proposal meets the following format requirements:
· 8.5 x 11 inch paper
· Single-spaced typed lines
· 1 inch margins
· Font text shall be 12-point Times New Roman, except for:
· Graphs, graphics, tables, or charts used to supplement the proposal text shall use Times New Roman that is no smaller than9-point font size.
· Microsoft Office Excel spreadsheets shall use Times New Roman that is no smaller than 9-point font size.  These Excelspreadsheets shall be formatted for printing in landscape orientation such that all row and column headings appear oneach printed page. All spreadsheets shall include calculations in the cells showing all formulas.  Do not enter hard datawhere formulas were used to calculate the entered value. 
· No hyperlinks
· Proposals shall beinEnglishandinU.S.dollars.
· Proposals shall be Microsoft Office (Word, Excel, PowerPoint) 2010 and newer versions or Adobe Acrobat (PDF)compatible.  PDF files shall be searchable when reviewed electronically. 
2.1 Cover Page and Table of Contents
Offeror shall include a cover page and table of contents for each proposal volume.  The cover page shall identify thesolicitation number, proposal volume and title, and the Offeror’ s name. The cover page and table of contents will notcount against page limitations.    
2.2 Glossary of Abbreviations and Acronyms
Offer shall include a glossary of abbreviations and acronyms for each proposal volume that provides correspondingdefinitions.  Glossaries will not count against page limitations.
2.3 Page Numbering System</t>
        </is>
      </c>
      <c r="C38" t="n">
        <v>96</v>
      </c>
      <c r="D38" s="6" t="inlineStr">
        <is>
          <t>High</t>
        </is>
      </c>
      <c r="E38" t="inlineStr">
        <is>
          <t>Mandatory</t>
        </is>
      </c>
      <c r="F38" t="inlineStr"/>
      <c r="G38" t="inlineStr">
        <is>
          <t>Not Started</t>
        </is>
      </c>
      <c r="H38" t="inlineStr"/>
      <c r="I38" t="inlineStr"/>
    </row>
    <row r="39">
      <c r="A39" t="inlineStr">
        <is>
          <t>L</t>
        </is>
      </c>
      <c r="B39" s="4" t="inlineStr">
        <is>
          <t>N0017826R30020003 - FINAL
Page 100 of 114
Offeror shall use a standard page numbering system to facilitate proposal references.  All pages shall be numberedconsecutively for each section within a volume.  Charts, graphs, and other inserted materials shall be included in thepage numbering system. 
2.4  Restriction on Disclosure and Use of Data
Offerorsthatincludeintheirproposalsdatathattheydonotwantdisclosedtothepublicforanypurpose,orusedbytheGovernmentexceptforevaluationpurposes, shall markthetitlepagewiththefollowinglegend:
"ThisproposalincludesdatathatshallnotbedisclosedoutsidetheGovernmentandshallnotbeduplicated,used,ordisclosedinwholeorinpartforanypurposeotherthantoevaluatethisproposal.If,however,acontractisawardedtothisOfferorasaresultof,orinconnectionwith,thesubmissionofthisdata,theGovernmentshallhavetherighttoduplicate,use,ordisclosethedatatotheextentprovidedintheresultingcontract.ThisrestrictiondoesnotlimittheGovernment’srighttouseinformationcontainedinthisdataifitisobtainedfromanothersourcewithoutrestriction.Thedatasubjecttothisrestrictionarecontainedinsheets[insertnumbersorotheridentificationofsheets]";
Offerors shall also markeachsheetofdataitwishestorestrictwiththefollowinglegend:
"Useordisclosureofdatacontainedonthissheetissubjecttotherestrictiononthetitlepageofthisproposal."    
2.5 File Naming Convention
All proposal files shall include the Offeror's company name, volume #, document name, and other useful identifyinginformation.  For example:
§  Company_V olume_I _Technical Approach
§  Company_V olume_I_Key Personnel Resume for Jane Doe
§  Company_V olume_II _Past Performance Reference for N00178-26-R-3002
§  Company_V olume_III _Cost Proposal Narrative
§  Company_V olume_IV_Cover Letter
3.0 PROPOSAL ORGANIZATION AND CONTENT
Offeror shall organize its proposal and include all proposal content exactly as described herein.  Offeror shall organizeits proposal into separate volumes and adhere to page limitations as delineated in the Proposal Organization Tablebelow.  Page limitations will be treated as maximums.  If exceeded, excess pages may not be read or considered inproposal evaluation. When both sides of a sheet display printed material, it shall be counted as two pages. 
Proposal Organization Table
V olume Proposal Content Page Limitation
VOLUME I - Technical 
(Factor 1)
Element A: Technical Approach50 pages
Element B: Management Approach25 pages 
Element C: Personnel ApproachStaffing Plan– No page limit.
Key Personnel: 2pages per resume.
VOLUME II - PastPerformance (Factor 2)Past Performance References</t>
        </is>
      </c>
      <c r="C39" t="n">
        <v>96</v>
      </c>
      <c r="D39" s="6" t="inlineStr">
        <is>
          <t>High</t>
        </is>
      </c>
      <c r="E39" t="inlineStr">
        <is>
          <t>Mandatory</t>
        </is>
      </c>
      <c r="F39" t="inlineStr"/>
      <c r="G39" t="inlineStr">
        <is>
          <t>Not Started</t>
        </is>
      </c>
      <c r="H39" t="inlineStr"/>
      <c r="I39" t="inlineStr"/>
    </row>
    <row r="40">
      <c r="A40" t="inlineStr">
        <is>
          <t>L</t>
        </is>
      </c>
      <c r="B40" s="4" t="inlineStr">
        <is>
          <t>3 pages per reference
V olume III - Cost Proposal
(Factor 3)
Cost Proposal Spreadsheet
Cost Proposal Narrative
No page limit</t>
        </is>
      </c>
      <c r="C40" t="n">
        <v>96</v>
      </c>
      <c r="D40" s="5" t="inlineStr">
        <is>
          <t>Low</t>
        </is>
      </c>
      <c r="E40" t="inlineStr">
        <is>
          <t>Informational</t>
        </is>
      </c>
      <c r="F40" t="inlineStr"/>
      <c r="G40" t="inlineStr">
        <is>
          <t>Not Started</t>
        </is>
      </c>
      <c r="H40" t="inlineStr"/>
      <c r="I40" t="inlineStr"/>
    </row>
    <row r="41">
      <c r="A41" t="inlineStr">
        <is>
          <t>L</t>
        </is>
      </c>
      <c r="B41" s="4" t="inlineStr">
        <is>
          <t>N0017826R30020003 - FINAL
Page 101 of 114
VOLUME IV - ContractDocumentation  Cover letter
Solicitation Fill-ins
OCI Mitigation Plan
Pre-Award Survey (SF1408)
Security Requirements (DD 254)
Government Furnished Property
No page limit
3.1    VOLUME I - TECHNICAL (FACTOR 1)
3.1.1 Element A - Technical Approach
The submission of an offer constitutes unconditional acceptance to perform all of the tasks described in the SOW/PWS;therefore, Offeror’ s proposal need not address every single aspect of the SOW/PWS.  Offeror shall describe its specificunderstanding, capability, experience, and technical approach with regards to the following requirements:
Tasks described in C.3 through C.4 of the Statement of Work. 
Offeror should organize its technical approach by grouping together capability, understanding, experience, and approachby specific SOW/PWS requirements, and/or by sample problem if applicable.  Offeror shall clearly demonstrate itsability to meet the requirements.  Offeror shall provide explanatory details assuming that the Government has no priorknowledge of its facilities, capabilities, or experience.  Offerors shall identify technical uncertainties and assumptionswithin the requirements and provide specific courses of action for their resolution. Offerors are encouraged to addressany innovative approaches to meeting the requirements. Offeror shall not simply rephrase or restate the Government’ srequirements in the proposal.  Proposals that merely reiterate the Government’ s own requirements shall be deemedunacceptable and thus ineligible for award.  Offerors are cautioned that failure to provide the necessary information mayresult in its adjectival ratings being downgraded accordingly.
3.1.2 Element B - Management Approach
Offeror shall:
§  Describe overall management approach including details about processes, tools, and other unique characteristics thatdemonstrate the ability to successfully manage this effort. 
§  Provide an organizational chart and describe the management structure addressing the roles and responsibilities of keypersonnel and the reporting lines of authority. 
§  Describe the approach to communication with Government and other stakeholders including details on status reports,meetings, and other forms of communication.  
§  Describe the quality control process including a discussion on how performance and deliverables will meet theGovernment’ s quality standards in accordance with Attachment -J.3 QASP.
§  Describe the approach for monitoring and controlling costs during performance.
§  Describe the approach for risk management including identification of risks and mitigation strategy.
§  Describe the subcontractor team being proposed under this task order, the specific requirements anticipated to besubcontracted, the rationale for why these subcontractors were selected to perform this work, and the overall approach tosubcontractor management.  
§  Describe a detailed plan of action addressing all required steps that need to be taken to fully assume responsibilitiesunder this task order within a proposed transition period.  This plan shall identify measurable milestones for whenactions will be completed.  This plan shall address hiring, onboarding, and training of new personnel.</t>
        </is>
      </c>
      <c r="C41" t="n">
        <v>96</v>
      </c>
      <c r="D41" s="6" t="inlineStr">
        <is>
          <t>High</t>
        </is>
      </c>
      <c r="E41" t="inlineStr">
        <is>
          <t>Mandatory</t>
        </is>
      </c>
      <c r="F41" t="inlineStr"/>
      <c r="G41" t="inlineStr">
        <is>
          <t>Not Started</t>
        </is>
      </c>
      <c r="H41" t="inlineStr"/>
      <c r="I41" t="inlineStr">
        <is>
          <t>C.3, C.4, J.3</t>
        </is>
      </c>
    </row>
    <row r="42">
      <c r="A42" t="inlineStr">
        <is>
          <t>J.5</t>
        </is>
      </c>
      <c r="B42" s="4" t="inlineStr">
        <is>
          <t>N0017826R30020003 - FINAL
Page 102 of 114
3.1.3 Element C – Personnel Approach
Staffing Plan. Offeror shall provide a staffing plan using the format provided in Attachment J.5 – Staffing Plan. Offeror shall complete all of the information requested within the provided template. Offeror shall include all proposedpersonnel, including those of its subcontractors, necessary to perform all aspects of the SOW/PWS. Offeror shallpropose staffing in accordance with the labor hours identified in Section B.  Offeror shall propose staffing in accordancewith Attachment J.2 – Personnel Qualifications.  
Offeror shall preface the names of contingent hires with “Contingent -”; for example, “Contingent – Jane Doe.”  Offerorshall preface the names of key personnel with “Key –“; for example, “Key – Jane Doe.”   Offeror shall use “TBD” fornon-key positions that do not have identified personnel.  “TBD” may also be used for labor hours associated with surgeor special study CLINs/SLINs, if such CLINs/SLINs are included in Section B.
Offeror shall provide a mapping of any company-specific labor categories it, or its subcontractors, proposes in thestaffing plan to the corresponding Government Standard eCRAFT Labor Categories.  Unless specified already by theGovernment, Offeror shall propose Standard eCRAFT Labor Categories based on the descriptions listed at:http://www.navsea.navy.mil/Home/Warfare-Centers/NUWC-Newport/Partnerships/Commercial-Contracts/Labor-Categories/. For labor categories that provide for various levels (I, II, III, IV), Offeror shall select the level that bestmatches the proposed individual and company-specific labor category.  For Service Contract Act (SCA) labor categories(if applicable), Offerors may propose an SCA labor category listed in the SCA Directory of Occupations at:http://www.dol.gov/whd/govcontracts/sca.htm. 
Offeror shall propose a staffing plan in the technical volume that fully aligns with the staffing included in the costproposal. Discrepancies between the proposed staffing identified in the technical and cost proposal may result in anidentification of risk, a lowering of the adjectival rating in the technical proposal, and/or an upward adjustment to theproposed cost.
Key Personnel.  Offeror shall provide one resume for each individual proposed to fulfill the positions identified as keypersonnel in accordance with Attachment J.2 – Personnel Qualifications.  All key personnel positions shall identify acurrent employee or contingent hire to fulfil the role.  Each resume shall demonstrate the key personnel’ s qualificationsto complete the tasking for which person has been proposed to perform. 
Offeror shall submit a current “letter of intent” (with salary information redacted) with all resumes supplied forcontingent key personnel hires.  The letter of intent does not count against page limitations and must be signed by thecontingent hire employee and the Offeror.   
Key personnel resumes shall include the following information:
§  Name
§  Key personnel position
§  Security clearance level
§  Citizenship
§  Summary indicating how personnel qualifications are met (e.g., years of relevant experience)
§  Chronology of education, training, and degrees/certifications held
§  Chronology of work experience with emphasis on PWS related experience
Key personnel are deemed essential to the performance of this effort and cannot be replaced without prior Governmentapproval in accordance with C-237-H002 SUBSTITUTION OF KEY PERSONNEL (OCT 2018).  The qualificationslisted in each individual proposed key personnel resume, not the specific individual, are the materially relevant aspectsof the proposed key personnel partially forming the basis of award.  Therefore, even if a proposed key personnelbecomes unavailable to the Offeror between proposal submission and award, the Government will evaluate and make itsaward decision based on the qualifications listed on the proposed resume(s).  When the Government awards a task orderunder those circumstances, the Government will require the awardee to use the qualifications listed on the relevantproposed key personnel resume as the basis for replacing the individual under C-237-H002 SUBSTITUTION OF KEYPERSONNEL (OCT 2018) during task order performance.  The Offeror shall make no substitution of key personnel</t>
        </is>
      </c>
      <c r="C42" t="n">
        <v>96</v>
      </c>
      <c r="D42" s="6" t="inlineStr">
        <is>
          <t>High</t>
        </is>
      </c>
      <c r="E42" t="inlineStr">
        <is>
          <t>Mandatory</t>
        </is>
      </c>
      <c r="F42" t="inlineStr"/>
      <c r="G42" t="inlineStr">
        <is>
          <t>Not Started</t>
        </is>
      </c>
      <c r="H42" t="inlineStr"/>
      <c r="I42" t="inlineStr">
        <is>
          <t>Section B, Attachment J, J.5, J.2</t>
        </is>
      </c>
    </row>
    <row r="43">
      <c r="A43" t="inlineStr">
        <is>
          <t>L</t>
        </is>
      </c>
      <c r="B43" s="4" t="inlineStr">
        <is>
          <t>N0017826R30020003 - FINAL
Page 103 of 114
without prior notification to and concurrence of the Contracting Officer
3.2 VOLUME II - PAST PERFORMANCE (FACTOR 2)
Offeror shall provide all past performance information in accordance with Attachment J.6 – Past PerformanceReference.  Offeror shall provide three past performance references, if available, which shall reflect recent experienceperformed within the last Five years of the solicitation release date and that demonstrates experience relevant to thesolicitation’ s PWS/SOW.  In addition to these three past performance references, Offeror shall submit one additionalpast performance reference for each subcontractor proposed to perform more than 5% of the total labor hours, ifavailable.  Offeror shall describe how the past performance references are relevant including details about how it issimilar in scope and complexity to this solicitation’ s SOW/PWS.</t>
        </is>
      </c>
      <c r="C43" t="n">
        <v>96</v>
      </c>
      <c r="D43" s="6" t="inlineStr">
        <is>
          <t>High</t>
        </is>
      </c>
      <c r="E43" t="inlineStr">
        <is>
          <t>Mandatory</t>
        </is>
      </c>
      <c r="F43" t="inlineStr"/>
      <c r="G43" t="inlineStr">
        <is>
          <t>Not Started</t>
        </is>
      </c>
      <c r="H43" t="inlineStr"/>
      <c r="I43" t="inlineStr">
        <is>
          <t>Attachment J, J.6</t>
        </is>
      </c>
    </row>
    <row r="44">
      <c r="A44" t="inlineStr">
        <is>
          <t>L</t>
        </is>
      </c>
      <c r="B44" s="4" t="inlineStr">
        <is>
          <t>3.3 VOLUME III - COST PROPOSAL (FACTOR 3)
3.3.1 Section B Pricing
Offeror shall submit Section B pricing for each priced CLIN/SLIN through the SeaPort-NxG portal.  The Section Bpricing will take precedence should there be any discrepancies with any other pricing information submitted.  As such,the resulting task order award will be made to the successful Offeror using their proposed Section B pricing. 
3.3.2 Cost Proposal Spreadsheet
Offeror and their subcontractors shall each separately submit a cost proposal spreadsheet using the format set forthin J.4 - Cost Proposal Spreadsheet. The cost proposal spreadsheet shall provide a detailed breakout of every singlecost element proposed across each base and option year as applicable.  The cost proposal spreadsheet shall includecalculations in the cells showing all formulas used to calculate the values.  Do not enter hard data where formulas wereused to calculate the entered value. 
The Offeror’ s cost proposal spreadsheet shall be overarching, encompassing all proposed costs inclusive of sanitizedsubcontractor costs, and it shall fully align with and support the proposed Section B pricing.  Subcontractor’ sunsanitized cost proposal spreadsheets shall be submitted separately through the SeaPort-NxG portal in order to protecttheir proprietary information. Subcontractor cost proposals shall be received by the time and date specified for receipt ofproposals specified in this solicitation.     
Offeror shall provide a clear crosswalk of all company-specific labor categories to corresponding Government StandardeCRAFT Labor Categories.  Unless specified already by the Government, Offeror shall propose Standard eCRAFTLabor Categories based on the descriptions listed at: http://www.navsea.navy.mil/Home/Warfare-Centers/NUWC-Newport/Partnerships/Commercial-Contracts/Labor-Categories/. For labor categories that provide for various levels (I,II, III, IV), Offeror shall select the level that best matches the proposed individual and company-specific labor category. For Service Contract Act (SCA) labor categories (if applicable), Offerors may propose an SCA labor category listed inthe SCA Directory of Occupations at http://www.dol.gov/whd/govcontracts/sca.htm. 
3.3.3 Cost Proposal Narrative
Offeror shall provide a cost proposal narrative that fully substantiates the reasonableness and realism of the proposedcosts.  The cost proposal narrative shall fully align with and support the proposed Section B pricing.  The cost proposalnarrative shall fully corroborate every cost element that is proposed.  Providing insufficient information to substantiatethe reasonableness and realism of the proposed costs may result in the identification of a risk, an upward costadjustment, and/or in the offer no longer being considered eligible for award. 
Offeror shall propose realistic costs within its proposal.  Offeror bears the sole responsibility to demonstrate that itsproposed costs are realistic within its proposal.  Offeror is advised that proposing unrealistically lower costs withoutsubstantial justification will be an indication that the Offeror does not have a clear understanding of the requirements ordoes not have the requisite capability to support the effort.  Any inconsistency between promised performance in thetechnical proposal (e.g. V olume 1 – Technical) and the proposed cost must be explained in the proposal. Anyinconsistency, if unexplained, may raise a fundamental question of the Offeror’ s understanding of the nature and scopeof the work required and may adversely impact the evaluation of the Offeror’ s proposal.
The cost proposal narrative shall address:</t>
        </is>
      </c>
      <c r="C44" t="n">
        <v>96</v>
      </c>
      <c r="D44" s="6" t="inlineStr">
        <is>
          <t>High</t>
        </is>
      </c>
      <c r="E44" t="inlineStr">
        <is>
          <t>Mandatory</t>
        </is>
      </c>
      <c r="F44" t="inlineStr"/>
      <c r="G44" t="inlineStr">
        <is>
          <t>Not Started</t>
        </is>
      </c>
      <c r="H44" t="inlineStr"/>
      <c r="I44" t="inlineStr">
        <is>
          <t>Section B, J.4</t>
        </is>
      </c>
    </row>
    <row r="45">
      <c r="A45" t="inlineStr">
        <is>
          <t>L</t>
        </is>
      </c>
      <c r="B45" s="4" t="inlineStr">
        <is>
          <t>N0017826R30020003 - FINAL
Page 104 of 114
Subcontractors.  Offeror shall describe the contract type proposed for each subcontractor and rationale for why thechosen contract type is most appropriate.  In particular, Offeror shall demonstrate the suitability of any Time-and-Materials or fixed price contract types (e.g. FFP, FFP LOE, etc.) and describe how the Government will be billedthroughout the performance of this requirement.  Offeror shall demonstrate that their subcontractors have the necessarybusiness systems to perform the contract types being proposed.  Offeror shall conduct appropriate cost or price analysisto establish the reasonableness of the proposed subcontract prices and include the results of these analyses within its costproposal narrative, in accordance with FAR 15.404-3(b).  Offeror shall propose only those subcontractors that areregistered as team members in SeaPort-NxG.
All subcontractors shall submit cost proposal narratives in order to fully substantiate the reasonableness and realism oftheir proposed costs.  Subcontractors that are proposed on cost reimbursement basis shall provide the same level ofinformation as required from the Offeror to substantiate their own costs within their cost proposal narratives. Subcontractors that are proposed on a Time-and-Materials or fixed price basis (e.g. FFP, FFP LOE, etc.) are not requiredto provide the same level details as required under cost reimbursable proposals, but shall still provide an itemizedbreakout of pricing that is customary with the contract type proposed.  Subcontractor unsanitized cost proposalnarratives shall be submitted separately through the SeaPort-NxG portal in order to protect their proprietaryinformation.  Subcontractor cost proposals shall be received by the time and date specified for receipt of proposalsspecified in this solicitation. 
Labor hours.  Offerorshallpropose the labor hours exactly as specifiedinSectionB, and shall demonstrate overalladherence to the Section B labor hours.  The labor hours shall include both the Offeror and subcontractor labor hours, ifapplicable.
Direct labor rates.   Offeror and cost reimbursement subcontractors shall describe the basis of estimate for each directlabor rate proposed and provide substantiating information that fully corroborates each direct labor rate proposed.    
For each current employee named in the cost proposal spreadsheet, Offeror and cost reimbursement subcontractors shallprovide a screenshot that captures pertinent information from the employer's payroll system, incurred within the lastthree months preceding release of this solicitation.  Payroll screenshots shall not contain any personally identifiableinformation, such as, social security numbers, date and place of birth, etc.  Cost proposal narratives shall fully explainall pertinent data on a screenshot. The Government must be able to derive the individual’ s direct rate (both inclusive andexclusive of the impact of uncompensated overtime, if proposed) from the payroll screenshot.  Alternatively, Offerorand cost reimbursement subcontractors may provide payroll verification instead of payroll screenshots.  Payrollverification shall consist of a form containing the named personnel, proposed labor category, direct labor rate,certification status (per labor category as required), description of current position, and a signed certification by anauthorized representative of the company that the information contained in the form is correct and current within the lastthree months preceding release of this solicitation. This supporting direct labor rate information shall clearly map toindividual direct labor rates included within the cost proposal spreadsheet. 
For each contingent hire in the cost proposal spreadsheet, Offeror and cost reimbursement subcontractors shall clearlyindicate named contingent hires and shall provide a signed letter of intent that explicitly lists the agreed upon annualsalary for the named individual and the amount of uncompensated work required. The cost proposal narrative shall fullyexplain all pertinent data about the letter of intent. The Government must be able to derive the individual’ s direct rate(both inclusive and exclusive of the impact of uncompensated overtime, if proposed) from the letter of intentinformation.
For any position for which no candidate has been identified by name, Offeror and cost reimbursement subcontractorsshall provide payroll data for a comparable position and an analysis of how the proposed position is comparable tothe position corresponding to the payroll data supplied.  For any position where there is no similar position with apayroll screenshot, Offerors and cost reimbursement subcontractors shall provide other substantiating cost datato support the basis of estimate and an analysis of how the proposed position is comparable to the positioncorresponding to the payroll data supplied.
Surge and Special Studies.  Offeror shall propose surge and special studies CLINs/SLINs in accordance with Section Bif applicable. All surge and special studies CLINs/SLINs shall be proposed utilizing the composite rate for all non-surgeand special studies labor in the appropriate year. The following is an example of how to calculate the hourly surge andspecial studies rate and dollars:</t>
        </is>
      </c>
      <c r="C45" t="n">
        <v>96</v>
      </c>
      <c r="D45" s="6" t="inlineStr">
        <is>
          <t>High</t>
        </is>
      </c>
      <c r="E45" t="inlineStr">
        <is>
          <t>Mandatory</t>
        </is>
      </c>
      <c r="F45" t="inlineStr"/>
      <c r="G45" t="inlineStr">
        <is>
          <t>Not Started</t>
        </is>
      </c>
      <c r="H45" t="inlineStr"/>
      <c r="I45" t="inlineStr">
        <is>
          <t>Section B, FAR 15.404-3</t>
        </is>
      </c>
    </row>
    <row r="46">
      <c r="A46" t="inlineStr">
        <is>
          <t>L</t>
        </is>
      </c>
      <c r="B46" s="4" t="inlineStr">
        <is>
          <t>N0017826R30020003 - FINAL
Page 105 of 114
Base Year Surge Hourly Rate = Base Year Labor (excluding fee)/Base Year Hours
Base Year Surge Dollars = Base Year Surge Hourly Rate * Base Year Surge Hours
Base Year Fixed Fee = Base Year Surge Dollars * Proposed Fixed Fee Percentage
Uncompensated Overtime. Any uncompensated overtime proposed shall be in accordance with FAR 52.237-10,IDENTIFICATION OF UNCOMPENSATED OVERTIME.  For any Offeror and/or subcontractors that proposesuncompensated overtime, Offeror and/or subcontractor shall ensure compliance with the following.  Describe thecompany’ s uncompensated overtime policies and include a copy of its policy addressing uncompensated overtime. Describe the uncompensated overtime being proposed along with an explanation of how it will be used in performanceof this requirement and why it is necessary.  Describe how the adjusted hourly rate was derived while clearlydemonstrating the reasonableness and realism. Describe the company’ s historical levels of uncompensated overtimeincurred previously and provide substantiating historical data that corroborates the adjusted hourly rates proposed. 
Forward Pricing Rate Agreement (FPRA) or Forward Pricing Rate Recommendation (FPRR).  Offeror and costreimbursement subcontractors shall indicate whether an FPRA or FPRR has been established for their company and theextent it was used in establishing proposed costs.  If an FPRA/FPRR exists, a copy shall be provided within the costproposal narrative.    
Escalation.  The below table reflects minimum escalation rates.  Offeror may propose escalation that deviates from theseminimum escalation rates; however, the Government reserves the right to make upward cost realism adjustments usingthese minimum escalation rates, unless proposed escalation rates are fully supported by an approved FPRA. 
  BaseYear OptionYear 1OptionYear 2OptionYear 3OptionYear 4
MinimumEscalationRate
    2.98%     2.98%     2.98%     2.98%     2.98%
Indirect Rates.  Offeror and cost reimbursement subcontractors shall describe its proposed indirect rates, basis ofestimate, and calculation methodologies.  Offeror and cost reimbursement subcontractors shall provide the three mostrecent years of incurred actuals for each proposed indirect rate, any provisional billing rates available, also indicating thebeginning and end dates for each fiscal year. This history shall include the most recently completed fiscal year even ifthe rates are considered preliminary and have not been submitted to DCAA for audit. The Offeror shall note whether theactual rates have been audited by DCAA or any other independent organization; specifically state which indirect rateshave been finalized by DCAA/DCMA.  If proposed rates are below historical rates, the cost narrative shall include anexplanation along with supporting information to corroborate why the proposed indirect rates that are lower thanhistorical rates.  If a cap on any of the indirect rates is being proposed, the cost narrative shall identify each capped rateand shall propose legally binding verbiage, which can be included in the resultant task order award subject toGovernment acceptance. 
Maximum Pass-Through and Fee Rates.  Offeror shall ensure its proposal is in compliance with the “Maximum PassThrough Rate” and “Maximum Profit/Fee Rate” requirements contained within its basic IDIQ MAC.  Any proposed ratethat exceeds these maximum rate requirements may render the proposal unacceptable, and thus ineligible for award.  Feebecomes a fixed dollar amount at the time of task order award and is subject to the associated fee payment clauses inSection B.  Offeror’ s proposed fee rate shall represent the maximum fee rate applicable to its subcontractors under thiseffort.
The Government also strongly encourages the Offeror to eliminate “double pass-thru” costs by avoiding second tiersubcontractors/consultants during performance and, where this situation is unavoidable, limiting subcontractor pass-thrucosts to the lower of: (1) The Offeror’ s pass-thru rate under their IDIQ MAC, or (2) The subcontractor’ s pass-thru rateunder their IDIQ MAC, if applicable. 
Other Direct Costs (ODCs).  Offeror shall propose ODCs in accordance with below table.  The below table reflectsGovernment estimated ODCs, which include travel and incidental material costs only.  The estimated ODCs do not</t>
        </is>
      </c>
      <c r="C46" t="n">
        <v>96</v>
      </c>
      <c r="D46" s="6" t="inlineStr">
        <is>
          <t>High</t>
        </is>
      </c>
      <c r="E46" t="inlineStr">
        <is>
          <t>Mandatory</t>
        </is>
      </c>
      <c r="F46" t="inlineStr"/>
      <c r="G46" t="inlineStr">
        <is>
          <t>Not Started</t>
        </is>
      </c>
      <c r="H46" t="inlineStr"/>
      <c r="I46" t="inlineStr">
        <is>
          <t>Section B, FAR 52.237-10</t>
        </is>
      </c>
    </row>
    <row r="47">
      <c r="A47" t="inlineStr">
        <is>
          <t>L</t>
        </is>
      </c>
      <c r="B47" s="4" t="inlineStr">
        <is>
          <t>N0017826R30020003 - FINAL
Page 106 of 114
account for any company specific burdens such as material handling or G&amp;A. Offeror shall propose all applicableburdens in accordance with its disclosure statements.</t>
        </is>
      </c>
      <c r="C47" t="n">
        <v>96</v>
      </c>
      <c r="D47" s="6" t="inlineStr">
        <is>
          <t>High</t>
        </is>
      </c>
      <c r="E47" t="inlineStr">
        <is>
          <t>Mandatory</t>
        </is>
      </c>
      <c r="F47" t="inlineStr"/>
      <c r="G47" t="inlineStr">
        <is>
          <t>Not Started</t>
        </is>
      </c>
      <c r="H47" t="inlineStr"/>
      <c r="I47" t="inlineStr"/>
    </row>
    <row r="48">
      <c r="A48" t="inlineStr">
        <is>
          <t>L</t>
        </is>
      </c>
      <c r="B48" s="4" t="inlineStr">
        <is>
          <t>Base Year Option Year 1Option Year 2Option Year 3Option Year 4
ODCs $63,074.12 $63,554.12 $64,816.57 $64,543.11 $65,052.49 
In order for any additional expenses to be allowed as a direct charge under the resulting task order, it must be identifiedand described within the cost proposal narrative and be reflected in the Section B pricing. For example, the ODCestimates do not include facility related costs since these are typically treated as an indirect cost; however, if the Offerorproposes to direct charge facility costs, Offeror shall propose such cost separately from the ODC estimate, provide abasis of estimate, rationale for direct charging such cost, and explain how the direct cost will be properly allocated tothis requirement. ODCs are not subject to fee. Reimbursement for travel will be in accordance with the Joint TravelRegulation (JTR) and B-231-H001 TRA VEL COSTS (NA VSEA) (OCT 2018).
3.4 VOLUME IV - CONTRACT DOCUMENTATION
3.4.1. Cover Letter. 
Offeror and subcontractors shall provide a cover letter with the following information:
§  Solicitation number;
§  Company name, CAGE code, Unique Entity ID (UEI), address, e-mail address, and telephone number;
§  A statement confirming agreement with all terms, conditions, and provisions included in the solicitation and agreementto furnish any or all items upon which prices are offered at the price set opposite each item;
§  A statement that the proposal is valid through 365calendar days from the date specified for receipt of proposals;
§  Names, titles, telephone numbers, and e-mail addresses of persons authorized to negotiate on the Offeror's behalf withthe Government in connection with this solicitation;
§  DCAA and DCMA office POC, including branch location, contact name, telephone number and e-mail address;
§  Name, title, and signature of person authorized to sign the proposal. Proposals signed by an agent shall be accompaniedby evidence of that agent's authority, unless that evidence has been previously furnished to the issuing office. TheOfferor’ s signature on their proposal indicates the company will meet all requirements of the SOW/PWS, withoutexception; and
§  Identify all enclosures being transmitted as part of the Offeror's proposal.
§  If an Offeror believes no organizational conflict(s) of interest exists, an affirmative statement that no such conflict existsshall be included in the cover letter.
3.4.2 Solicitation Fill-ins. 
Offeror shall complete all solicitation fill-Ins using the latest amended solicitation version and provide a copy withinV olume IV .
3.4.3 Small Business Participation.
The North American Industry Classification (NAICS) code applicable to this solicitation is 541330.  Therefore,companies proposing as a subcontractor under this solicitation as a small business concern must have had an averageannual receipt over its five previous fiscal years that was less than $47,000,000.  Companies proposed as a smallbusiness concern shall meet this size standard as of the date of the proposal submission under this solicitation.
Offerors are advised that this solicitation is 100% set aside for small business.  Immediately after the specified closingdate and time, the Government will verify each Offeror’ s size status in SAM.gov to ensure that Offerors are certified as</t>
        </is>
      </c>
      <c r="C48" t="n">
        <v>96</v>
      </c>
      <c r="D48" s="6" t="inlineStr">
        <is>
          <t>High</t>
        </is>
      </c>
      <c r="E48" t="inlineStr">
        <is>
          <t>Mandatory</t>
        </is>
      </c>
      <c r="F48" t="inlineStr"/>
      <c r="G48" t="inlineStr">
        <is>
          <t>Not Started</t>
        </is>
      </c>
      <c r="H48" t="inlineStr"/>
      <c r="I48" t="inlineStr">
        <is>
          <t>Section B</t>
        </is>
      </c>
    </row>
    <row r="49">
      <c r="A49" t="inlineStr">
        <is>
          <t>L</t>
        </is>
      </c>
      <c r="B49" s="4" t="inlineStr">
        <is>
          <t>N0017826R30020003 - FINAL
Page 107 of 114
a small business.  Any Offeror that is not certified appropriately will be ineligible for award and, therefore, will not beevaluated.
In the event multiple similarly situated small businesses join in order to meet the requirement to perform more than 50%of the effort, Offerors are advised that there may be an inherent technical risk associated with no clear prime contractorin charge of ensuring successful performance.  Offerors should consider this risk in determining how many partners areneeded in order to comply with the greater than 50% requirement.  
3.4.4 Organizational Conflict of Interest (OCI) Mitigation Plan.
Offeror’ s OCI Mitigation Plan shall be provided in V olume IV .  In accordance with the “C.14 ORGANIZA TIONALCONFLICT OF INTEREST” clause within the SeaPort-NxG IDIQ MAC, Offeror shall identify any and all conflicts ofinterest or potential conflicts of interest related to this solicitation. Offerors shall follow the below described two-step processfor identifying known or potential OCI issues to the Government for this solicitation.
Step 1:  If it is believed that conflicts of interest are real, possible, or perceived, the contractor shall submit a letter withinfourteen (14) days of the release of the solicitation identifying those OCI issues and the strategy that the Offeror intends to usefor mitigation.  This letter will be for notification purposes only, for the Government to conduct any research, and nodetermination will be made by the Government at that time.  If no OCI issues are present or anticipated, no action is requiredof the Offeror within this window.
Step 2:  Offerors shall submit a statement in affirmation or negation whether they have an OCI conflict regarding thissolicitation.  If OCI issues are present or anticipated, Offerors shall provide details and submit an OCI mitigation plan and itscorporate policy for resolving as part of their proposal submission.  If it is believed that no conflicts of interest exist, then theOfferor shall clearly state this, in addition to providing their corporate policy for resolving OCIs.  Organizational charts and/orcorporate policy are authorized to be submitted in addition to the OCI Mitigation Plan and do not count toward any pagelimitation.
Award will only be made to an Offeror, including all subcontractors, that has no organizational conflict of interest as defined inFAR 9.5 or that the Government determines has provided a satisfactory mitigation plan in accordance with L-209-H009herein. Failure by an Offeror to disclose a potential OCI or to submit an OCI mitigation plan with its proposal may renderitself no longer being considered for award.
3.4.5 Pre-Award Survey (SF1408).</t>
        </is>
      </c>
      <c r="C49" t="n">
        <v>96</v>
      </c>
      <c r="D49" s="6" t="inlineStr">
        <is>
          <t>High</t>
        </is>
      </c>
      <c r="E49" t="inlineStr">
        <is>
          <t>Mandatory</t>
        </is>
      </c>
      <c r="F49" t="inlineStr"/>
      <c r="G49" t="inlineStr">
        <is>
          <t>Not Started</t>
        </is>
      </c>
      <c r="H49" t="inlineStr"/>
      <c r="I49" t="inlineStr">
        <is>
          <t>FAR 9.5, C.14</t>
        </is>
      </c>
    </row>
    <row r="50">
      <c r="A50" t="inlineStr">
        <is>
          <t>L</t>
        </is>
      </c>
      <c r="B50" s="4" t="inlineStr">
        <is>
          <t>Offeror and cost reimbursement subcontractors shall assert whether it has a DCAA approved accounting system andprovide the date it was approved.  If the Offeror or any cost reimbursement subcontractors do not have an approvedaccounting system, then an SF1408 Pre-Award Survey shall be completed. Offeror is solely responsible for verifyingthat subcontractors proposed on a cost reimbursement basis have either an approved accounting system or havesubmitted the SF1408 as part of the subcontractor’ s proposal. An SF1408 does not need to be submitted for companiesthat already have an approved accounting system.  A copy of the SF1408 is at https://www.gsa.gov/Forms/TrackForm/32838.
3.4.6 Security Requirements.</t>
        </is>
      </c>
      <c r="C50" t="n">
        <v>96</v>
      </c>
      <c r="D50" s="6" t="inlineStr">
        <is>
          <t>High</t>
        </is>
      </c>
      <c r="E50" t="inlineStr">
        <is>
          <t>Mandatory</t>
        </is>
      </c>
      <c r="F50" t="inlineStr"/>
      <c r="G50" t="inlineStr">
        <is>
          <t>Not Started</t>
        </is>
      </c>
      <c r="H50" t="inlineStr"/>
      <c r="I50" t="inlineStr"/>
    </row>
    <row r="51">
      <c r="A51" t="inlineStr">
        <is>
          <t>J.1</t>
        </is>
      </c>
      <c r="B51" s="4" t="inlineStr">
        <is>
          <t>Security requirements associated with this effort have been identified Attachment J.1 – DD254.  Offeror shalldemonstrate the ability to meet the facility clearance and safeguarding capability requirements identified in the attachedDD254. Describe the plan to implement the required security clearances and physical access requirements during thetransition period so that service is not interrupted.  If the Offeror does not currently possess the required facilityclearance, the Offeror shall demonstrate the steps it will take to be granted the facility clearance in accordance withDoDM 5220.32 (or latest guidance), including a detailed schedule for attaining the required facility clearance.
3.4.7 Government Furnished Property (GFP).</t>
        </is>
      </c>
      <c r="C51" t="n">
        <v>96</v>
      </c>
      <c r="D51" s="6" t="inlineStr">
        <is>
          <t>High</t>
        </is>
      </c>
      <c r="E51" t="inlineStr">
        <is>
          <t>Mandatory</t>
        </is>
      </c>
      <c r="F51" t="inlineStr"/>
      <c r="G51" t="inlineStr">
        <is>
          <t>Not Started</t>
        </is>
      </c>
      <c r="H51" t="inlineStr"/>
      <c r="I51" t="inlineStr">
        <is>
          <t>Attachment J, J.1</t>
        </is>
      </c>
    </row>
    <row r="52">
      <c r="A52" t="inlineStr">
        <is>
          <t>J.8</t>
        </is>
      </c>
      <c r="B52" s="4" t="inlineStr">
        <is>
          <t>GFP associated with this effort has been identified in Attachment J.8 - GFP List. Offeror shall describe its plan for</t>
        </is>
      </c>
      <c r="C52" t="n">
        <v>96</v>
      </c>
      <c r="D52" s="6" t="inlineStr">
        <is>
          <t>High</t>
        </is>
      </c>
      <c r="E52" t="inlineStr">
        <is>
          <t>Mandatory</t>
        </is>
      </c>
      <c r="F52" t="inlineStr"/>
      <c r="G52" t="inlineStr">
        <is>
          <t>Not Started</t>
        </is>
      </c>
      <c r="H52" t="inlineStr"/>
      <c r="I52" t="inlineStr">
        <is>
          <t>Attachment J, J.8</t>
        </is>
      </c>
    </row>
    <row r="53">
      <c r="A53" t="inlineStr">
        <is>
          <t>L</t>
        </is>
      </c>
      <c r="B53" s="4" t="inlineStr">
        <is>
          <t>N0017826R30020003 - FINAL
Page 108 of 114
managing this GFP in accordance with FAR 52.245-1 “Government Property” and DFARS 252.245-7005 “Managementand Reporting of Government Property”.  Alternatively, Offeror may provide proof that its Property ManagementSystem is currently approved by DCMA.  Offeror shall address L-245-H001 “A V AILABILITY OF GOVERNMENTPROPERTY” and L-245-H002 “INSTRUCTIONS REGARDING GOVERNMENT PROPERTY” requirements, ifapplicable.</t>
        </is>
      </c>
      <c r="C53" t="n">
        <v>96</v>
      </c>
      <c r="D53" s="6" t="inlineStr">
        <is>
          <t>High</t>
        </is>
      </c>
      <c r="E53" t="inlineStr">
        <is>
          <t>Mandatory</t>
        </is>
      </c>
      <c r="F53" t="inlineStr"/>
      <c r="G53" t="inlineStr">
        <is>
          <t>Not Started</t>
        </is>
      </c>
      <c r="H53" t="inlineStr"/>
      <c r="I53" t="inlineStr">
        <is>
          <t>FAR 52.245-1, DFARS 252.245-7005</t>
        </is>
      </c>
    </row>
  </sheetData>
  <dataValidations count="1">
    <dataValidation sqref="G2:G53"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89"/>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C.1</t>
        </is>
      </c>
      <c r="B2" s="4" t="inlineStr">
        <is>
          <t>N0017826R30020003 - FINAL
Page 7 of 114
system administration, data management, Helpdesk, installation, configuration, end-user support) and IM (e.g., collecting,organizing, storing, and distributing information) providing technical and operational support services and expertise to meet theneeds of NSWCDD which includes the Naval Surface Warfare Center in Dahlgren, Virginia, all existing and future detachment sites,programs, solutions, and departments.The roles and responsibilities defined within this SOW ensure full lifecycle support of IT including but not limited to acquisition,management, security, administration, upgrades to equipment and software, and the establishment and maintenance of day-to-dayoperations. The following sections of the SOW define the overarching services that the Contractor shall perform across the fullspectrum of IT and IM and their lifecycles.C.2 Applicable DocumentsThe Contractor shall ensure compliance with the most current versions of these documents throughout the life of the contract:2.1CJCSI 6510.01F Information Assurance (IA) and Support to Computer Network Defense (CND)2.2CJCSM 6510.01B Cyber Incident Handling Program2.3DoDI 8500.01 Cybersecurity2.4DoDI 8510.01 Risk Management Framework (RMF) for DoD Systems2.5DoDI 8551.01 Ports, Protocols, and Services Management (PPSM)2.6SECNA V 5239.20A Depart of The Navy Cyberspace Information Technology and Cybersecurity Workforce Managementand Qualification2.7DoD 8570.01-M, Chg. 4 Information Assurance Workforce Improvement Program2.8DoDI 8520.02 Public Key Infrastructure (PKI) and Public Key (PK) Enabling2.9DoDI 8520.03 Identity Authentication for Information Systems2.10DoDI 8530.01 Cybersecurity Activities Support to DoD Information Network Operations2.11NA VSEAINST 5239.2B Cybersecurity Program2.12DoDI 8540.01 Cross Domain (CD) Policy2.13Navy Authorizing Official (NAO) RMF Business Rules2.14NSWCDD Information Technology Division Standard Operating Procedures (SOPs)2.15SECNA VINST 5239.19A Department of the Navy Computer Network Incident Response and Reporting Requirements2.16OPNA VINST 5239.1D U.S. Navy Cybersecurity Program2.17SECNA VINST 5239.3C Department of the Navy Cybersecurity Policy2.18Department of Defense Intelligence Information System (DoDIIS)-Joint Security Implementation Guide DJSIG August 20112.19SECNA VINST 2201.1 Department of The Navy Communications Security Material Program Implementation2.20JWICS Security Classification Guide2.21SECNA V M-5239.3 Department of The Navy Cybersecurity Manual2.22Defense Information Systems Network (DISN) Secret Internet Protocol Routing Network (SIPRNet) Security ClassificationGuide2.23SECNA VINST 5000.36A2.24NSWCDLINST 5530.4B2.25National Institute of Standards and Technology (NIST) SP 800-532.26ISO 20000 International Standard for IT Service Management (ITSM)2.27MIL-HDBK-61B/EIA-649B2.28DISA Security Requirements Guide and Security Technical Implementation Guides (STIGs)2.29DoD Instruction 5200.482.30NSWCDDINST 5100.1 Occupational Safety and Health Instruction (current revision)2.31Secretary of Navy Instruction (SECNA VINST) 5210.8FC.3 Navy Cyber Workforce (CWF) and Facility Location RequirementsThe requirements must be maintained throughout the life of the Contract. The requirements are as follows:C.3.1 Identify CWF Personnel - Qualification and Clearance RequirementsAll individuals performing support under this Contract identified with cyber related duties shall have the proper and currentcertification in accordance with DoD-M 8570.01-M or successor.C.3.2 All individuals performing support under this Contract identified as CWF shall be officially designated in writing by the LocalCommand Authority (LCA). The designation letter will outline duties, responsibilities, and qualifications. DoD-M 8570.01designations of Information Assurance Technical Level (IAT-I, II or III), or Information Assurance Manager Level (IAM-I, II, or III)are based on working environment. To stay Fully Qualified (FQ) as a member of the command’ s CSWF all qualificationrequirements shall be obtained and maintained per applicable CSWF policy. Those Key and Non-Key personnel designated as</t>
        </is>
      </c>
      <c r="C2" t="inlineStr">
        <is>
          <t>C.1</t>
        </is>
      </c>
      <c r="D2" t="n">
        <v>9</v>
      </c>
      <c r="E2" s="6" t="inlineStr">
        <is>
          <t>High</t>
        </is>
      </c>
      <c r="F2" t="inlineStr">
        <is>
          <t>Mandatory</t>
        </is>
      </c>
      <c r="G2" t="inlineStr"/>
      <c r="H2" t="inlineStr">
        <is>
          <t>Not Started</t>
        </is>
      </c>
      <c r="I2" t="inlineStr"/>
      <c r="J2" t="inlineStr"/>
      <c r="K2" t="inlineStr"/>
      <c r="L2" t="inlineStr"/>
      <c r="M2" t="inlineStr"/>
      <c r="N2" t="inlineStr"/>
      <c r="O2" t="inlineStr">
        <is>
          <t>C.2, C.3, C.3.1, C.3.2</t>
        </is>
      </c>
      <c r="P2" t="inlineStr"/>
      <c r="Q2" t="inlineStr"/>
    </row>
    <row r="3">
      <c r="A3" t="inlineStr">
        <is>
          <t>C.3.4</t>
        </is>
      </c>
      <c r="B3" s="4" t="inlineStr">
        <is>
          <t>N0017826R30020003 - FINAL
Page 8 of 114
“Senior” are required to meet the level of III or Advanced proficiency level per the applicable policy.C.3.4 The Contractor shall provide a contractor Cybersecurity Workforce (CSWF) membership qualification status report to thecommand CSWF Program Manager (PM) at a minimum of quarterly, format to be provided. (CDRL A027)C.3.5 All CSWF designated personnel, and those requiring a T5/T5R must have a favorable adjudicated investigation every five (5)years.  The CSWF qualifications, certifications, investigations, and clearances shall be the sole responsibility of the ContractingCompany and at their expense.C.3.6 Facility LocationThe Contractor must have a facility within a sixty-mile (60-mile) commuting radius of the Naval Surface Warfare Center inDahlgren, Virginia.C.4 RequirementsC.4.1 GeneralC.4.1.1 The Contractor shall provide all technically qualified and technically accredited and approved support service employeeswith favorably adjudicated personnel security investigations to provide classified and unclassified IT and IM technical andoperational support services across all life-cycle phases as defined in this SOW to the performance standards set forth herein and inthe Quality Assurance Surveillance Plan (QASP), Attachment J.3. The required support includes, but is not restricted to, technicalsupport, system administration support, cybersecurity and traditional security support, telecommunications support, IM, applicationdevelopment support (e.g., enterprise applications, web applications, iPhone apps, Android apps), Information Technology ServiceManagement (ITSM) support, Information Technology Experience Management (ITXM) support, automation support, businessprocess support, digital transformation support, and ordering, service usage, and oversight support for NMCI and JWICs. TheContractor shall follow and apply industry best practices and standards to the maximum extent practicable. Contractor personnelshall understand these best practices and standards as appropriate for their specialized areas. The contractor is responsible forensuring that their staff is well trained on technologies they are required to support and on industry best practices. The GovernmentContractor shall deliver current and innovative solutions in all work areas.C.4.1.2 The Contractor shall adhere to best practices, frameworks, and methodologies from the most current versions of: theInformation Technology Infrastructure Library (ITIL)® framework (formerly referred to as the Information TechnologyInfrastructure Library®), the DoD Enterprise Service Management Framework (DESMF), and the Project Management Institute’ sProject Management Body of Knowledge, and other relevant frameworks and methodologies to perform the tasks and subtasks ofthis SOW ensuring a disciplined and responsive business management approach to end-to-end IT service delivery. The Contractorshall also provide expertise and support in accordance with development, security, and operations (DevSecOps) practices and tools,and agile frameworks. The Contractor shall support systems and users operating on unclassified and classified networks. TheContractor shall provide services such as ITSM support, IM support, endpoint support, Helpdesk services and support, technicalsupport, IT project management support, cybersecurity and traditional security support, applications development and support, IMsupport, digital transformation support, and IT operational support to include the following work areas:(a) ITSM Support(b) Contractor Workforce Management(c) Endpoint Support(d) Enterprise Applications Support(e) Cybersecurity and Traditional Security Support(f) Information Management and Digital Transformation SupportC.4.1.3 Systems Engineering, Analysis, and DesignC.4.1.3.1 The Contractor shall provide systems engineering, analysis, and design support for development and implementation of ITsystems, IT capabilities, and IT services. The Contractor shall provide computing plant engineering support services to includerequirements identification, change control, acquisition &amp; logistics and operations and maintenance in support of developing andsustaining computing capabilities.C.4.1.3.2 The Contractor shall, depending on the stage of implementation, identify and report functional and non-functionalrequirements, recommend, design, develop, operate, manage, and maintain current, replacement, and new technologies andcapabilities required to meet the Government’ s evolving IT operations and IT support needs and requirements.C.4.1.4 Contractor Transition-InThis contract allows for a transition-in period if required. The Contractor transition-in period shall begin upon receipt andacceptance of the contractor’ s Transition In-plan (CDRL A001). The transition-in period shall cause no disruption in the operation</t>
        </is>
      </c>
      <c r="C3" t="inlineStr">
        <is>
          <t>C.1</t>
        </is>
      </c>
      <c r="D3" t="n">
        <v>9</v>
      </c>
      <c r="E3" s="6" t="inlineStr">
        <is>
          <t>High</t>
        </is>
      </c>
      <c r="F3" t="inlineStr">
        <is>
          <t>Mandatory</t>
        </is>
      </c>
      <c r="G3" t="inlineStr"/>
      <c r="H3" t="inlineStr">
        <is>
          <t>Not Started</t>
        </is>
      </c>
      <c r="I3" t="inlineStr"/>
      <c r="J3" t="inlineStr"/>
      <c r="K3" t="inlineStr"/>
      <c r="L3" t="inlineStr"/>
      <c r="M3" t="inlineStr"/>
      <c r="N3" t="inlineStr"/>
      <c r="O3" t="inlineStr">
        <is>
          <t>Attachment J, C.3.4, C.3.5, C.3.6, C.4, C.4.1, C.4.1.1, J.3, C.4.1.2, C.4.1.3, C.4.1.3.1, C.4.1.3.2, C.4.1.4</t>
        </is>
      </c>
      <c r="P3" t="inlineStr"/>
      <c r="Q3" t="inlineStr"/>
    </row>
    <row r="4">
      <c r="A4" t="inlineStr">
        <is>
          <t>C.1</t>
        </is>
      </c>
      <c r="B4" s="4" t="inlineStr">
        <is>
          <t>N0017826R30020003 - FINAL
Page 9 of 114
of services and existing applications. The Transition Plan shall include, at minimum:(a) The Contractor shall agree that all deliverables, products, licenses, designs, data, documentation, tests, user research notes,source code, configuration settings and files, and materials developed through this contract will be the property of NSWCDD.(b) Transition roadmap.(c) Identify transition risks and risk mitigation.(d) Define roles and responsibilities with an initial Staffing Plan.(e) Define a knowledge transfer approach.(f) Provide a checklist of critical transition activities and milestones.(g) Schedule of events and timelines.(h) Provide Communication Plan/Strategy.(i) On-Call/Production Support Strategy.C.4.1.5 The Government reserves the right to call meetings at any time during the transition-in period to review all transitionrequirements.C.4.1.6 Contractor Transition-OutThis contract allows for a transition-out period. Within 45 days of the beginning of the final period of Task Order performance, theContractor shall develop and submit a transition-out plan that assumes re-compete of the contract requirements resulting in awardand successful transition to another Contractor. The Transition-out Plan will address:(a) Goals of the transition.(b) Minimum duration of transition.(c) Staff requirements and their role in transition.(d) Contractor staff level of tasking required and any impact it will have on transition.(e) Knowledge transfer.(f) Intellectual property transfer.(g) Gantt schedule of transition.(h) Formal handover (conclusion of transition) and Government acceptance.(i) List of any Government Furnished/Contractor Acquired Property.C.4.1.7 The Government reserves the right to call meetings at any time during the transition-out period to review all transitionrequirements.C.4.1.8 Project ManagementC.4.1.8.1 The Contractor shall provide project management support and support for Government project management activities.Project management support includes activities such as risk, issue, and opportunity management, identification of performancerequirements, estimation of project costs, development of project plans, and identification of and achieving milestones throughoutthe project life cycle, from concept development, and formulation through initial system design, development, deployment, andmaintenance. The Contractor shall provide effective management of project(s), project schedule(s), performance, risks, warranties,subcontracts (if applicable), deliverables, and data that enables the successful management and completion of all projects.C.4.1.8.2 The Contractor shall provide support services to include requirements identification, change control, acquisition &amp;logistics, and operations and maintenance in support of developing and sustaining computing capabilities (CDRL A001).C.4.1.8.3 The Contractor shall provide support to answer data calls, respond to Cyber Directives (e.g., Command Task Orders(CTOs), Information Assurance Vulnerability Messages (IA VMs), Fragmentary Orders (FRAGORDS)), and other direction toensure IT and cybersecurity controls are maintained.C.4.1.8.4 The Contractor shall provide technical representation and attend technical In-Process Reviews/ Interim Progress Reviews(IPRs), Configuration Design Review (CDRs), System Design Review (SDRs), Change Control Board (CCB) meetings, ChangeAdvisory Board (CAB) meetings, as well as technical working group meetings and briefings (e.g., as an IT Project technical, ormanagement representative). The Contractor shall present information relative to current government IT Project managementposition, policies and plans but should not be construed as representing functions that are inherently governmental in nature.C.4.1.9 Testing</t>
        </is>
      </c>
      <c r="C4" t="inlineStr">
        <is>
          <t>C.1</t>
        </is>
      </c>
      <c r="D4" t="n">
        <v>9</v>
      </c>
      <c r="E4" s="6" t="inlineStr">
        <is>
          <t>High</t>
        </is>
      </c>
      <c r="F4" t="inlineStr">
        <is>
          <t>Mandatory</t>
        </is>
      </c>
      <c r="G4" t="inlineStr"/>
      <c r="H4" t="inlineStr">
        <is>
          <t>Not Started</t>
        </is>
      </c>
      <c r="I4" t="inlineStr"/>
      <c r="J4" t="inlineStr"/>
      <c r="K4" t="inlineStr"/>
      <c r="L4" t="inlineStr"/>
      <c r="M4" t="inlineStr"/>
      <c r="N4" t="inlineStr"/>
      <c r="O4" t="inlineStr">
        <is>
          <t>C.4.1.5, C.4.1.6, C.4.1.7, C.4.1.8, C.4.1.8.1, C.4.1.8.2, C.4.1.8.3, C.4.1.8.4, C.4.1.9</t>
        </is>
      </c>
      <c r="P4" t="inlineStr"/>
      <c r="Q4" t="inlineStr"/>
    </row>
    <row r="5">
      <c r="A5" t="inlineStr">
        <is>
          <t>C.4.1.9.1</t>
        </is>
      </c>
      <c r="B5" s="4" t="inlineStr">
        <is>
          <t>N0017826R30020003 - FINAL
Page 10 of 114
C.4.1.9.1 The Contractor shall support User and Government Acceptance Testing, perform software testing, perform hardwaretesting, perform service validation and testing (e.g., in conjunction with the deployment of system changes), and report results withrecommendations for resolving identified issues. (CDRL A002, A003, A004)C.4.1.10 Documentation Management and SupportThe Contractor shall develop technical documentation prepared in accordance with all applicable Government standards. Thistechnical documentation shall consist of but is not limited to elements such as physical database tables, on-line queries, standardizedreports, data extract and population routines, ad-hoc capabilities as specified by the Government, and modifications to existingoperating system software and system files or scripts. Technical documentation also includes but is not limited to:(a) Standard operating procedures (SOPs) and operations plans (CDRL A019)(b) Process guides(c) Service Design Packages(d) Customer/User Acceptance Criteria(e) Informational papers(f) Project plans(g) User stories(h) Communication plans(i) Requirements traceability matrices(j) Technical reports and notes(k) Miscellaneous publications(l) Configuration Management (CfM) documents(m) Risk registers(n) Logistics support plans(o) Performance or product specifications(p) Correspondence(q) Cybersecurity and Accreditation documentation(r) Technical Presentations(s) Integrated Master Schedules(t) Presentation materials (e.g., charts, briefings, viewgraphs, slide shows, videos, etc.)(u) Program related documentation(v) Other necessary technical and miscellaneous documentation.(CDRL A006, A019, A020, A021)C.4.1.10.1 The Contractor shall support the development of cybersecurity documentation (e.g., Disaster Recovery Plan &amp; SafetyManual, Emergency Action Plan, RMF and its successor, Authentication and Authorization (A&amp;A) documentation and associatedreports, and draft cybersecurity related SOPs).C.4.1.10.2 The Contractor shall recommend and develop draft Cybersecurity and system security procedures and practices, inaccordance with NSWCDD, DON, DoD Cybersecurity and Compliance Office standards, and administer approved procedures andpractices.C.4.1.10.3 Contractor format for reports, documents, drawings, and narrative type deliverables is acceptable with Governmentapproval. Otherwise, the Contractor shall use the Government provided format. Reports, documents, drawings, and narrative typedeliverables shall be delivered in accordance with the agreed upon schedule allowing mutually (Contractor and Government) agreedamount of time for Government comment. If the deliverable is adequate, the Government may provide comments for incorporationinto a final version. All Government comments shall either be incorporated in each succeeding version or the contractor mustdemonstrate, to the Government's satisfaction, why such comments should not be incorporated. If the Government finds that adeliverable does not conform to Government requirements, the document may be immediately rejected without further review andreturned to the contractor with Government direction on how to proceed.C.4.1.11 Contractor’ s Required On-site Response to Incidents, Outages, and Service Requests</t>
        </is>
      </c>
      <c r="C5" t="inlineStr">
        <is>
          <t>C.1</t>
        </is>
      </c>
      <c r="D5" t="n">
        <v>9</v>
      </c>
      <c r="E5" s="6" t="inlineStr">
        <is>
          <t>High</t>
        </is>
      </c>
      <c r="F5" t="inlineStr">
        <is>
          <t>Mandatory</t>
        </is>
      </c>
      <c r="G5" t="inlineStr"/>
      <c r="H5" t="inlineStr">
        <is>
          <t>Not Started</t>
        </is>
      </c>
      <c r="I5" t="inlineStr"/>
      <c r="J5" t="inlineStr"/>
      <c r="K5" t="inlineStr"/>
      <c r="L5" t="inlineStr"/>
      <c r="M5" t="inlineStr"/>
      <c r="N5" t="inlineStr"/>
      <c r="O5" t="inlineStr">
        <is>
          <t>C.4.1.9.1, C.4.1.10, C.4.1.10.1, C.4.1.10.2, C.4.1.10.3, C.4.1.11</t>
        </is>
      </c>
      <c r="P5" t="inlineStr"/>
      <c r="Q5" t="inlineStr"/>
    </row>
    <row r="6">
      <c r="A6" t="inlineStr">
        <is>
          <t>C.4.1.11.1</t>
        </is>
      </c>
      <c r="B6" s="4" t="inlineStr">
        <is>
          <t>N0017826R30020003 - FINAL
Page 11 of 114
C.4.1.11.1 During normal working hours, all required Contractor personnel shall respond with the appropriate subject matterexpert(s) to respond to and fulfill service requests, and to respond to and resolve service outages and other incidents or problems inaccordance with Government requirements such as Government service level agreements (SLAs).C.4.1.11.2 The Contractor shall dispatch technicians when incidents or problems cannot be resolved remotely or requests cannot befulfilled remotely. All Contractor personnel working off-site that are designated or required to fulfill service requests or resolveservice outages and other incidents/problems that require onsite work during and outside of normal working hours shall respondon-site arriving at the appropriate facility within one (1) hour of notification, alert, or request to begin work and promptly resolveoutages and other incidents that can’t be resolved remotely and to fulfill service requests that can’t be fulfilled remotely.C.4.1.11.3 For outages of services that the Government deems critical, the Contractor shall respond to call back requests on ayear-round 24-hour, 7-day basis.C.4.1.11.4 Upon request by the Government, the Contractor shall provide on-site support, callback support, or both outside of corehours in response to non-standard events (e.g., critical incidents, events that require immediate attention), adjusting work hours tonot exceed forty (40) hours per week, unless otherwise agreed to by the Government.C.4.1.11.5 The Contractor shall respond on-site with required subject matter expert(s) arriving at the appropriate facility within one(1) hour of notification, alert, or request to promptly provide services (e.g., resolve outages and other incidents that can’t be resolvedremotely, to fulfill service requests that can’t be fulfilled remotely). The Contractor shall contact each customer prior to an on-sitevisit to arrange for an appointment and acquire any additional information needed to resolve the incident/problem or fulfill therequest. The Contractor shall collect customer feedback (preferably via the Government’ s ITSM tool(s)) that shall be provided to theContractor and directly to the Government. All support shall satisfy service-level requirements.C.4.1.12 Cooperation and CollaborationC.4.1.12.1 All Contractor personnel shall work collaboratively and cohesively with Government personnel, customers, and othersupport Contractors as an integrated team to ensure delivery of reliable and responsive support to accomplish Governmentrequirements, goals, and objectives as efficiently and effectively as possible. The Contractor is expected to cooperate andcollaborate with all relevant IT personnel to achieve required service levels, availability, reliability, resiliency, and cybersecuritywith a posture of compliance.C.4.1.12.2 The Contractor shall develop, document, and execute Government-approved processes and procedures needed to manageday-to-day relationships with the Government, customers, other stakeholders, and other support vendors. The Contractor shalladhere to the processes.C.4.1.13 Surge SupportC.4.1.13.1 The Government may require surge support during the ordering period or any option period. Surge modifications must bein scope to provide increased support during or beyond normal business hours for the defined task areas of the SOW. Surge supportis OPTIONAL and is not a guarantee. If the Government determines that an increased quantity of support is required for the taskareas defined in the contract, the Government reserves the right to exercise the Surge Option unilaterally.C.4.1.13.2 The Contractor shall provide personnel to support mission essential situations. On occasion, IT support services may berequired to support mission essential situations (i.e., accident and rescue operations, civil disturbances, natural disasters, militarycontingency operations, exercises, continuing resolutions, etc.). Mission essential situations may necessitate the Contractor provideincreased or reduced support for beyond normal duty hours in one (1) or all work areas and tasks listed within the scope of thisSOW.C.4.1.13.3 The Contractor shall provide surge IT support for continuity exercises and missions when required by the Government.C.4.2 IT Service Management SupportThe Government's ITSM focus is not on “implementing ITIL" or merely implementing ITIL processes. The goal is to leverage andintegrate industry standards, best practices, lessons learned, principles, methodologies, and frameworks in a practical way thatcreates a cohesive, integrated, and pragmatic approach to ITSM practices. The Government seeks to understand and manage ITvalue streams/chains with a view to apply the appropriate level of rigor (no more, no less) in a way that maximizes the value ITco-creates with its customers. The Government is also seeking to improve the IT customer experience by employing ExperienceLevel Agreements (XLAs) managed according to ITXM best practices and lessons learned.The Contractor shall demonstrate successful integration, execution, and support of the Government’ s tailored and practicalimplementation of the latest versions of ITIL®, the DESMF, and other frameworks and methodologies (e.g., Agile, Scrum,DevSecOps, Lean), as appropriate. The Contractor shall ensure that all relevant Contractor employees know, understand, and followthe Government’ s ITSM processes and practices that each uses to perform their support duties.C.4.2.1 Service Level Management</t>
        </is>
      </c>
      <c r="C6" t="inlineStr">
        <is>
          <t>C.1</t>
        </is>
      </c>
      <c r="D6" t="n">
        <v>9</v>
      </c>
      <c r="E6" s="6" t="inlineStr">
        <is>
          <t>High</t>
        </is>
      </c>
      <c r="F6" t="inlineStr">
        <is>
          <t>Mandatory</t>
        </is>
      </c>
      <c r="G6" t="inlineStr"/>
      <c r="H6" t="inlineStr">
        <is>
          <t>Not Started</t>
        </is>
      </c>
      <c r="I6" t="inlineStr"/>
      <c r="J6" t="inlineStr"/>
      <c r="K6" t="inlineStr"/>
      <c r="L6" t="inlineStr"/>
      <c r="M6" t="inlineStr"/>
      <c r="N6" t="inlineStr"/>
      <c r="O6" t="inlineStr">
        <is>
          <t>C.4.1.11.1, C.4.1.11.2, C.4.1.11.3, C.4.1.11.4, C.4.1.11.5, C.4.1.12, C.4.1.12.1, C.4.1.12.2, C.4.1.13, C.4.1.13.1, C.4.1.13.2, C.4.1.13.3, C.4.2, C.4.2.1</t>
        </is>
      </c>
      <c r="P6" t="inlineStr"/>
      <c r="Q6" t="inlineStr"/>
    </row>
    <row r="7">
      <c r="A7" t="inlineStr">
        <is>
          <t>C.4.2.1.1</t>
        </is>
      </c>
      <c r="B7" s="4" t="inlineStr">
        <is>
          <t>N0017826R30020003 - FINAL
Page 12 of 114
C.4.2.1.1 The Contractor shall support the Government’ s Service Level Management practices. The Contractor shall review existingSLAs and collaborate with customers to propose and develop new SLAs, The Contractor shall provide recommendations to identifyand enhance alignment to Service Level Objectives (SLOs) and Service Level Indicators (SLIs).  The Contractor shall monitor andreport on existing SLAs with external providers to ensure service providers adhere to defined service level targets. Whereinterdependent or internal dependencies exist for SLAs, the Contractor shall provide recommendations for establishing OperationalLevel Agreements (OLAs), Memorandums of Agreement (MOA), and Memorandums of Understanding (MOU), or other agreementto define the required end-to-end service, level of services required, and roles and responsibilities of the stakeholders. TheContractor shall ensure a cohesive and integrated approach exists in executing Service Level Management. The Contractor shall:(a) Provide timely IT service reporting using information from ITSM tools, user surveys, and other sources as required to measurethe performance and progress of IT services delivery, projects, and Contractor performance.(b) Support and maintain the performance of IT services in accordance with SLAs/MOAs/MOUs/OLAs/SLOs/SLIs and PrivacyImpact Assessments (PIAs).(c) Perform systems engineering analysis to determine the appropriate equipment and computer programs required to establish andsustain capabilities needed to accomplish existing and emerging IT missions.(d) Support the collection of data, analysis, and delivery of IT reports.(e) Provide ad hoc performance, workload, or other reports at the request of the Government. These requests generally arise fromexternal requests for information or special projects requiring data other than that normally provided to the Government duringnormal reporting activities.C.4.2.1.2 The Contractor shall provide Scrum project management support and Scrum Master services.C.4.2.2 ITSM Tool(s)C.4.2.2.1 The Contractor shall use the Government’ s ITSM tool(s) in support of the Government’ s ITSM practices for IT and IMactivities such as end-to-end IT service delivery, Service Availability Assurance, Change Enablement, Incident Management,Release Management, Deployment Management, CfM, Service Catalog Management, Architecture Management, RequestFulfillment, Problem Management, Continual Improvement, patch management, ticket queue management, and for analyzing andreporting IT metrics. (CDRL A020)C.4.2.2.2 The Contractor shall collaborate with the Government to mature existing business and ITSM processes and workflows,and implementing new processes that reflect industry best practices, maturity models, and frameworks (e.g., ITIL®, DESMF, Agile,Scrum, DevSecOps) ensuring a cohesive service delivery capability that integrates all relevant business and IT service managementprocesses and workflows.C.4.2.2.3 The Contractor shall perform ITSM tool(s) administration and update tasks with Government approval to create new useraccounts, delete user accounts, and modify user interface schemas.C.4.2.3 Service Catalog ManagementC.4.2.3.1 The Contractor shall provide expertise and support for the Government’ s implementation of a comprehensive, easy-to-use,IT service catalog with customer-specific views that deliver a personalized experience. The service catalog shall be a single sourceof accurate and consistent information on all operational services that are available to stakeholders (internal and external) andcustomers who are authorized to access it.C.4.2.4 Change EnablementC.4.2.4.1 The Contractor shall support the Government’ s Change Enablement practice and Change Management process goals.C.4.2.4.2 The Contractor shall participate in and provide required expertise, support, and input for the Government’ s CAB(s), CCB(s), or both.C.4.2.4.3 The Contractor shall adhere to the Government’ s risk, issue, and opportunity management practices and processes. TheContractor shall support the Government’ s efforts to effectively plan for and manage risks, issues, and opportunities. The Contractorshall manage and prepare risk and opportunity registers, risk assessments, analyses, studies, and risk mitigation and issue resolutionrecommendations.C.4.2.4.4 The Contractor shall provide expertise and support for NSWCDD’ s Organizational Change Management efforts.C.4.2.4.5 The Contractor shall perform critical ITSM tasks including but not limited to opening/closing, tracking, reporting, andmonitoring ITSM Change Requests.C.4.2.5 Service Configuration ManagementC.4.2.5.1 The Contractor shall provide expertise and support for NSWCDD's IT Service CfM practice (ITIL / ISO 20000) and the</t>
        </is>
      </c>
      <c r="C7" t="inlineStr">
        <is>
          <t>C.1</t>
        </is>
      </c>
      <c r="D7" t="n">
        <v>9</v>
      </c>
      <c r="E7" s="6" t="inlineStr">
        <is>
          <t>High</t>
        </is>
      </c>
      <c r="F7" t="inlineStr">
        <is>
          <t>Mandatory</t>
        </is>
      </c>
      <c r="G7" t="inlineStr"/>
      <c r="H7" t="inlineStr">
        <is>
          <t>Not Started</t>
        </is>
      </c>
      <c r="I7" t="inlineStr"/>
      <c r="J7" t="inlineStr"/>
      <c r="K7" t="inlineStr"/>
      <c r="L7" t="inlineStr"/>
      <c r="M7" t="inlineStr"/>
      <c r="N7" t="inlineStr"/>
      <c r="O7" t="inlineStr">
        <is>
          <t>C.4.2.1.1, C.4.2.1.2, C.4.2.2, C.4.2.2.1, C.4.2.2.2, C.4.2.2.3, C.4.2.3, C.4.2.3.1, C.4.2.4, C.4.2.4.1, C.4.2.4.2, C.4.2.4.3, C.4.2.4.4, C.4.2.4.5, C.4.2.5, C.4.2.5.1</t>
        </is>
      </c>
      <c r="P7" t="inlineStr"/>
      <c r="Q7" t="inlineStr"/>
    </row>
    <row r="8">
      <c r="A8" t="inlineStr">
        <is>
          <t>C.1</t>
        </is>
      </c>
      <c r="B8" s="4" t="inlineStr">
        <is>
          <t>N0017826R30020003 - FINAL
Page 13 of 114
DoD CfM process (MIL-HDBK-61B / EIA-649B) to provide accurate information and control of all service assets, configurationitems (CIs), and their relationships, that comprise NSWCDD's IT infrastructure. The IT Service CfM practice is meant to enable theestablishment and maintenance of a robust configuration management system (CMS) that serves as the cornerstone of IT operations.It ensures accurate and reliable information about the configuration of services, systems, and infrastructure components, which isavailable to support effective IT service management. DoD CfM is defined as the discipline that applies technical and administrativedirection and surveillance for identifying a system’ s configuration at discrete points in time to systematically control changes to theconfiguration. It also maintains the configuration’ s integrity and traceability throughout the system’ s life cycle. Further, DoD CfMidentifies baselines, as well as controls and reports changes to hardware, software, and relevant documentation. The scope of CfMalso extends to non-IT assets and to internal and external service providers, where shared assets need to be managed and controlled.(CDRL A020)C.4.2.5.2 The Contractor shall identify, control, and account for service assets and CIs, protecting and ensuring their integrity acrossthe service lifecycle.C.4.2.5.3 Using Government ITSM Tool(s), the Contractor shall maintain an extensible CfM Database (CMDB) structure thatdepicts the relationships between CIs in a way that supports end-to-end IT service delivery including but not limited to ChangeManagement, incident resolution, issue resolution, what-if scenarios, and problem resolution.C.4.2.5.4 Using Government ITSM tool(s), the Contractor shall develop and maintain the Government’ s CMS, which shall be arepository of all records and information pertaining to the installation and maintenance of IT hardware and software assets.C.4.2.5.5 The Contractor shall develop and maintain a complete and Government-approved IT asset inventory database and aCMDB as components of the CMS that are readily accessible to Government personnel as needed.C.4.2.5.6 The Contractor shall provide CfM support to include all the elements of IM resources with a proficient level of detail formanaging the information. The Contractor shall support the Government's CfM baseline ensuring it provides accurate informationabout IM and IT resources, implementing and maintaining Incident Management, Problem Management, Change Management,Release Management, and Deployment Management, and other relevant processes and practices. The goals include but are notlimited to ensuring that incidents can be managed and resolved effectively and finding the cause of problems rapidly and making thechanges necessary to solve them, keeping the CfM baseline up to date within SLA requirements, periodically monitoring theconfiguration of the systems in the production environment and comparing it with that held in the CfM baseline to correct anydiscrepancies.C.4.2.6 Service Continuity ManagementC.4.2.6.1 The Contractor shall provide expertise and support for Service Continuity Management planning. The Contractor shallprovide input for improving IT resiliency and for IT services recovery plans.C.4.2.6.2 The Contractor shall provide IT support for continuity exercises and missions.C.4.2.7 Availability ManagementC.4.2.7.1 The Contractor shall provide support and expertise for Availability Management ensuring application systems areoperational and available and shall:-Ensure system availability meets SLA/MOA/MOU/OLA requirements.-Provide input for After Action Reports.C.4.2.8 Capacity ManagementC.4.2.8.1 The Contractor shall provide support for Capacity Management ensuring that IT resources are in place or available tosatisfy planned needs and that those assets are effectively used.C.4.2.9 Incident Management and Request FulfillmentC.4.2.9.1 The Contractor shall support the Government’ s Incident Management and Request Fulfillment practices. The Contractorshall effectively respond to assigned incidents and problems and fulfill assigned service requests within service-level requirements.C.4.2.9.2 The Contractor shall provide support and expertise for integrating Incident Management processes with ITSM tool(s), theHelpdesk, Problem Management, Change Management, Configuration Management, and other processes as needed.C.4.2.10 Problem ManagementC.4.2.10.1 The Contractor shall support the Government’ s Problem Management practice and conduct corrective work to preventrecurrences of IT problems.C.4.2.11 Knowledge ManagementC.4.2.11.1 The contractor shall support the Government’ s Knowledge Management (KM) practice and contribute to the</t>
        </is>
      </c>
      <c r="C8" t="inlineStr">
        <is>
          <t>C.1</t>
        </is>
      </c>
      <c r="D8" t="n">
        <v>9</v>
      </c>
      <c r="E8" s="6" t="inlineStr">
        <is>
          <t>High</t>
        </is>
      </c>
      <c r="F8" t="inlineStr">
        <is>
          <t>Mandatory</t>
        </is>
      </c>
      <c r="G8" t="inlineStr"/>
      <c r="H8" t="inlineStr">
        <is>
          <t>Not Started</t>
        </is>
      </c>
      <c r="I8" t="inlineStr"/>
      <c r="J8" t="inlineStr"/>
      <c r="K8" t="inlineStr"/>
      <c r="L8" t="inlineStr"/>
      <c r="M8" t="inlineStr"/>
      <c r="N8" t="inlineStr"/>
      <c r="O8" t="inlineStr">
        <is>
          <t>C.4.2.5.2, C.4.2.5.3, C.4.2.5.4, C.4.2.5.5, C.4.2.5.6, C.4.2.6, C.4.2.6.1, C.4.2.6.2, C.4.2.7, C.4.2.7.1, C.4.2.8, C.4.2.8.1, C.4.2.9, C.4.2.9.1, C.4.2.9.2, C.4.2.10, C.4.2.10.1, C.4.2.11, C.4.2.11.1</t>
        </is>
      </c>
      <c r="P8" t="inlineStr"/>
      <c r="Q8" t="inlineStr"/>
    </row>
    <row r="9">
      <c r="A9" t="inlineStr">
        <is>
          <t>C.4.2.11.2</t>
        </is>
      </c>
      <c r="B9" s="4" t="inlineStr">
        <is>
          <t>The Contractor shall maintain the KM database while capturing, centralizing, and maintaining the knowledge anddocumentation repository published in the ITSM tool(s).C.4.2.11.2 The Contractor shall provide updates to KM artifacts such as, workarounds, solutions, application SOPs, online help/wikipages, and user-community “how-to” documentation as needed.C.4.2.12 IT Asset Management (ITAM)C.4.2.12.1 The Contractor shall support the Government's ITAM practice to include but not limited to accurate record keeping ofinformation such as installations, moves, adds and changes (IMACs), asset receipts, transfers, location, assigned custodian,hardware/software inventory, purchase orders, purchase cost, maintenance cost, lifecycle repair costs, and turn-in; as well asupdating and maintaining current data in the Government's ITSM tool(s).C.4.2.12.2 The Contractor shall provide expertise and support for Software Asset Management (SAM). SAM activities may includebut are not limited to establishing, managing, and maintaining an enterprise definitive media library, assessments of softwareinstallations, license compliance, purchase order information, maintenance contract start and end dates, timely maintenance andsubscription renewal notices, and analysis of software usage data needed to optimize software usage and eliminate excess costsassociated with unused software licenses.C.4.2.12.3 The Contractor shall provide expertise and support for Hardware Asset Management (HAM). HAM activities shallinclude but are not limited to tracking assets, knowing where those assets are deployed, how they are used, financial information,purchase order information, supply vendor information, monitoring and reporting maintenance contract start and end dates, timelynotices for maintenance renewal and refresh schedule, how frequently hardware assets are used, their repair status, lifecycleinformation (including costs), and when they need to be replaced or disposed of.C.4.2.12.4 The Contractor shall develop, implement, and adhere to a Government-approved process that ensures IT assets aretracked, managed, patched, supported in accordance with SLAs/MOAs/MOUs/MOAs, SLO and SLI requirements, refreshed, anddisposed of in accordance with all legal, regulatory, Department of the Navy (DON), and NSWCDD, and other requirements.C.4.2.12.5 The Contractor shall identify equipment and software requirements and develop a proposed annual buy-list to addresstechnology obsolescence issues for Government approval. (CDRL A024)C.4.2.13 IT Inventory ManagementC.4.2.13.1 The Contractor shall be responsible for the delivery, deployment, and support of all IT assets and configuration itemsincluding but not restricted to telephones, pads, computers, and peripherals, such as printers and scanners.C.4.2.13.2 The Contractor shall track and record the receipt, management, and delivery of all equipment and related items (e.g.,domain controllers, servers, endpoints).C.4.2.13.3 The Contractor shall develop and adhere to a Government-approved process for the receipt, management, delivery, andtracking of all equipment and related items throughout their lifecycles (from cradle to grave). The Contractor shall adhere to theprocess.C.4.2.13.4 The Contractor shall verify material or merchandise against receiving documents, noting and reporting discrepancies andobvious damages.C.4.2.13.5 The Contractor shall route materials to prescribed storage locations or bins and store, stack, or palletize materials inaccordance with Government prescribed storage methods.C.4.2.13.6 The Contractor shall update procurement tracker for materials received.C.4.2.13.7 The Contractor shall track where hardware and software is installed and stored at all times as a part of its inventorymanagement responsibilities. The Contractor shall track and maintain the inventory of stored materials from acceptance to deliveryto the end user. (CDRL A026)C.4.2.13.8 The Contractor shall deliver material to end-user within Government provided timeline and track and record the receipt,management, and delivery of them using the Government provided tool(s).C.4.2.13.9 The Contractor shall coordinate the return of equipment for repair or replacement under warranty and coordinate therepairs for hardware no longer under warranty.C.4.2.13.10 The Contractor shall regularly examine stored materials and report all deterioration or damage. The Contractor shallremove material from storage and prepare for return.C.4.2.13.11 The Contractor shall provide IT acquisition and logistics support for the areas including but not restricted torequisitions, material management, inventory control, and associated database management.C.4.2.13.12 The Contractor shall receive and inventory IT assets including but not limited to workstations and peripherals.</t>
        </is>
      </c>
      <c r="C9" t="inlineStr">
        <is>
          <t>C.1</t>
        </is>
      </c>
      <c r="D9" t="n">
        <v>9</v>
      </c>
      <c r="E9" s="6" t="inlineStr">
        <is>
          <t>High</t>
        </is>
      </c>
      <c r="F9" t="inlineStr">
        <is>
          <t>Mandatory</t>
        </is>
      </c>
      <c r="G9" t="inlineStr"/>
      <c r="H9" t="inlineStr">
        <is>
          <t>Not Started</t>
        </is>
      </c>
      <c r="I9" t="inlineStr"/>
      <c r="J9" t="inlineStr"/>
      <c r="K9" t="inlineStr"/>
      <c r="L9" t="inlineStr"/>
      <c r="M9" t="inlineStr"/>
      <c r="N9" t="inlineStr"/>
      <c r="O9" t="inlineStr">
        <is>
          <t>C.4.2.11.2, C.4.2.12, C.4.2.12.1, C.4.2.12.2, C.4.2.12.3, C.4.2.12.4, C.4.2.12.5, C.4.2.13, C.4.2.13.1, C.4.2.13.2, C.4.2.13.3, C.4.2.13.4, C.4.2.13.5, C.4.2.13.6, C.4.2.13.7, C.4.2.13.8, C.4.2.13.9, C.4.2.13.10, C.4.2.13.11, C.4.2.13.12</t>
        </is>
      </c>
      <c r="P9" t="inlineStr"/>
      <c r="Q9" t="inlineStr"/>
    </row>
    <row r="10">
      <c r="A10" t="inlineStr">
        <is>
          <t>C.4.2.13.13</t>
        </is>
      </c>
      <c r="B10" s="4" t="inlineStr">
        <is>
          <t>N0017826R30020003 - FINAL
Page 15 of 114
C.4.2.13.13 The Contractor shall manage Activity Telecommunications Control Office (ATCO) device inventory and advise theATCO when orders are required.C.4.2.13.14 The Government will provide access to a government provided vehicle (GPV) for Authorized Drivers to perform taskswithin the scope of this SOW that require a GPV , subject to Government approval and availability (see C.22).C.4.2.14 Service Financial ManagementC.4.2.14.1 The Contractor shall provide inputs to cost estimates.C.4.2.14.2 The Contractor shall provide expertise and support for Technology Business Management in order to quantify theexpected business value of IT initiatives and to ensure a consistent way to connect IT value to technology investments whileenabling IT, finance, and mission/business leaders to react quickly to changing dynamics and optimally leverage IT to deliver onmission/business objectives.C.4.2.14.3 The Contractor shall provide decision support with technical analysis and financial analysis, including but not limited toalternative analysis, business case analysis (BCA), cost estimating, and manpower analysis, that support the Government’ s ability tomake informed technology, business, and investment decisions. (CDRLs A009, A013)C.4.2.15 Risk ManagementC.4.2.15.1 The Contractor shall practice effective risk, issue, and opportunity management. The Contractor shall identify, report, andmitigate project and technical risks and issues and provide meaningful metrics to report status.  The Contractor shall participate withthe Government to review and collaborate on risk assessments and mitigation approaches.C.4.2.16 Continual ImprovementC.4.2.16.1 Continual Improvement focuses on the monitoring and reporting of service and performance metrics as well as theongoing evaluation of the collected data to maximize efficiency and effectiveness in a balanced way while remaining affordable.The Contractor shall manage opportunities as part of the Continual Improvement practice. The Contractor shall monitor IT servicedelivery performance, practices, and processes to identify opportunities for Continual Improvement endeavoring to optimizeNSWCDD’ s IT ecosystem and actively explore new technologies and ways of working while preparing its personnel to supportthem as they are implemented.C.4.2.16.2 The Contractor shall identify, recommend, measure, and report the results of improvements to on-going operations andprovide recommendations for planning, organizing, and managing critical aspects of the development, design, testing, deployment,and effectiveness of capabilities.  (CDRL A010)C.4.2.16.3 The Contractor shall continuously monitor systems, capabilities, and services from an end-to-end perspective forperformance degradation and service interruptions. If performance degradation, faults, or interruptions are detected, the Contractorshall report it to the Government.C.4.2.16.4 The Contractor shall work with the Government to collect user surveys and provide analysis and recommendations toenhance end-to-end IT service performance, reduce costs, and achieve efficiencies. (CDRL A006)C.4.2.17 Customer IT Experience Management SupportC.4.2.17.1 An IT customer's experience encompasses all aspects of the customer's interaction with IT, its services, and its products.ITXM is the continual, end-to-end measurement, analysis, and sharing of customer experience data to identify and successfullyaddress key areas where customer experience can be improved resulting in increased business value for customers and otherstakeholders. With the help of human-centric metrics, ITXM helps answer questions such as: Did the customer feel good about theend-to-end interaction with IT? Did IT help the customer solve a problem? Did IT help the customer be more productive? Whatwent well? What needs improvement? As such, ITXM is not as much about improving technology as it is about improving thecustomer’ s happiness during their interactions with IT and fulling IT’ s commitments as specified in XLAs. The Contractor shallprovide effective subject matter expertise and operational support for planning, implementing, evaluating, analyzing XLAs, XLAdata, and the Government's ITXM practice.C.4.2.17.2 The Contractor shall ensure NSWCDD stakeholders are happy with its quality of services and deliverables, speed ofdelivery, technical knowledge, approachability, and communications.C.4.3 Contractor Workforce ManagementC.4.3.1 The Contractor shall provide fully trained, skilled, certified, and experienced personnel capable of achieving programrequirements and that meet the qualifications provided in the Task Order for the duration of the Task Order.C.4.3.2 The normal hours of work at NSWCDD are provided in G-242-H002 Hours of Operation and Holiday Schedule. TheContractor shall maintain a core work schedule of 0900-1500, Monday through Friday except for Federal Holidays.C.4.3.3 The Government may require extended hours of support beyond the core-working schedule provided in G-242-H002 Hours</t>
        </is>
      </c>
      <c r="C10" t="inlineStr">
        <is>
          <t>C.1</t>
        </is>
      </c>
      <c r="D10" t="n">
        <v>9</v>
      </c>
      <c r="E10" s="6" t="inlineStr">
        <is>
          <t>High</t>
        </is>
      </c>
      <c r="F10" t="inlineStr">
        <is>
          <t>Mandatory</t>
        </is>
      </c>
      <c r="G10" t="inlineStr"/>
      <c r="H10" t="inlineStr">
        <is>
          <t>Not Started</t>
        </is>
      </c>
      <c r="I10" t="inlineStr"/>
      <c r="J10" t="inlineStr"/>
      <c r="K10" t="inlineStr"/>
      <c r="L10" t="inlineStr"/>
      <c r="M10" t="inlineStr"/>
      <c r="N10" t="inlineStr"/>
      <c r="O10" t="inlineStr">
        <is>
          <t>C.4.2.13.13, C.4.2.13.14, C.22, C.4.2.14, C.4.2.14.1, C.4.2.14.2, C.4.2.14.3, C.4.2.15, C.4.2.15.1, C.4.2.16, C.4.2.16.1, C.4.2.16.2, C.4.2.16.3, C.4.2.16.4, C.4.2.17, C.4.2.17.1, C.4.2.17.2, C.4.3, C.4.3.1, C.4.3.2, C.4.3.3</t>
        </is>
      </c>
      <c r="P10" t="inlineStr"/>
      <c r="Q10" t="inlineStr"/>
    </row>
    <row r="11">
      <c r="A11" t="inlineStr">
        <is>
          <t>C.1</t>
        </is>
      </c>
      <c r="B11" s="4" t="inlineStr">
        <is>
          <t>N0017826R30020003 - FINAL
Page 16 of 114
of Operation and Holiday Schedule. Extended hours of support will be in-scope to provide after-normal-working hours support forthe defined task areas of the SOW. Extended hours of support are OPTIONAL and is not a guarantee. If the Government determinesthat extended hours of support is required for the task areas defined in the SOW is required.C.4.3.4 The Contractor shall be in daily contact, weekly contact, or both (as mutually agreed by Contractor and Government) withits government counterparts. The frequency of these contacts will change depending upon the workload or issues identified. TheContractor shall keep the Government apprised of its activities on a regular basis. The Contractor shall notify the Government viaCOR per G-242-W001 for all delayed arrival or absence of Contractor personnel for Government Awareness.C.4.3.5 The Contractor shall submit its Workforce Management Plan to successfully attract, hire, train, and retain personnelqualified to perform the work described herein and its approach for professional growth and development of personnel to maintainpace with technology, IT support methodologies and frameworks, and changes to government standards, practices, technologies, andmission. (CDRL A027)C.4.3.6 The Contractor shall continually deliver all required expertise, support, and contract deliverables at the requiredperformance standards regardless of departing or on-boarding of personnel, personnel on short-term or long-term leave, or vacantpositions.C.4.3.7 The Contractor shall plan and execute employee transitions in a way that:(a) Facilitates smooth knowledge transfer(b) Ensures the transitioning-in employee has the skills and knowledge to perform the work(c) Ensures business continuity and avoids disruptions(d) Prevents losses, missed opportunities, and other risks that can occur during transitional phases(e) Ensures the transitioning-in employee understands their duties and responsibilities, is aware of critical projects and initiatives,and understands the Government's priorities and deadlines.C.4.4 Endpoint SupportC.4.4.1 The Contractor shall provide end-to-end, full-lifecycle endpoint (computer and network) support of IT assets and resources.C.4.4.2 The Contractor shall perform troubleshooting and reconfigurations to resolve problems and performance issues or to satisfyneed and requirement changes.C.4.4.3 The Contractor shall provide support for troubleshooting, repair, hardware and software upgrades and updates, operatingsystem installation, system imaging, deployment and removal, and customer support (e.g., desktops, workstations, zero/thin clients,virtual desktops, printers and mobile IT).C.4.4.4 The Contractor shall maintain a patch repository for all operating system, 3rd party and vendor software, andhardware/firmware upgrades for all supported software and hardware. The Contractor shall download and centralize all requiredupdates on a monthly and ad hoc basis as needed. The Contractor shall create media for assets that cannot access the centralizedrepository.C.4.4.5 The Contractor shall provide hardware configuration and software configuration of endpoints including but not limited todesktop, laptop, thin clients, virtual desktops, mobile devices, and printer/scanner devices. This shall include setup, staging,installation, initialization, and testing of hardware and software, operating systems, interfaces (e.g., user, network, and application),applications, and delivery of endpoints.C.4.4.6 The Contractor shall verify that workstations are built using the Government-approved baseline image. The Contractor shallperform physical and logical IMACs. Baseline configurations shall be applied using Government-approved disk-imaging utilities.The vendor shall use Government-approved standard workstation images, deploy the images to the staged hardware, deliver anddeploy the system(s).C.4.4.7 The Contractor shall plan for technology refreshes as determined by the Government. The Contractor shall anticipate, plan,and augment staff appropriately for the deployment of technology refreshes.  The Contractor shall ensure user data is safeguardedand properly secured during device replacements or refreshes. The Contractor shall plan for a minimum of 20% asset replacementsper year.C.4.4.8 The Contractor shall install, configure, manage, and maintain printers.C.4.4.9 The Contractor shall configure and upgrade hardware and software for servers, endpoints and their operating systems (e.g.,Windows, Linux, UNIX, macOS, Android, and iOS).C.4.4.10 The Contractor shall provide technical support and assistance for users with special needs. This support includes activitiessuch as responding to service requests and incidents for hardware and software needed to support people with disabilities.</t>
        </is>
      </c>
      <c r="C11" t="inlineStr">
        <is>
          <t>C.1</t>
        </is>
      </c>
      <c r="D11" t="n">
        <v>9</v>
      </c>
      <c r="E11" s="6" t="inlineStr">
        <is>
          <t>High</t>
        </is>
      </c>
      <c r="F11" t="inlineStr">
        <is>
          <t>Mandatory</t>
        </is>
      </c>
      <c r="G11" t="inlineStr"/>
      <c r="H11" t="inlineStr">
        <is>
          <t>Not Started</t>
        </is>
      </c>
      <c r="I11" t="inlineStr"/>
      <c r="J11" t="inlineStr"/>
      <c r="K11" t="inlineStr"/>
      <c r="L11" t="inlineStr"/>
      <c r="M11" t="inlineStr"/>
      <c r="N11" t="inlineStr"/>
      <c r="O11" t="inlineStr">
        <is>
          <t>C.4.3.4, C.4.3.5, C.4.3.6, C.4.3.7, C.4.4, C.4.4.1, C.4.4.2, C.4.4.3, C.4.4.4, C.4.4.5, C.4.4.6, C.4.4.7, C.4.4.8, C.4.4.9, C.4.4.10</t>
        </is>
      </c>
      <c r="P11" t="inlineStr"/>
      <c r="Q11" t="inlineStr"/>
    </row>
    <row r="12">
      <c r="A12" t="inlineStr">
        <is>
          <t>C.4.4.11</t>
        </is>
      </c>
      <c r="B12" s="4" t="inlineStr">
        <is>
          <t>C.4.4.11 Unified IT Helpdesk Operations and SupportC.4.4.12 The Contractor shall operate, maintain, and provide the Unified Helpdesk with all required staff to provide effectivecoverage and support services (meets or exceeds SLA, and XLA targets) available to the NSWCDD community. The Contractorshall also meet evolving needs in response to changing and future NSWCDD requirements and optional surge support requirements.The Contractor shall staff the Helpdesk in the most efficient manner consistent with SLAs, and XLAs. The Contractor is responsiblefor providing all required expertise and support to perform Helpdesk functions and activities including but not limited to thefollowing:(a) Managing Helpdesk processes.(b) Incident management and resolution.(c) Problem management and resolution.(d) Service request management and fulfillment.(e) Monitoring and event management.(f) Customer relationship management.(g) Knowledge management.(h) Disseminating information regarding planned outages or incidents impacting production services.(i) Providing information to users regarding the status and closure of their respective service requests.(j) Soliciting user feedback regarding the quality of service provided by the Helpdesk.(k) Working with the Government to resolve system access issues.(l) Continual improvement.(m) Providing customers and other stakeholders with assistance and end-user training.(n) Resolving and managing Mission Assurance Decision Support System (MADSS) trouble calls.(o) Improving customer IT experience.C.4.4.12.1 The Contractor shall maintain a database of important ITSM information such as incidents, changes, user requests,assistance and resolutions in the ITSM Tool(s) provided by the Government. The Contractor shall use this tool to provide metricsand reports to inform the Government (e.g., statuses, progress, risks, changes, incidents, customer sentiment, problems, trends,issues, Total Issues Opened and Closed by Severity, Issues Opened and Closed by Product, and Total Issues Currently Opened).C.4.4.12.2 The Contractor shall employ multiple bidirectional channels to communicate with customers and other stakeholders.Helpdesk communication channels shall be secure, accessible, and compliant with all applicable regulations, policies, and rules, andbe available where needed and when needed with relevant contextual information. All interfaces shall be clear, intuitive, helpful,and functional. The Contractor shall complete all incident resolutions and service requests within Government established serviceand operational level agreements. The Contractor shall enable and continually improve effective, efficient, and convenientcommunications between the Helpdesk and its users while enabling the effective integration of user communications into valuestreams.C.4.4.12.3 The Government may require extended hours of Helpdesk support beyond the normal working hours during the orderingperiod or any option period. Extended hours of Helpdesk support will be in-scope to provide after-normal working hours support forthe defined task areas of the SOW. Extended hours of Helpdesk support are OPTIONAL and is not a guarantee. If the Governmentdetermines that extended hours of Helpdesk support are required for the task areas defined in the SOW.C.4.4.12.4 The Contractor shall employ various sources of information including but not limited to industry best practices, customersatisfaction surveys, and huma-centric IT Experience surveys and other collected experience data to implement, staff, and operatethe unified Helpdesk as a single point-of-contact that is suitable to meet the needs of customers and other stakeholders.C.4.4.12.5 The Contractor shall contact each customer prior to an on-site visit to arrange for an appointment and acquire anyadditional information needed to resolve the incident/problem or fulfill the request. The Contractor shall provide a means to collectcustomer feedback that shall be provided to the Contractor and directly to the Government. All support shall satisfy service-levelrequirements.C.4.4.12.6 The Contractor shall provide expertise and support for processes and practices that the Government will establish as itsITSM practices and processes as they mature and expand beyond just the processes and practices explicitly listed in this contract toinclude up to the entire scope of ITSM activities as described in the most current versions of the frameworks, practices, andmethodologies (e.g., ITIL® framework, the DESMF, Scrum, Agile, DevSecOps).</t>
        </is>
      </c>
      <c r="C12" t="inlineStr">
        <is>
          <t>C.4.4.11</t>
        </is>
      </c>
      <c r="D12" t="n">
        <v>20</v>
      </c>
      <c r="E12" s="6" t="inlineStr">
        <is>
          <t>High</t>
        </is>
      </c>
      <c r="F12" t="inlineStr">
        <is>
          <t>Mandatory</t>
        </is>
      </c>
      <c r="G12" t="inlineStr"/>
      <c r="H12" t="inlineStr">
        <is>
          <t>Not Started</t>
        </is>
      </c>
      <c r="I12" t="inlineStr"/>
      <c r="J12" t="inlineStr"/>
      <c r="K12" t="inlineStr"/>
      <c r="L12" t="inlineStr"/>
      <c r="M12" t="inlineStr"/>
      <c r="N12" t="inlineStr"/>
      <c r="O12" t="inlineStr">
        <is>
          <t>C.4.4.11, C.4.4.12, C.4.4.12.1, C.4.4.12.2, C.4.4.12.3, C.4.4.12.4, C.4.4.12.5, C.4.4.12.6</t>
        </is>
      </c>
      <c r="P12" t="inlineStr"/>
      <c r="Q12" t="inlineStr"/>
    </row>
    <row r="13">
      <c r="A13" t="inlineStr">
        <is>
          <t>C.4.4.12.7</t>
        </is>
      </c>
      <c r="B13" s="4" t="inlineStr">
        <is>
          <t>N0017826R30020003 - FINAL
Page 18 of 114
C.4.4.12.7 The Contractor shall manage the Helpdesk that is the single point-of-contact for users requesting support, services, forthe reporting of incidents, and maintaining and using the Knowledge Management Repository. The Contractor shall collect datanecessary for and incidental to, the efficient resolution of all service requests and incidents. In the event the ITSM Tool(s) are notproperly configured to facilitate the collection of all required data, the Contractor is expected to proactively suggest improvementsto the ITSM Tool(s). For data not accessible via the ITSM Tool(s), the Contractor shall work with the Government to obtain thatdata.C.4.4.12.8 The Contractor shall maintain a database of user requests, assistance, and resolutions in the ITSM tool(s) provided by theGovernment. The Contractor shall use the tool(s) to raise and track tickets, process and record IT service requests, record andprovide metrics, and reports to inform the Government of problems, trends and issues; as well as total Issues Opened and Closed bySeverity; Issues Opened and Closed by Product; and Total Issues Currently Opened.C.4.4.12.9 The Contractor shall manage Helpdesk processes including the capture, routing, tracking, closing, and reporting of allservice requests and reported incidents.C.4.4.12.10 The Contractor shall immediately escalate Incidents or Service Requests that are outside the scope of their responsibilityto the appropriate work group.C.4.4.12.11 The Contractor shall provide digital signage lifecycle support services including design, professional installation,seamless content management, and ongoing maintenance ensuring Government displays are operational and provide important andtimely notices and information.C.4.4.13 Telecommunications SupportC.4.4.13.1 The Contractor shall provide expertise and integrated support services that satisfy the requirements of the Government'sV oice solution(s) (e.g., V oIP, POTS, cellular).C.4.4.13.2 The Contractor shall perform operations, administration, and management of the Government's TelecommunicationsServices which includes but is not limited to managing and communicating outages to alert end users (unscheduled outages) and forplanning purposes (scheduled outages/maintenance), management of user accounts and telephone devices, voice network securitymanagement, and coordinating and performing IMACs in cooperation with the Government’ s voice services providers.C.4.4.13.3 In coordination with the Government’ s ATCO and Departmental Technical Representatives (DTRs) the Contractor shalltrack, issue, and manage NSWCDD’ s phones (e.g., voice over IP (V oIP), analog), wireless devices and telecommunications services.C.4.4.13.4 The Contractor shall track requests for telecommunications service and equipment.C.4.4.13.5 The Contractor shall receive, process, and breakdown the vendor provided wireless billing for delivery to theDepartments for validation. The Contractor shall identify and report potential discrepancies of billing for vendor-provided services.C.4.4.13.6 The Contractor shall record and report ATCO-related metrics, and develop telecommunications related reports, anddocuments.C.4.4.13.7 The Contractor shall track requests for service and equipment (e.g., phones, cell phones, pads, jetpacks, VOIP phonesand accounts, and landlines) and provide relevant ad hoc and monthly reports. (CDRL A006)C.4.4.13.8 The Contractor shall provide knowledge and expertise for the design, implementation, maintenance, management, andoperation of the Government’ s V oIP systems.C.4.4.13.9 The Contractor shall liaise with the wireless service provider Helpdesk for ATCO services and devices.C.4.4.13.10 The Contractor shall develop Government-approved procedures and proposed techniques for use by the ATCO for theprovision of communication services and tracking of issued devices. The Contractor shall adhere to the processes and procedures.C.4.4.13.11 The Contractor shall distribute ATCO-approved devices, accessories and peripherals.C.4.4.13.12 The Contractor shall provide expertise and support for billing analysis for V oice, and for analyzing call pattern anomalydetection, and prevention for real-time detection of toll fraud, dialing, and service abuse/misuse for voice networks.C.4.4.13.13 The Contractor shall identify and report potential discrepancies of ATCO departmental billing for vendor-providedservices.C.4.4.13.14 The Contractor shall process telecommunications requests for landlines, cell phones jetpacks, iPhones, and iPads.C.4.4.13.15 The Contractor shall train end users on the use of V oIP, and mobile device technology.C.4.4.13.16 The Contractor shall conduct telecommunications user surveys and analyze the communication systems services toensure they meet the needs of customers.C.4.4.13.17 The Contractor shall keep pace with new products and enhancements to mobile technology.</t>
        </is>
      </c>
      <c r="C13" t="inlineStr">
        <is>
          <t>C.4.4.11</t>
        </is>
      </c>
      <c r="D13" t="n">
        <v>20</v>
      </c>
      <c r="E13" s="6" t="inlineStr">
        <is>
          <t>High</t>
        </is>
      </c>
      <c r="F13" t="inlineStr">
        <is>
          <t>Mandatory</t>
        </is>
      </c>
      <c r="G13" t="inlineStr"/>
      <c r="H13" t="inlineStr">
        <is>
          <t>Not Started</t>
        </is>
      </c>
      <c r="I13" t="inlineStr"/>
      <c r="J13" t="inlineStr"/>
      <c r="K13" t="inlineStr"/>
      <c r="L13" t="inlineStr"/>
      <c r="M13" t="inlineStr"/>
      <c r="N13" t="inlineStr"/>
      <c r="O13" t="inlineStr">
        <is>
          <t>C.4.4.12.7, C.4.4.12.8, C.4.4.12.9, C.4.4.12.10, C.4.4.12.11, C.4.4.13, C.4.4.13.1, C.4.4.13.2, C.4.4.13.3, C.4.4.13.4, C.4.4.13.5, C.4.4.13.6, C.4.4.13.7, C.4.4.13.8, C.4.4.13.9, C.4.4.13.10, C.4.4.13.11, C.4.4.13.12, C.4.4.13.13, C.4.4.13.14, C.4.4.13.15, C.4.4.13.16, C.4.4.13.17</t>
        </is>
      </c>
      <c r="P13" t="inlineStr"/>
      <c r="Q13" t="inlineStr"/>
    </row>
    <row r="14">
      <c r="A14" t="inlineStr">
        <is>
          <t>C.4.4.13.18</t>
        </is>
      </c>
      <c r="B14" s="4" t="inlineStr">
        <is>
          <t>N0017826R30020003 - FINAL
Page 19 of 114
C.4.4.13.18 The Contractor shall perform Purebred Agent Functions for activation of encryption on wireless devices beingdeployed.C.4.4.13.19 The Contractor shall provide expertise and support services for managing V oice networks, for network monitoring, fornetwork planning and optimization, for trouble-handling, for fault management, for incident management, and performancemanagement.C.4.4.13.20 The Contractor shall perform phone IMACs, V oIP phone hardware refreshes, and troubleshoot V oIP phones.C.4.4.13.21 The Contractor shall provide enterprise-wide call details record collection, call accounting, resource utilizationreporting, and traffic analysis for proactive network management.C.4.4.13.22 The Contractor shall develop and maintain a dashboard(s) in the appropriate ITSM tool(s) for enterprise-wide visibilityof V oice infrastructure performance, with real-time and continuous monitoring of circuit health &amp; status, and call qualityperformance, and Quality of Service metrics.C.4.4.13.23 The Contractor shall develop, implement, and manage a shared V oice Services knowledge base that is accessible usingthe ITSM tool(s).C.4.4.13.24 The Contractor shall develop, implement, and execute management and operations processes for the effective, efficient,and affordable support of the Government's V oice solution(s).C.4.4.13.25 The Contractor shall operate and manage current and emerging V oice Services required to meet the Government’ sbusiness and operational requirements as they evolve.C.4.4.13.26 The Contractor shall apply the Government-approved geographic information system database (e.g., Esri’ s ArcGIS) tomap and use as a repository for the infrastructure architecture. The Contractor shall map the network to be used as an automated toolfor network management.C.4.4.13.27 The Contractor shall perform scheduled maintenance, upgrades, changes, and installs or other activity affectingtelecommunications equipment or software after hours or on weekends at the Government’ s discretion.C.4.4.13.28 The Contractor shall supply to the Government a scheduled maintenance plan that shall include proactive activities tokeep the network functioning at peak efficiency.  The Contractor shall ensure that no maintenance activities conflict with otherscheduled initiatives or application testing or turn ups. C.4.4.13.29 Acting as the system integrator on behalf of the Government, the Contractor shall work with the Government to placeorders for all necessary interconnect and other equipment. The Contractor shall order all required components including, but notlimited to, telephone circuits, trunks, and service features from the Government’ s carrier(s), V oice service provider(s), and othervendors.  The Contractor shall notify the Government of installation dates and shall provide a copy of all orders in the requiredformat (e.g., electronic copy, paper copy, entered into the Government database(s)).  C.4.4.13.30 The Contractor shall collect and centrally monitor major failures, alarms, and other error conditions that couldpotentially threaten the success of the voice solution’ s operation.C.4.4.13.31 The Contractor shall clearly define each severity alarm type in order to provide the Government with a clear explanationto be used in assigning severity to alarms throughout the contract term.  For example, the Contractor shall clearly identify whatconstitutes a Severity 1 alarm, Severity 2 alarm, etc.  This shall be submitted in writing to the Government within 30 days of thecontract award. (CDRL A019)C.4.4.13.32 The Contractor shall provide and clearly define escalation levels for the Government to use in escalating trouble tickets.These levels shall include contact names, numbers and clearly defined procedures for escalating  trouble tickets within theContractor organization.C.4.4.13.33 The Contractor shall support the provision of services for obtaining and troubleshooting various capacity leased linesand associated equipment used for interface into RDTE network(s) and NSWCDD’ s detachment and partner (e.g., Warfare Centers,universities) sites.C.4.4.13.34 The Contractor shall maintain and update circuit information to avoid inadvertent interruption of service.C.4.4.13.35 The Contractor shall prepare circuit diagrams and update service agreements, where needed.C.4.4.13.36 The Contractor shall provide support for Video Conferencing Services.C.4.4.14 Flank Speed SupportC.4.4.14.1 The Contractor shall provide Flank Speed administrative duties including but not limited to monitoring and ensuringcommand compliance with business rules and information assurance policies.C.4.4.14.2 The Contractor shall provide special project management and oversight. The Contractor shall perform account and</t>
        </is>
      </c>
      <c r="C14" t="inlineStr">
        <is>
          <t>C.4.4.11</t>
        </is>
      </c>
      <c r="D14" t="n">
        <v>20</v>
      </c>
      <c r="E14" s="6" t="inlineStr">
        <is>
          <t>High</t>
        </is>
      </c>
      <c r="F14" t="inlineStr">
        <is>
          <t>Mandatory</t>
        </is>
      </c>
      <c r="G14" t="inlineStr"/>
      <c r="H14" t="inlineStr">
        <is>
          <t>Not Started</t>
        </is>
      </c>
      <c r="I14" t="inlineStr"/>
      <c r="J14" t="inlineStr"/>
      <c r="K14" t="inlineStr"/>
      <c r="L14" t="inlineStr"/>
      <c r="M14" t="inlineStr"/>
      <c r="N14" t="inlineStr"/>
      <c r="O14" t="inlineStr">
        <is>
          <t>C.4.4.13.18, C.4.4.13.19, C.4.4.13.20, C.4.4.13.21, C.4.4.13.22, C.4.4.13.23, C.4.4.13.24, C.4.4.13.25, C.4.4.13.26, C.4.4.13.27, C.4.4.13.28, C.4.4.13.29, C.4.4.13.30, C.4.4.13.31, C.4.4.13.32, C.4.4.13.33, C.4.4.13.34, C.4.4.13.35, C.4.4.13.36, C.4.4.14, C.4.4.14.1, C.4.4.14.2</t>
        </is>
      </c>
      <c r="P14" t="inlineStr"/>
      <c r="Q14" t="inlineStr"/>
    </row>
    <row r="15">
      <c r="A15" t="inlineStr">
        <is>
          <t>C.4.4.11</t>
        </is>
      </c>
      <c r="B15" s="4" t="inlineStr">
        <is>
          <t>N0017826R30020003 - FINAL
Page 20 of 114
service management that consists of but not limited to managing Flank Speed accounts and services (including Teams Telephony).This shall include creation, modification, and tracking accounts. Service management shall include IMAC submittals, IMACtracking, and hardware and software tracking, and inventory management. End user communications shall consist of but not limitedto providing written communication to end users and customers on account and services status.C.4.4.15 Naval Enterprise Network Support (NEN)C.4.4.15.1 The Contractor shall provide special project management and oversight. The Contractor shall perform account andservice management which consists of but is not limited to managing Nautilus accounts and services. This shall include creation,modification, and tracking accounts. Service management shall include but is not limited to IMAC submittals, IMAC tracking, andhardware and software tracking, and inventory management. End user communications shall consist of providing writtencommunication to end users and customers on account and services status.C.4.4.15.2 The Contractor shall coordinate and maintain NEN site documentation (e.g., Seat Deployment Schedule, classified NENSeat Deployment, and technical refresh documentation) utilizing the Navy Enterprise Tool(s) (e.g., NET).C.4.4.15.3 The Contractor shall perform scheduling of endpoint deployment, managing the status of deployed seats, and trackingequipment shipped (e.g., via DD Form 1149s), requisition, and invoice, and shipping document. (CDRL A014)C.4.4.15.4 The Contractor shall coordinate NEN assets and shall use NET for IMAC requests, ordering services, and Task Ordermanagement. When necessary, the Contractor shall provide training on the use of NEN tools and procedures. The Contractor willelicit student evaluations of the training using Government-approved method(s), evaluation questionnaire(s), or both.C.4.4.15.5 The Contractor shall perform file storage coordination including permission and administrator roles for theimplementation and management of share drives.C.4.4.15.6 The Contractor shall develop and maintain work areas from current NEN to future NEN solutions. This shall includeidentification of new requirements, analyses of NEN solutions against Government requirements, review and analysis ofdocumentation, development of policies and procedures throughout the transition, and coordination of efforts between theGovernment and future service providers.C.4.4.15.7 The Contractor shall develop procedures and perform data migration per request during seat replacement.C.4.4.15.8 The Contractor shall assist users with NEN Scientific and Technical seats’ trouble calls. Elevated Permissions shall beprovided to the Contractor for installation of approved hardware and software; as well as the ability to perform troubleshooting.C.4.4.15.9 The Contractor shall provide tier 0 and tier 1 seat support to troubleshoot and assist NEN users with unresolved issues.C.4.4.15.10 The Contractor shall generate a monthly technical department report to the Business Office.C.4.4.15.11 The Contractor shall maintain and update the NET database for assets.C.4.4.15.12 The Contractor shall enter orders in NET, submit these orders for approval, request additional funding for NET ordersvia the ACTR, and initiate requests for delivery.C.4.4.15.13 The Contractor shall evaluate new NEN CLIN offerings and provide recommendations on these offerings to meet userrequirements.C.4.4.15.14 The Contractor shall support the development and maintenance of SOPs for all NET processes.C.4.4.15.15 The Contractor shall support NMCI activities for NSWCDD, seat orders and deployment, seat pools, peripheralinventories, seat moves/adds/changes, seat coordination, printers and print queues, day-to-day troubleshooting, and other similartasks.C.4.4.15.16 The Contractor shall provide the functions of the Cryptographic Log On Trusted Agent (TA) for the purpose of issuingSIPRNet Tokens.C.4.4.15.17 The Contractor shall provide customer support and technical assistance to users, NEN users, via the advocacy role, withescalation of complex problems to the NEN Helpdesk, other Government support teams, or both.C.4.4.15.18 The Contractor shall develop and maintain spreadsheets, databases, and automated tools by which data calls andinformation consolidation is performed and completed for NEN.C.4.4.16 System Administration OperationsC.4.4.16.1 The Contractor shall provide system administration and management support for various hardware and OperatingSystems (OSs) for existing and future Corporate, Department, and Fleet development and sustainment (e.g., Windows, RedHat,RedHawk, macOS, HPUX, Solaris, AIX, OpenVMS, CentOS, Real-time operating systems).C.4.4.16.2 The Contractor shall provide support for various desktop, and mobile IT hardware architectures that support Departmentand existing and future fleet development and sustainment (e.g., V AX, ALPHA, SPARC, x86, PA-RISC, Concurrent).</t>
        </is>
      </c>
      <c r="C15" t="inlineStr">
        <is>
          <t>C.4.4.11</t>
        </is>
      </c>
      <c r="D15" t="n">
        <v>20</v>
      </c>
      <c r="E15" s="6" t="inlineStr">
        <is>
          <t>High</t>
        </is>
      </c>
      <c r="F15" t="inlineStr">
        <is>
          <t>Mandatory</t>
        </is>
      </c>
      <c r="G15" t="inlineStr"/>
      <c r="H15" t="inlineStr">
        <is>
          <t>Not Started</t>
        </is>
      </c>
      <c r="I15" t="inlineStr"/>
      <c r="J15" t="inlineStr"/>
      <c r="K15" t="inlineStr"/>
      <c r="L15" t="inlineStr"/>
      <c r="M15" t="inlineStr"/>
      <c r="N15" t="inlineStr"/>
      <c r="O15" t="inlineStr">
        <is>
          <t>C.4.4.15, C.4.4.15.1, C.4.4.15.2, C.4.4.15.3, C.4.4.15.4, C.4.4.15.5, C.4.4.15.6, C.4.4.15.7, C.4.4.15.8, C.4.4.15.9, C.4.4.15.10, C.4.4.15.11, C.4.4.15.12, C.4.4.15.13, C.4.4.15.14, C.4.4.15.15, C.4.4.15.16, C.4.4.15.17, C.4.4.15.18, C.4.4.16, C.4.4.16.1, C.4.4.16.2</t>
        </is>
      </c>
      <c r="P15" t="inlineStr"/>
      <c r="Q15" t="inlineStr"/>
    </row>
    <row r="16">
      <c r="A16" t="inlineStr">
        <is>
          <t>C.4.4.16.3</t>
        </is>
      </c>
      <c r="B16" s="4" t="inlineStr">
        <is>
          <t>N0017826R30020003 - FINAL
Page 21 of 114
C.4.4.16.3 The Contractor shall provide support for various local and remote terminal and thin client solutions (e.g., Thin clients,Zero clients, VT Terminals, X Terminals, terminal servers).C.4.4.16.4 The Contractor shall provide support for various IT peripherals, including tape drives, magneto optical drives, opticaldrives (e.g., CD-ROM, DVD, Blu-Ray), flash media drives, printers and print servers, and plotters.C.4.4.16.5 The Contractor shall provide hardware support, including performing hardware troubleshooting, diagnostics and repair,opening vendor support requests and coordinating vendor on-site support, planning hardware upgrades and installations, relocatinghardware, and updating asset databases and diagrams following hardware changes.C.4.4.16.6 The Contractor shall work with Government and other Contractor personnel to schedule and perform updates tooperating system, software applications, and hardware, evaluate the impact to the system and networks and develop a contingencyplan, and notify stakeholders prior to installation.C.4.4.16.7 The Contractor shall maintain records of system administration activities on all supported IT via ITSM tools. Ticketsshall be opened, thoroughly documented, and closed within service level requirements.C.4.4.16.8 The Contractor shall develop, execute, maintain, and update a Government-approved system administration plan for allsupported IT. The plan describes the execution of all activities to keep IT operating effectively while adhering to cybersecurityrequirements (e.g., patching, antivirus updates, performing and verifying system backups, performing/remediating vulnerabilityscans, updating A&amp;A documentation).C.4.4.16.9 The Contractor shall provide an activity status report detailing the statuses of all activities contained in the systemadministration plan, as needed (e.g., monthly, quarterly).C.4.4.16.10 The Contractor shall provide IT support to Department Information Officers (DIOs).C.4.4.16.11 The Contractor shall perform tasks including but not limited to tracking and reconciling database records, NMCI andtelecom invoices, memos, applications, and other related information associated with Department IT assets, resources, and recordssuch as RDTE, DADMS, CWF CfM details and logistic, telecommunications devices, A&amp;A status, Transfer Agent, EndpointSecurity Solution (ESS), System Authorization Request Navy; update databases, spreadsheets, web sites, and other recordsassociated with Department Information Technology assets and resources; attend meetings and communicate results to theappropriate DIO.C.4.4.16.12 The Contractor shall provide system administration support to include design, installation, operation, maintenance,disaster recovery, and administration of stand-alone workstation and server systems, networked workstation and server systems,local area networks (LANs), wireless networks, and wide area networks. All systems shall be configured to comply with DISASecurity Requirements Guide and Security Technical Implementation Guides (STIGs). The Contractor shall provide STIGChecklists for all applicable systems on a quarterly basis. (A006)C.4.4.17 IT Support for Command Training FacilitiesC.4.4.17.1 The Contractor shall provide technical and implementation services for NSWCDD’ s workforce development programsthat incorporate video teleconferencing (VTC), collaboration tools (e.g., Microsoft Teams), Learning Management Systems (e.g.,Elluminate), audiovisual technology, and other learning technology-based equipment.C.4.4.17.2 The Contractor shall communicate and interface with all NSWCDD academic partners (universities and colleges)pertaining to satellite, landline, and Internet services used to deliver distance learning-based classes.C.4.4.17.3 The Contractor shall maintain classroom audiovisual technology-based equipment and make improvementrecommendations to the Government.C.4.4.17.4 The Contractor shall provide support to the Enterprise Resource Planning (ERP) Site Training Lead to coordinate ERPtraining facilities, schedule Train the Trainer (TTT) and End-User Training (EUT) events, and maintain and manage ERPclassrooms including configuration of NEN equipment.C.4.4.17.5 The Contractor shall support NSWCDD on-site training programs by scheduling, configuring classrooms, maintainingand operating audio-visual technology, and printing and distributing training and other materials to classrooms.C.4.4.17.6 The Contractor shall maintain video teleconferencing, IT-based resources, and audio/visual equipment located inconference rooms.C.4.4.17.7 The Contractor shall support NSWCDD on-site training programs by scheduling, configuring classrooms, maintainingand operating audio-visual technology, and printing and distributing training materials to classrooms.C.4.5 Enterprise Applications SupportC.4.5.1 The Contractor shall provide IM services to include CfM, technical documentation for SOP development and baselinemaintenance, and database development and maintenance for database applications. (CDRLs A016, A017)</t>
        </is>
      </c>
      <c r="C16" t="inlineStr">
        <is>
          <t>C.4.4.11</t>
        </is>
      </c>
      <c r="D16" t="n">
        <v>20</v>
      </c>
      <c r="E16" s="6" t="inlineStr">
        <is>
          <t>High</t>
        </is>
      </c>
      <c r="F16" t="inlineStr">
        <is>
          <t>Mandatory</t>
        </is>
      </c>
      <c r="G16" t="inlineStr"/>
      <c r="H16" t="inlineStr">
        <is>
          <t>Not Started</t>
        </is>
      </c>
      <c r="I16" t="inlineStr"/>
      <c r="J16" t="inlineStr"/>
      <c r="K16" t="inlineStr"/>
      <c r="L16" t="inlineStr"/>
      <c r="M16" t="inlineStr"/>
      <c r="N16" t="inlineStr"/>
      <c r="O16" t="inlineStr">
        <is>
          <t>C.4.4.16.3, C.4.4.16.4, C.4.4.16.5, C.4.4.16.6, C.4.4.16.7, C.4.4.16.8, C.4.4.16.9, C.4.4.16.10, C.4.4.16.11, C.4.4.16.12, C.4.4.17, C.4.4.17.1, C.4.4.17.2, C.4.4.17.3, C.4.4.17.4, C.4.4.17.5, C.4.4.17.6, C.4.4.17.7, C.4.5, C.4.5.1</t>
        </is>
      </c>
      <c r="P16" t="inlineStr"/>
      <c r="Q16" t="inlineStr"/>
    </row>
    <row r="17">
      <c r="A17" t="inlineStr">
        <is>
          <t>C.4.5.2</t>
        </is>
      </c>
      <c r="B17" s="4" t="inlineStr">
        <is>
          <t>C.4.5.2 The Contractor shall support the Government in the development and implementation of user stories, release plans, systemsengineering products, and acceptance criteria.C.4.5.3 The Contractor shall provide application and database development and lifecycle support, and technical documentation forservices, systems, and capabilities such as web applications, Corporate Operations ISs, Government-off-the-shelf applications, andbusiness applications.C.4.5.4 The Contractor shall support verification and validation (V&amp;V) activities related to all development, enhancements, andmodifications to ISs and business applications.C.4.5.5 In coordination with the appropriate systems administrator, the Contractor shall provide database tuning, monitoring,security, upgrades, and software installation as well as migrating existing databases to different hardware platforms and operatingsystems. (CDRL A018)C.4.5.6 The Contractor shall develop and publish web pages on NSWCDD web platforms as directed by the Government.C.4.5.7 The Contractor shall provide technical and development support for web-based applications and systems (e.g., MicrosoftSharePoint) that provide capabilities such as collaboration, storing, organizing, and sharing content and information (e.g.,documents, images, videos, links, lists of data, web pages, tasks).C.4.5.8 Using tools such as, but not limited to, Microsoft SQL database, SharePoint Designer and SharePoint Development, theContractor shall provide web and database development related to the Potomac River Test Range (Range) schedules, notices andclosures, test readiness, repository for test plans, ammunition inventory, SOPs, Range and RDTE form automation, Range utilizationand confliction, and Range resources.C.4.5.9 The Contractor shall provide development services for web portal(s) and applications.C.4.5.10 The Contractor shall support ERP IT efforts to include developing alternative technology options, providing expertise andinput for BCAs, and making recommendations for enhancing the overall sharing of ERP information.C.4.5.11 ITSM Tool(s) SupportC.4.5.11.1 The Contractor shall manage the ITSM Tool(s) platform(s).C.4.5.11.2 The Contractor shall provide expertise and support to design, code, build, deploy, maintain, and troubleshoot ITSMTool(s) workflows and applications.C.4.5.11.3 The Contractor shall provide ITSM Tool(s) expertise, development, troubleshooting, repair, sustainment, and SubjectMatter Expert (SME) reach-back support. Post go-live support shall ensure the Government has a smooth transition to using thesystem in a production capacity and shall allow major issues to be resolved quickly. The Contractor shall provide ITSM Tool(s)sustainment expertise and support to administer, troubleshoot, repair, maintain the tool(s), and ensure a quality, consistent,satisfying, and happy experience for customers (e.g., end users and other stakeholders). ITSM Tool(s) SME(s) shall also be availablefor reach-back advisory support to troubleshoot issues and provide guidance on integrations, and further platform changes andmigrations. The Contractor shall perform tasks in support of Government ITSM Tool(s) such as:(a) Participate in the Government’ s CCB(s), CAB(s), or both to coordinate deployment of changes to the ITSM Tool(s).(b) The Contractor shall advise the Government on the impact of proposed changes to the ITSM Tool(s) environment or hostinglocation.(c) Monitor ITSM Tool(s) instance(s) and optimize them for performance.(d) Manage user accounts &amp; permissions for users within the applications installed on the platform.(e) Manage the data within the applications and in databases installed on the platform.(f) Control internal configuration of the applications on the platform and be responsible for configuration changes.(g) Coordinate the installation of patches and upgrades to the Government’ s ITSM Tool(s) instances.(h) Respond appropriately to service issues with the enterprise ITSM Tool(s) application(s).(i) Implement DISA STIGs on all Government ITSM Tool(s) servers to ensure security compliance.(j) Provide server maintenance, patching, and all operational duties that will ensure continuity of service for Government ITSMTool(s) servers.(k) Integrate Government ITSM Tool(s) with other systems.(l) Ensure that all integrations and the relationships between systems are maintained.(m) Open tickets with Government ITSM Tool(s) for activation of plugins and resolution of product-specific incidents.</t>
        </is>
      </c>
      <c r="C17" t="inlineStr">
        <is>
          <t>C.4.5.2</t>
        </is>
      </c>
      <c r="D17" t="n">
        <v>25</v>
      </c>
      <c r="E17" s="6" t="inlineStr">
        <is>
          <t>High</t>
        </is>
      </c>
      <c r="F17" t="inlineStr">
        <is>
          <t>Mandatory</t>
        </is>
      </c>
      <c r="G17" t="inlineStr"/>
      <c r="H17" t="inlineStr">
        <is>
          <t>Not Started</t>
        </is>
      </c>
      <c r="I17" t="inlineStr"/>
      <c r="J17" t="inlineStr"/>
      <c r="K17" t="inlineStr"/>
      <c r="L17" t="inlineStr"/>
      <c r="M17" t="inlineStr"/>
      <c r="N17" t="inlineStr"/>
      <c r="O17" t="inlineStr">
        <is>
          <t>C.4.5.2, C.4.5.3, C.4.5.4, C.4.5.5, C.4.5.6, C.4.5.7, C.4.5.8, C.4.5.9, C.4.5.10, C.4.5.11, C.4.5.11.1, C.4.5.11.2, C.4.5.11.3</t>
        </is>
      </c>
      <c r="P17" t="inlineStr"/>
      <c r="Q17" t="inlineStr"/>
    </row>
    <row r="18">
      <c r="A18" t="inlineStr">
        <is>
          <t>C.4.5.2</t>
        </is>
      </c>
      <c r="B18" s="4" t="inlineStr">
        <is>
          <t>Ensure a fully operational environment, providing technical expertise where necessary to maintain operations.(o) Capture long-term objectives and plans to adopt new capabilities, expanded additional capabilities, or both.(p) Capture the functional and non-functional requirements necessary to develop long-range network growth plans and adoption ofnew technologies and capabilities.(q) Participate in the Development of the Business Continuity planning and the Continuity of Operations planning.(r) Leverage documentation and lessons learned.(s) The Contractor shall provide a Senior ITSM Tool(s) SME with the knowledge and skills to provide successful, in-personresponses to support requests for on-site, desk-side support within one hour of notice.C.4.5.12 Artificial Intelligence (AI) and Machine Learning SupportC.4.5.12.1 The Contractor shall provide expertise and support for the design, deployment, and operation of Artificial Intelligenceand Machine Learning capabilities along with the associated processes, hardware, and software assets.C.4.5.12.2 The Contractor shall provide support to the Government for integrating, enabling, and employing Artificial Intelligenceand Machine Learning (e.g., develop Artificial Intelligence and Machine Learning, implement Artificial Intelligence and MachineLearning, and mature Artificial Intelligence and Machine Learning; data and analytics support; improve end-user self-service;improve quality of services; improve and enhance cybersecurity posture).C.4.5.12.3 The Contractor shall collaborate with Government personnel (e.g., scientists, engineers, developers, operations andsecurity personnel) to build enterprise architecture for Artificial Intelligence and Machine Learning pipelines.C.4.5.12.4 The Contractor shall provide expertise and support for documenting, optimizing, automating business and IT processesand integrating them with Artificial Intelligence and Machine Learning capabilities.C.4.5.12.5 The Contractor shall design, implement and support Artificial Intelligence and Machine Learning for IT operations (i.e.,AIOPs) to provide capabilities such as but not limited to analyzing large amounts of data from different sources, detecting andresolve issues in real-time, and predicting and preventing future incidents before they occur.C.4.5.13 Web Development and MaintenanceC.4.5.13.1 The Contractor shall provide life-cycle support for various Government-off-the-shelf (GOTS) web applications and fordeveloping new websites and applications that meet Government requirements.C.4.5.13.2 The Contractor shall test, support, troubleshoot, and maintain various GOTS web applications.C.4.5.13.3 The Contractor shall use the Government's software development (e.g., Visual Studio) and work management tool(s) tomanage software development projects in real time.C.4.5.13.4 The Contractor shall manage GOTS software and applications while taking into consideration and understanding theimpacts the software has to relational databases, web servers, and other software and applications.C.4.5.13.5 The Contractor shall modify, test, and troubleshoot software, applications, web pages, code, database integrations (e.g.,MySQL and MS Access), and scripts written in multiple programming languages (e.g., Visual Basic, C#, JavaScript, HTML5, CSS,and SQL). (CDRL A002, A003, A004)C.4.5.13.6 The Contractor shall modify, test, and troubleshoot applications and web pages that interact with multiple types ofdatabases (e.g., MySQL, MS Access). (CDRLs A002, A012)C.4.5.13.7 The Contractor shall manage and maintain websites.C.4.5.13.8 The Contractor shall provide report of metrics per supported application that shows performed patches, hotfixes, and bugfixes.C.4.5.13.9 The Contractor shall use the Government’ s specified ITSM tool(s) to log and track software bugs and feature requests.C.4.5.13.10 The Contractor shall provide web page development with ongoing maintenance and management.C.4.5.13.11 The Contractor shall provide portal expertise, web development, and support (e.g., MS IIS, Flank Speed, MSSharePoint, and MS Power Platform) including portal integration with various data sources.C.4.5.14 Department of Navy (DON) ApplicationsC.4.5.14.1 The Contractor shall use DoD Information Technology Portfolio Repository–Department of the Navy (DITPR–DON),the authoritative source for DON IT systems and data, for multiple internal and external reports and processes.C.4.5.14.2 The Contractor shall provide basic IT asset management functions of registering, transferring, and archiving DON ITsystems within DITPR–DON.</t>
        </is>
      </c>
      <c r="C18" t="inlineStr">
        <is>
          <t>C.4.5.2</t>
        </is>
      </c>
      <c r="D18" t="n">
        <v>25</v>
      </c>
      <c r="E18" s="6" t="inlineStr">
        <is>
          <t>High</t>
        </is>
      </c>
      <c r="F18" t="inlineStr">
        <is>
          <t>Mandatory</t>
        </is>
      </c>
      <c r="G18" t="inlineStr"/>
      <c r="H18" t="inlineStr">
        <is>
          <t>Not Started</t>
        </is>
      </c>
      <c r="I18" t="inlineStr"/>
      <c r="J18" t="inlineStr"/>
      <c r="K18" t="inlineStr"/>
      <c r="L18" t="inlineStr"/>
      <c r="M18" t="inlineStr"/>
      <c r="N18" t="inlineStr"/>
      <c r="O18" t="inlineStr">
        <is>
          <t>C.4.5.12, C.4.5.12.1, C.4.5.12.2, C.4.5.12.3, C.4.5.12.4, C.4.5.12.5, C.4.5.13, C.4.5.13.1, C.4.5.13.2, C.4.5.13.3, C.4.5.13.4, C.4.5.13.5, C.4.5.13.6, C.4.5.13.7, C.4.5.13.8, C.4.5.13.9, C.4.5.13.10, C.4.5.13.11, C.4.5.14, C.4.5.14.1, C.4.5.14.2</t>
        </is>
      </c>
      <c r="P18" t="inlineStr"/>
      <c r="Q18" t="inlineStr"/>
    </row>
    <row r="19">
      <c r="A19" t="inlineStr">
        <is>
          <t>C.4.5.14.3</t>
        </is>
      </c>
      <c r="B19" s="4" t="inlineStr">
        <is>
          <t>N0017826R30020003 - FINAL
Page 24 of 114
C.4.5.14.3 The Contractor shall perform data entry of foundational information necessary to support all major IT managementprocesses such as system name, acronym, description, approval authority, points of contact in DITPR–DON.C.4.5.14.4 The Contractor shall enforce best practices and standard processes to help NSWCDD satisfy compliance and internal andexternal reporting requirements such as but not restricted to the Federal Information Security Modernization Act of 2014 and52.224-2 Privacy Act. This includes generating regularly scheduled reports driven by legislative or regulatory mandates, annualreports required by other federal departments, and ad hoc reports.C.4.5.14.5 The Contractor shall support investment management requirements for IT defense business systems (DBS) in accordancewith current regulations. This functionality includes specialized documentation generation and workflow to track documentssubmitted through the Business Mission Area (BMA) Investment Review Board (IRB) and the Defense Business SystemsManagement Committee (DBSMC) for certification of architecture compliance and approval to obligate funds.C.4.5.14.6 The Contractor shall develop and provide training on DITPR–DON to Government and Contractor personnel using avariety of methods including but not limited to cheat sheets, Knowledge articles, Microsoft Teams meetings, and Lunch and Learnsessions. The Contractor will elicit student evaluations of the training using Government-approved method(s), evaluationquestionnaire(s), or both.C.4.5.14.7 The Contractor shall perform data entry of foundational information necessary to add, modify and delete records withinthe Department of Navy Application and Database Management System (DADMS) system.C.4.5.14.8 The Contractor shall obtain ITSM Tools(s) and DADMS knowledge on government ruleset in order to process recordsrequests.C.4.5.14.9 The Contractor shall provide DADMS support to internal and external personnel and management via phone, e-mail,Microsoft Teams and in-person.C.4.5.14.10 The Contractor shall develop and provide training on DADMS for Government and Contractor personnel using avariety of methods including but not limited to cheat sheets, Knowledge articles, Microsoft Teams meetings and Lunch and Learnsessions. The Contractor will elicit student evaluations of the training using Government-approved method(s), evaluationquestionnaire(s), or both.C.4.5.14.11 The Contractor shall use the DADMS as directed by SECNA VINST 5000.36A to register and attain approval of DONSoftware prior to installation and before being used across the NEN and NSWCDD IT systems. IT procurements will be processedusing the Navy Information Technology Acquisition System (NA V-ITAS).C.4.5.14.12 The Contractor shall collect, review, track, and submit IT Procurement requests from the technical DIOs and submitthem (e.g., to the Activity Command Information Officer (ACIO)) for action (e.g., via the (NA V-ITAS)).C.4.5.14.13 The Contractor shall prepare, edit, track, and manage requests in the NA V-ITAS and submit them to the ACIO foraction.C.4.5.14.14 The Contractor shall develop and provide training on the NA V-ITAS to NSWCDD staff through but not limited to cheatsheets and articles on the Microsoft Teams NA V-ITAS Channel, One-Stop Knowledge articles, Microsoft Teams meetings, andNSWCDD Lunch and Learn sessions. The Contractor will elicit student evaluations of the training using Government-approvedmethod(s), evaluation questionnaire(s), or both.C.4.5.15 IT Procurement SupportC.4.5.15.1 The Contractor shall collect, review, and manage procurement requirements from end-users.C.4.5.15.2 The Contractor shall verify existing market research and perform, if necessary, market research to identify sources inmeeting stakeholders’ specifications using resources such as but not limited to the General Services Administration, NationalAeronautics and Space Administration Solutions for Enterprise-Wide Procurement, and the Enterprise Software Initiative(ESI.MIL), and other sources.C.4.5.15.3 The Contractor shall consult with vendors to obtain availability information, valid market research quotes, V oluntaryProduct Accessibility Templates (VPATs), 508 compliances, and all other needed documentation.C.4.5.15.4 The Contractor shall resolve and communicate all acquisition issues to the requester, IT procurement lead, andmanagement.C.4.5.15.5 The Contractor shall create, review, update as needed, and submit IT Procurement requests into NA V-ITAS based on theinformation obtained from the end user, and vendor(s).C.4.5.15.6 The Contractor shall create, review, update as needed, and submit Tech Screen and Military Standard Requisitioning andIssue Procedures (Milstrip) Waivers as needed for IT material procurements.C.4.5.15.7 The Contractor shall prepare, update, manage, and submit IT procurement packages, artifacts, or both for the procuring</t>
        </is>
      </c>
      <c r="C19" t="inlineStr">
        <is>
          <t>C.4.5.2</t>
        </is>
      </c>
      <c r="D19" t="n">
        <v>25</v>
      </c>
      <c r="E19" s="6" t="inlineStr">
        <is>
          <t>High</t>
        </is>
      </c>
      <c r="F19" t="inlineStr">
        <is>
          <t>Mandatory</t>
        </is>
      </c>
      <c r="G19" t="inlineStr"/>
      <c r="H19" t="inlineStr">
        <is>
          <t>Not Started</t>
        </is>
      </c>
      <c r="I19" t="inlineStr"/>
      <c r="J19" t="inlineStr"/>
      <c r="K19" t="inlineStr"/>
      <c r="L19" t="inlineStr"/>
      <c r="M19" t="inlineStr"/>
      <c r="N19" t="inlineStr"/>
      <c r="O19" t="inlineStr">
        <is>
          <t>C.4.5.14.3, C.4.5.14.4, C.4.5.14.5, C.4.5.14.6, C.4.5.14.7, C.4.5.14.8, C.4.5.14.9, C.4.5.14.10, C.4.5.14.11, C.4.5.14.12, C.4.5.14.13, C.4.5.14.14, C.4.5.15, C.4.5.15.1, C.4.5.15.2, C.4.5.15.3, C.4.5.15.4, C.4.5.15.5, C.4.5.15.6, C.4.5.15.7</t>
        </is>
      </c>
      <c r="P19" t="inlineStr"/>
      <c r="Q19" t="inlineStr"/>
    </row>
    <row r="20">
      <c r="A20" t="inlineStr">
        <is>
          <t>C.4.5.2</t>
        </is>
      </c>
      <c r="B20" s="4" t="inlineStr">
        <is>
          <t>The IT procurement packages consist of but are not limited to Brand Name Mandatory, Limited Source PurchaseJustification, Sole Source Purchase Justification, Procurement Data Package Cover, VPAT(s), 508 compliances as needed,Inherently Government Determination, approved ITPR, approved Tech Screen as needed, and approved Milstrip Waiver as needed.C.4.5.15.8 The Contractor shall create, review, update as needed and submit Funding Requests for Simplified AcquisitionProcedures and Purchasing Card IT procurements.C.4.5.15.9 The Contractor shall work closely with Shipping and Receiving to ensure procurements with material items are deliveredin accordance with the terms and conditions of the awarded contract.C.4.5.15.10 The Contractor shall verify purchase orders to ensure accuracy of receipt.C.4.5.15.11 The Contractor shall notify the end-users at 180 days, and 90 days, and 60 days in advance of the expiration ofsoftware/hardware contracts and digital certificates.C.4.5.15.12 The Contractor shall corroborate and rectify all discrepancies related to goods and/or services to the end user, ITProcurement Lead, management, and other key stakeholders.C.4.6 Cybersecurity and Traditional Security SupportC.4.6.1 Objectives of Cybersecurity and Traditional Security Support include enhancing existing cybersecurity and traditionalsecurity capabilities, introducing new cybersecurity and traditional security capabilities, and providing support to NSWCDDcybersecurity and traditional security capabilities and solutions in order to strengthen NSWCDD's overall cybersecurity andtraditional security posture. A&amp;A Validation is not included in this SOW and is outside its scope. Other cybersecurity and traditionalsecurity objectives that the Contractor shall support include but are not limited to:(a)     Reduce NSWCDD threat surface through strengthening cybersecurity of IT assets and traditional security practices.(b)    Deliver flexible services that can accommodate dynamic cyber environments.(c)    Timely completion of work to ensure delivered cybersecurity and traditional security capabilities are fully implemented.(d)    Promote transparent and effective communications that accurately present status to stakeholders.(e)    Provide accurate reporting of NSWCDD environments while achieving successful governance of NSWCDD cybersecurity andtraditional security programs.C.4.6.2 Information System Security ManagementC.4.6.2.1 The Contractor shall provide cybersecurity and Information Systems Security Officer (ISSO) support to the InformationSystem Security Manager (ISSM), and support the development of complete A&amp;A packages that conform to the requirements of theresponsible Authorizing Official (AO) (e.g., NA VSEA, NA V AIR), and provide support to NSWCDD ISs for related efforts. All toolsand processes used by the Contractor shall be provided to the Government for the lifecycle of the authorization/accreditation orother level of approval gained during this contract. If any Contractor-proprietary tools are used in the support of this contract, theContractor shall make them available at no cost to the Government through the lifecycle of the accreditation or associatedequipment.C.4.6.2.2 The Contractor shall work with the Government to ensure that all A&amp;A documentation complies with applicable DoD,DON, NA VSEA, DISA and other applicable cybersecurity requirements and guidance.C.4.6.2.3 For the Information Systems Security function, the Contractor shall monitor ISs’ activity that is occurring on a continuingbasis, perform first order security analysis of data, interpret and report the results to the NSWCDD ISSM.C.4.6.2.4 The Contractor shall operate, maintain, and perform upgrades to the Network Intrusion-Detection Systems.C.4.6.2.5 The Contractor shall assist with and perform some Technical Assistance (TA) functions, as directed by the Government,for the issuance or enabling, inventorying, and use of tokens, and public and private certificates.C.4.6.2.6 The Contractor shall collaborate with the Government to perform TA functions for the issuance or enabling, inventorying,and use of tokens, and public and private certificates.C.4.6.2.7 The Contractor shall conduct host and network-based vulnerability assessments on NSWCDD RDTE and SDRENcomputers and networks.C.4.6.2.8 The Contractor shall employ the Navy and NSWCDD approved application(s) for vulnerability scanning, configurationassessment, and security control compliance evaluation (e.g., Assured Compliance Assessment Solution (ACAS)) and shalldocument, report, and maintain results.C.4.6.2.9 The Contractor shall conduct and confidentially report forensic analysis on unclassified and classified computers,peripherals, and network entities. The Contractor shall provide software, hardware, and wireless support, including mobile forensicexamination. The Contractor shall also interpret submitted documentation, including user and functional requirements, and develop</t>
        </is>
      </c>
      <c r="C20" t="inlineStr">
        <is>
          <t>C.4.5.2</t>
        </is>
      </c>
      <c r="D20" t="n">
        <v>25</v>
      </c>
      <c r="E20" s="6" t="inlineStr">
        <is>
          <t>High</t>
        </is>
      </c>
      <c r="F20" t="inlineStr">
        <is>
          <t>Mandatory</t>
        </is>
      </c>
      <c r="G20" t="inlineStr"/>
      <c r="H20" t="inlineStr">
        <is>
          <t>Not Started</t>
        </is>
      </c>
      <c r="I20" t="inlineStr"/>
      <c r="J20" t="inlineStr"/>
      <c r="K20" t="inlineStr"/>
      <c r="L20" t="inlineStr"/>
      <c r="M20" t="inlineStr"/>
      <c r="N20" t="inlineStr"/>
      <c r="O20" t="inlineStr">
        <is>
          <t>C.4.5.15.8, C.4.5.15.9, C.4.5.15.10, C.4.5.15.11, C.4.5.15.12, C.4.6, C.4.6.1, C.4.6.2, C.4.6.2.1, C.4.6.2.2, C.4.6.2.3, C.4.6.2.4, C.4.6.2.5, C.4.6.2.6, C.4.6.2.7, C.4.6.2.8, C.4.6.2.9</t>
        </is>
      </c>
      <c r="P20" t="inlineStr"/>
      <c r="Q20" t="inlineStr"/>
    </row>
    <row r="21">
      <c r="A21" t="inlineStr">
        <is>
          <t>C.4.6.2.10</t>
        </is>
      </c>
      <c r="B21" s="4" t="inlineStr">
        <is>
          <t>N0017826R30020003 - FINAL
Page 26 of 114
forensic examination reports.C.4.6.2.10 The Contractor shall monitor and verify adherence to applicable acceptable-use policies. Reports and documentation willbe forwarded to the ISSM.C.4.6.2.11 The Contractor shall develop training materials and provide training for Cybersecurity initiatives. The Contractor willelicit student evaluations of the training using Government-approved method(s), evaluation questionnaire(s), or both. (CDRL A015)C.4.6.2.12 The Contractor shall review, verify, and maintain A&amp;A and related records, documentation, and artifacts for IT andnetwork systems for the ISSM.C.4.6.2.13 The Contractor shall identify and report Cybersecurity metrics to the NSWCDD ISSM.C.4.6.2.14 The Contractor shall provide risk management and mitigation for electronic spillages and incident handling, InternetProtocol (IP) conflict resolution, media sanitation, response to and tracking and recording of cybersecurity data calls, and reportingwithin established timelines. (CDRL A021)C.4.6.2.15 At the Government’ s request, Contractors shall serve as ISSOs for system accreditations to create and maintain conceptof operations (CONOPS), create and maintain documentation and associated artifacts in accordance with current Governmentstandard requirements (i.e., RMF) for A&amp;A packages, and maintain records of IT equipment in Government databases andrepositories.C.4.6.2.16 The Contractor shall provide A&amp;A information, updates, and documentation in the maintenance of uRDTE, cRDTE, andSDREN and other networks, systems, solutions, and labs.C.4.6.2.17 The Contractor shall perform routine systems maintenance on networks (e.g., uRDTE, cRDTE and SDREN, NREN),systems, and other associated IT equipment.C.4.6.2.18 The Contractor shall prepare RMF or current guidance and applicable requirement documentation for classified andunclassified computers and equipment for ISSM review and other actions.C.4.6.2.19 The Contractor shall complete data calls and attend meetings as needed for the ISSM, ACIO, and the CybersecurityBranch Head.C.4.6.2.20 The Contractor shall manage Internet Protocol (IPv4 and IPv6) network address schemes and allocations in accordancewith SOPs. IP address management support also includes but is not limited to modifying field entries to reflect current informationand granting access to new users.C.4.6.2.21 The Contractor shall conduct thorough assessments of IT systems, applications, and networks to ensure compliance withDoD and DON security standards and practices. This includes the RMF and the Navy’ s specific validation procedures.C.4.6.2.22 The Contractor shall perform testing, and risk assessment of IT assets (e.g., networks, servers, appliances, desktopsystems, VDI) and provide results and reports to the Government. (CDRL A022)C.4.6.2.23 The Contractor shall perform classified and unclassified tasking and actions to support A&amp;A activities.C.4.6.2.24 The Contractor shall utilize NSWCDD or NSWC tools and repositories such as, but not limited to, Enterprise MissionAssurance Support Service (eMASS), eMASSTer, STIG Manager, Evaluate STIG, Findings Management and Tracking System(FMATS), NSWCDD’ s Authoritative A&amp;A Database, Flank Speed, NSWCDD’ s ITSM tools, and applications developed forNSWCDD Package creation and maintenance.C.4.6.3 Special Security Office (SSO) SupportC.4.6.3.1 The Contractor shall review JWICS activity and audit trails to ensure compliance with DoD and DON security directives,procedures, and to identify signs of unauthorized activity (e.g., probing, surreptitious data exfiltration, penetration attempts).C.4.6.3.2 In conjunction with relevant managers and the Incident Handling Team, the Contractor shall support investigationsinvolving suspected inappropriate use of IT systems.C.4.6.3.3 The Contractor shall perform research, development, testing, evaluation and implementation of Special Compartmentalized Information (SCI) security policies.C.4.6.3.4 The Contractor shall monitor, build, repair, configure, patch, deploy, and troubleshoot SCI server and client systems.C.4.6.3.5 The Contractor shall perform, and report to the SSO, physical security requirement assessments of spaces where JWICSterminals will reside.C.4.6.3.6 The Contractor shall review, edit, and format NSWCDD Security Office publications for security guidelines and policy.C.4.6.3.7 The Contractor shall verify, and report to the NSWCDD SSO, compliance with NSWCDD Special Security Office policies, guidance, and recommendations.</t>
        </is>
      </c>
      <c r="C21" t="inlineStr">
        <is>
          <t>C.4.5.2</t>
        </is>
      </c>
      <c r="D21" t="n">
        <v>25</v>
      </c>
      <c r="E21" s="6" t="inlineStr">
        <is>
          <t>High</t>
        </is>
      </c>
      <c r="F21" t="inlineStr">
        <is>
          <t>Mandatory</t>
        </is>
      </c>
      <c r="G21" t="inlineStr"/>
      <c r="H21" t="inlineStr">
        <is>
          <t>Not Started</t>
        </is>
      </c>
      <c r="I21" t="inlineStr"/>
      <c r="J21" t="inlineStr"/>
      <c r="K21" t="inlineStr"/>
      <c r="L21" t="inlineStr"/>
      <c r="M21" t="inlineStr"/>
      <c r="N21" t="inlineStr"/>
      <c r="O21" t="inlineStr">
        <is>
          <t>C.4.6.2.10, C.4.6.2.11, C.4.6.2.12, C.4.6.2.13, C.4.6.2.14, C.4.6.2.15, C.4.6.2.16, C.4.6.2.17, C.4.6.2.18, C.4.6.2.19, C.4.6.2.20, C.4.6.2.21, C.4.6.2.22, C.4.6.2.23, C.4.6.2.24, C.4.6.3, C.4.6.3.1, C.4.6.3.2, C.4.6.3.3, C.4.6.3.4, C.4.6.3.5, C.4.6.3.6, C.4.6.3.7</t>
        </is>
      </c>
      <c r="P21" t="inlineStr"/>
      <c r="Q21" t="inlineStr"/>
    </row>
    <row r="22">
      <c r="A22" t="inlineStr">
        <is>
          <t>C.4.6.3.8</t>
        </is>
      </c>
      <c r="B22" s="4" t="inlineStr">
        <is>
          <t>N0017826R30020003 - FINAL
Page 27 of 114
C.4.6.3.8 The Contractor shall process and disseminate clearance information to new hires and assemble, review, and submit personnel security investigations to appropriate agencies.C.4.6.3.9 The contracting Facility Security Officer (FSO) shall initiate applicable investigations (e.g., within the ElectronicQuestionnaires for Investigations Processing (E-QIP) system).C.4.6.3.10 The Contractor shall review and validate accuracy of need-to-know certification requests for Contractor visits to Government agencies and other Contractor facilities under the cognizance of NSWCDD classified contracts.C.4.6.3.11 The Contractor shall process outgoing visit requests and documentation for hand carrying of classified material.C.4.6.3.12 The Contractor shall operate and maintain Secret Inventory Control Points and verify with Secondary and Tertiarycontrol points that on-site libraries with classified documents maintain proper accountability, safeguarding, and control of classifiedmaterials in the Librarian's custody.C.4.6.3.13 The Contractor shall perform Sensitive Compartments Information Facilities (SCIF) functions including:(a) Establish, operate, and maintain Classified Inventory Control and on-site SCI libraries for the SSO.(b) Schedule and perform quarterly alarm tests of SCIFs under SSO cognizance.(c) Conduct inspections and searches in accordance with NSWCDLINST 5530.4B (or successor(s)) SECURITYADMINISTRATIVE INSPECTION (AI) PROGRAM FOR SCIFs AND SPECIAL ACCESS PROGRAM FACILITIES (SAPFs).(d) Maintain the Non-Disclosure Statement database(e) Generate Non-Disclosure Agreements for NSWCDD employees with TOP SECRET/SCI (SI/TK/GG/HCS) clearance.C.4.6.3.14 The Contractor shall maintain Enterprise Security Incident and Event Management (SIEM) tool(s) on all networks,including dashboard implementations. SIEM tools are used for tasks such as asset tracking, A&amp;A, storing firewall information andto associate assets with Authority to Operate. They also serve as the accreditation database(s). SIEM maintenance shall be incompliance with all applicable DoD/DON policies, standards, laws, regulations, and industry standards.C.4.6.3.15 The Contractor shall analyze and interpret system logs to search, filter, and analyze log data to identify threats, gaininsights, and troubleshoot problems. The Contractor shall create log visualizations and reports.C.4.6.3.16 The Contractor shall manage and update the multi-record database to include modifying field entries to reflect currentinformation and granting access to new users.C.4.6.4 Operational and Information Cybersecurity SupportC.4.6.4.1 The Contractor shall perform classified and unclassified tasks and actions to support A&amp;A activities, A&amp;A packagereviews, scanning, reporting and remediation, and overall system security. The Contractor shall consult with relevant A&amp;AValidation teams in the normal course of its activities.C.4.6.4.2 The Contractor shall assist in development and execution of A&amp;A plans for complex networks and IT systems. This mayinclude providing ISSO, Information Systems Security Engineer, and DIO support, and A&amp;A analysis supporting documentationand artifacts in support of A&amp;A, and compliant system administration across a variety of environments supporting departmentoffices, conference facilities and land-based tactical equipment suites and laboratories. (CDRLs A021)C.4.6.4.3 The Contractor shall provide IT Project and System Administrative support for accreditation including full authority tooperate, interim authority to operate, authority to connect, Interim authority to test, Local authority to proceed and other requiredauthorizations to support normal operations, special user events and requirements, and test events.C.4.6.4.4 The Contractor shall implement and maintain system security requirements, including STIGs, anti-virus softwareinstallations and updates, ESS installation and monitoring, responding to Cyber Directives (e.g., CTOs, IA VMs, FRAGORDS), andother direction to ensure Information Technology and Information Assurance controls are maintained.C.4.6.4.5 The Contractor shall perform and review vulnerability scans on all ISs using the latest approved vulnerability scanningtools and signatures and ensure that results are properly mitigated, reviewed, documented, and reported.C.4.6.4.6 The Contractor shall support, test, monitor, and report any changes in ISs that may affect the security posture and/orperformance of that IS.C.4.6.4.7 The Contractor shall monitor all system and audit logs and report any potential security issues to the ISSM. TheContractor shall assist the ISSM. The Cybersecurity Branch Head, the DIO, the incident handling team, and law enforcementpersonnel in any investigations involving suspected security violations.C.4.6.4.8 The Contractor shall maintain accurate and up-to-date information in all required A&amp;A applications (e.g., FindingsManagement and Tracking System (FMATs), Vulnerability Remediation Asset Manager (VRAM)).</t>
        </is>
      </c>
      <c r="C22" t="inlineStr">
        <is>
          <t>C.4.5.2</t>
        </is>
      </c>
      <c r="D22" t="n">
        <v>25</v>
      </c>
      <c r="E22" s="6" t="inlineStr">
        <is>
          <t>High</t>
        </is>
      </c>
      <c r="F22" t="inlineStr">
        <is>
          <t>Mandatory</t>
        </is>
      </c>
      <c r="G22" t="inlineStr"/>
      <c r="H22" t="inlineStr">
        <is>
          <t>Not Started</t>
        </is>
      </c>
      <c r="I22" t="inlineStr"/>
      <c r="J22" t="inlineStr"/>
      <c r="K22" t="inlineStr"/>
      <c r="L22" t="inlineStr"/>
      <c r="M22" t="inlineStr"/>
      <c r="N22" t="inlineStr"/>
      <c r="O22" t="inlineStr">
        <is>
          <t>C.4.6.3.8, C.4.6.3.9, C.4.6.3.10, C.4.6.3.11, C.4.6.3.12, C.4.6.3.13, C.4.6.3.14, C.4.6.3.15, C.4.6.3.16, C.4.6.4, C.4.6.4.1, C.4.6.4.2, C.4.6.4.3, C.4.6.4.4, C.4.6.4.5, C.4.6.4.6, C.4.6.4.7, C.4.6.4.8</t>
        </is>
      </c>
      <c r="P22" t="inlineStr"/>
      <c r="Q22" t="inlineStr"/>
    </row>
    <row r="23">
      <c r="A23" t="inlineStr">
        <is>
          <t>C.4.6.4.9</t>
        </is>
      </c>
      <c r="B23" s="4" t="inlineStr">
        <is>
          <t>N0017826R30020003 - FINAL
Page 28 of 114
C.4.6.4.9 The Contractor shall provide subject matter expertise to perform cybersecurity operations for Corporate Operations IT andTechnical Department IT.C.4.6.4.10 The Contractor shall collaborate with Government and other Contractor personnel to coordinate test and operationactivities for Department IT.C.4.6.4.11 The Contractor shall develop, collect, maintain and submit A&amp;A artifacts (e.g. CONOPS documents, hardware lists,software lists, ports, protocols, and services (PPS) lists, firewall modification documentation, authority to operate/connect/testdocumentation, and security scans, checklists, and STIGs needed to obtain and maintain appropriate A&amp;A approvals).C.4.6.4.12 The Contractor shall provide support for installing, managing, and troubleshooting any issues with vulnerability scanningsoftware (e.g., ACAS, Nessus, DISA Security Content Automation Protocol (SCAP) Compliance Checker, STIGs). The Contractorshall perform scans on a monthly and ad hoc basis for all Department IT and generate/consolidate scanning reports in a centralizedlocation. The Contractor shall provide vulnerability scanning support for Department IT. The Contractor shall be responsible foropening trouble tickets with respective scanning software support for scanning issues and IA support.C.4.6.4.13 In the A&amp;A Analyst role, the Contractor shall be responsible for the creation, development, support and lifecyclesustainment of all NSWCDD RMF A&amp;A processes.  The Information Systems Security Engineer (ISSE) role will be required toperform actions such as, but not limited to:(a)     Supporting A&amp;A Cybersecurity policy and control evaluations.(b)    Preparing supporting RMF activities or current Government-approved processes for packages and artifacts.(c)     Obtaining approvals to operate.(d)    Implementation of security postures.(e)     Providing SME support in Information Assurance and Cybersecurity Life-Cycle management, coordination, andimplementation as required by the applicable Authorizing Official (e.g., Information System Security Manager (ISSM), NA VSEAFunctional Authorizing Official (FAO), or Navy Authorizing Official (NAO)).C.4.6.4.14 The contractor shall provide RMF A&amp;A ISSE support for all ashore and afloat packages.C.4.6.4.15 The Contractor shall submit all A&amp;A analyst-required tasks for each RMF step within the required timelines.C.4.6.4.16 In the A&amp;A Analyst role, the Contractor shall provide maintenance and sustainment services for any newly createdpackages during the initial year of the Authorization to Operate award for that package, while also providing support for the AnnualSecurity Review.C.4.6.4.17 The ISSE is responsible for developing and maintaining the cybersecurity architecture of a program, organization,system, or enclave, and is accountable to the PM/System Owner. ISSE Roles and Responsibilities include, but are not limited to:(a) Oversee the development and maintenance systems’ cybersecurity solutions.(b) Identify AO and Security Controls Assessment cognizance of the system as well as any specific authorization requirements suchas reciprocity, cross domain, and applicable overlays to support System Categorization.(c) Identify and tailor the security control baseline with applicable overlays.(d) Assist with development, maintenance, and tracking of the SP.(e) Lead the security control implementation and testing efforts.(f) Perform vulnerability-level risk assessment on the Corrective Action Plan.(g) Ensure the execution of any security testing required as part of A&amp;A or annual reviews.(h) Ensure the mitigation and closure of open vulnerabilities under the system’ s change control process.(i) Oversee cybersecurity testing to assess security controls and recording security control compliance status during the continuousmonitoring phase of the lifecycle.(j) Ensure data entered into the Government's cybersecurity management system's (e.g., eMASS) record, and is consistent withimplementation results.(k) Utilize the Government's cybersecurity management system (e.g., Collaboration Board in the eMASS workflow) for all formalcoordination during the RMF process. Detailed findings will be posted (e.g., in the Artifacts tab), if necessary.(l) Document and provide all requested rework to the Package Submitting Officer/Program Management Office for review.(m) Participate in the system engineering process to ensure the systems security and cybersecurity requirements, design and testingare properly addressed throughout the system lifecycle.</t>
        </is>
      </c>
      <c r="C23" t="inlineStr">
        <is>
          <t>C.4.5.2</t>
        </is>
      </c>
      <c r="D23" t="n">
        <v>25</v>
      </c>
      <c r="E23" s="6" t="inlineStr">
        <is>
          <t>High</t>
        </is>
      </c>
      <c r="F23" t="inlineStr">
        <is>
          <t>Mandatory</t>
        </is>
      </c>
      <c r="G23" t="inlineStr"/>
      <c r="H23" t="inlineStr">
        <is>
          <t>Not Started</t>
        </is>
      </c>
      <c r="I23" t="inlineStr"/>
      <c r="J23" t="inlineStr"/>
      <c r="K23" t="inlineStr"/>
      <c r="L23" t="inlineStr"/>
      <c r="M23" t="inlineStr"/>
      <c r="N23" t="inlineStr"/>
      <c r="O23" t="inlineStr">
        <is>
          <t>C.4.6.4.9, C.4.6.4.10, C.4.6.4.11, C.4.6.4.12, C.4.6.4.13, C.4.6.4.14, C.4.6.4.15, C.4.6.4.16, C.4.6.4.17</t>
        </is>
      </c>
      <c r="P23" t="inlineStr"/>
      <c r="Q23" t="inlineStr"/>
    </row>
    <row r="24">
      <c r="A24" t="inlineStr">
        <is>
          <t>C.4.6.5</t>
        </is>
      </c>
      <c r="B24" s="4" t="inlineStr">
        <is>
          <t>C.4.6.5 Cyber Hunt SupportC.4.6.5.1 The primary purpose of Cyber Hunt support is to proactively and iteratively detect, isolate, and neutralize cyber threatsthat evade other security solutions.C.4.6.5.2 Cyber Hunt tasks include but are not limited to: collecting intrusion artifacts (e.g., source code, malware, and Trojans) andusing discovered data to enable mitigation of potential cybersecurity incidents within the NSWCDD enterprise; coordinating withand providing expert technical support to NSWCDD cybersecurity technicians to resolve cybersecurity incidents; and correlatingincident data to identify specific vulnerabilities, and make recommendations that enable expeditious remediation. Deliverables forCyber Hunt include, but are not limited to, a Cyber Hunt Report including an artifact list, a summary of potential incidents andresolved incidents, and remediation recommendations for vulnerabilities found based on previous incident data.C.4.7 Information Management and Digital Transformation SupportC.4.7.1 Information Management SupportC.4.7.1.1 The Contractor shall support establishing and implementing a comprehensive data architecture, the design and engineeringof consolidated and consistent data management solutions, development and deployment of data integration analytics solutions, andthe design and development of end-user data visualization capabilities.C.4.7.1.2 The Contractor shall provide lifecycle support of software, applications, endpoints, and cybersecurity artifacts. Thisrequires analysis, design, development, deployment and user support, and operations and maintenance of ISs, business applications,and supporting integrating capabilities. This shall include products such as Data Warehouse, business applications, visualizations,documentation, and supporting integrating capabilities such as interfaces to standard systems and special analyses and studiesrelated to IT, IM, and IS capabilities. (CDRLs A007, A008)C.4.7.1.3 The Contractor shall be required to work during non-Prime hours, outside of the normal business hours, in support ofcertain maintenance and operational system requirements such as scheduled software version releases and data loads.C.4.7.2 Analysis and Design SupportC.4.7.2.1 The Contractor shall provide analysis, design, development, and operations of ISs, business applications, and integratingcapabilities and conduct and special analyses and studies related to business capabilities (e.g., Corporate). (CDRL A006)C.4.7.2.2 The Contractor shall integrate technical capabilities such as interfaces to standard systems, and data feeds from sourcesystems (e.g., Navy Enterprise Resource Planning, APIs, Mutual TLS Authentication, Active Directory, ServiceNow).C.4.7.2.3 The Contractor shall develop application and data designs in the form of logical data models, data interface specifications,on-line query and report specifications for ISs, the Enterprise Data Warehouse (EDW), business applications, and technicalarchitecture support, database load specifications, data governance specifications, and data validation specifications. This includeswriting and analyzing SQL, development of web-based applications, applying analytical skills in DoD Working Capital Fund(WCF) and General Fund (GF) accounting and methods, and applying strategies for business intelligence and data warehousing.C.4.7.2.4 The Contractor shall enhance the technical architectures by developing and integrating new system components andsoftware/hardware technologies into ISs’ infrastructure(s). (CDRL A011)C.4.7.2.5 The Contractor shall perform operations and maintenance support for ISs, business, and technical applications. Activitiesshall include but are not limited to routine update of database applications, upgrades to database and application software, upgradesand patches to technical architectures, mandated modifications, weekly updates and data file interfaces, and other requiredmaintenance activities.C.4.7.2.6 The Contractor shall perform tasks as set forth in SOPs, as well as develop SOPs for new processes. These tasks shallinclude backup and recovery procedures for all systems, tracking system downtime and usage, and system status checks.C.4.7.2.7 The Contractor shall provide systems administration and technical support for ISs including but not limited to installing,patching, and maintaining software such as Sun Solaris, Linux, Microsoft Windows, Oracle, and Internet Information Services (IIS).C.4.7.2.8 The Contractor shall provide ISSO support for Government designated ISs.C.5 Task Order ManagementThe Contractor shall provide sufficient supervision to ensure all personnel work instructions and schedules originate with theContractor rather than with the Government technical office. This supervision shall ensure that the Contractor’ s personnel are notassigned work instructions and schedules outside this SOW. Any perceived conflicts with the SOW shall be directed to theContracting Officer and Contracting Officer’ s Representative (COR).C.5.1.1 Progress and Status ReportsC.5.1.1.1 The Contractor shall submit a Contracting Officer’ s Management Report. (CDRL A005)</t>
        </is>
      </c>
      <c r="C24" t="inlineStr">
        <is>
          <t>C.4.6.5</t>
        </is>
      </c>
      <c r="D24" t="n">
        <v>32</v>
      </c>
      <c r="E24" s="6" t="inlineStr">
        <is>
          <t>High</t>
        </is>
      </c>
      <c r="F24" t="inlineStr">
        <is>
          <t>Mandatory</t>
        </is>
      </c>
      <c r="G24" t="inlineStr"/>
      <c r="H24" t="inlineStr">
        <is>
          <t>Not Started</t>
        </is>
      </c>
      <c r="I24" t="inlineStr"/>
      <c r="J24" t="inlineStr"/>
      <c r="K24" t="inlineStr"/>
      <c r="L24" t="inlineStr"/>
      <c r="M24" t="inlineStr"/>
      <c r="N24" t="inlineStr"/>
      <c r="O24" t="inlineStr">
        <is>
          <t>C.4.6.5, C.4.6.5.1, C.4.6.5.2, C.4.7, C.4.7.1, C.4.7.1.1, C.4.7.1.2, C.4.7.1.3, C.4.7.2, C.4.7.2.1, C.4.7.2.2, C.4.7.2.3, C.4.7.2.4, C.4.7.2.5, C.4.7.2.6, C.4.7.2.7, C.4.7.2.8, C.5, C.5.1.1, C.5.1.1.1</t>
        </is>
      </c>
      <c r="P24" t="inlineStr"/>
      <c r="Q24" t="inlineStr"/>
    </row>
    <row r="25">
      <c r="A25" t="inlineStr">
        <is>
          <t>C.5.1.1.2</t>
        </is>
      </c>
      <c r="B25" s="4" t="inlineStr">
        <is>
          <t>N0017826R30020003 - FINAL
Page 30 of 114
C.5.1.1.2 The Contractor shall maintain and provide a list of all personnel assigned to the Task Order.C.5.1.1.3 The Contractor shall provide comprehensive progress reports and comprehensive IT project metrics detailing all aspects ofcontract execution, project risks and proposed mitigations.C.5.1.2 In-Progress Reviews (IPRs)C.5.1.2.1 The Contractor shall participate in both formal and informal In-Progress Reviews (IPRs) of work being performed. IPRsmay be conducted at the overall contract level or for specific Task Orders/projects/work areas.  Reviews will be scheduled by theGovernment. An initial formal IPR is planned within 90 days of the contract award date and will follow the agenda agreed to by theCOR. Subsequent formal IPRs shall be held quarterly thereafter unless waived by the Government. The IPRs shall be conducted at alocation mutually agreed upon by the Contractor and the Government.  One (1) week in advance of the IPR, the Contractor shallsubmit a copy of the data to be presented at the IPR which shall address staffing, the status of action items from the previous IPR,pertinent issues, and a financial analysis. All information presented shall be up to date as of the final agreed upon agenda. Emergentor future interest items and meetings shall be discussed during the IPR. At the time the review is scheduled, the Government willcommunicate and advise the Contractor as to any additional desired content of the presentation. (CDRL A023, A024)C.5.1.2.2 The Contractor shall submit electronic monthly progress and status reports. (CDRL A005)C.5.1.2.3 The Contractor shall hold informal monthly meetings with assigned NSWCDD personnel upon request of the Governmentto discuss ongoing and financial status for each work element.C.5.1.3 Task Prioritization MeetingsC.5.1.3.1 The Contractor shall participate in periodic Task Prioritization Meetings with the COR and Subject Matter experts(SMEs).  The purpose of these meetings is to address tasking and management strategy and to convey the Government’ s technicalprogram schedules and priorities and to identify corresponding task priorities for this Task Order.  The Contractor shall documentminutes of the meetings and action items. (CDRL A006)C.5.2 TeleworkC.5.2.1 Telework is permitted subject to Government requirements. Telework is dependent upon the type of work being performed.In accordance with H-216-H002 Level of Effort-Alternate I (NA VSEA) and concurrence from the Government SME and COR,teleworking at an alternative worksite is permitted for personnel who are performing tasks related to work classified below SECRETwith no more than 40% of the work being performed at an alternative worksite. All personnel performing work classified asSECRET or above must do so in assigned Government facilities and are not eligible to telework. Alternative worksites must beconducive to performing the contracted work with reliable internet connectivity, adequate workspace free from distractions, andavailability of necessary equipment (if not government-furnished).C.5.2.2 Qualified Contractor personnel may provide virtual support from off-site locations within the continental United States fortasks related to work classified below SECRET and with concurrence from the Government SME and COR. Qualified Contractorpersonnel are required for on-site and desk-side support if personnel working virtually are unable to resolve an incident or problemwithin service-level requirements or are unable to fulfill a request within service-level requirements. In such cases, on-site anddesk-side support personnel shall resolve incidents or problems and fulfill requests within service-level requirements.C.5.2.3 In the event of telework, the Contractor shall track all Government Furnished Property, listing personnel, asset tag numbersand serial numbers for all RDTE and NMCI computer equipment in the Contractor’ s possession.  All equipment shall be returned tothe Government by the end of the Task Order or when equipment is no longer in use, whichever comes first.C.5.3 Skills and TrainingC.5.3.1 The Contractor shall provide capable personnel with qualifications, experience levels, security clearances, and necessarylicenses, certifications, and training required by Federal, State, and Local laws and regulations.  Information assurance functionsrequire certifications specified in DFARS 252.239-7001 Information Assurance Contractor Training and Certification.C.5.3.2 Per the requirements set forth in DOD 8570.01-M Information Assurance Workforce Improvement Program, as a conditionof meeting requirements, personnel performing Information Assurance (IA) functions outlined in the manual will be tracked forcompliance, designated in writing from the Local Command Authority as Cyberspace Workforce (CWF), shall already be inpossession of an approved commercial certification for their environment at time of performance start, and shall satisfy bothpreparatory and sustaining DOD IA training and certification requirements as outlined in Chapters 2-5 of DOD 8570.01-M.Additionally, personnel with Privileged Access must sign acknowledging duties on a "Privileged Access Agreement", be able tomaintain the appropriate investigation type, sign a System Authorization Access Request-Navy (SAAR-N) with “privileged”indicated, complete applicable Operating System/Computer Environment (OS/CE) training to Navy’ s standards, and maintain avalid commercial certification that meets outlined designations. Failure to maintain all requirements at the appropriate level mayresult in the removal of elevated access and removal from tasks being performed. Non-privileged Information Assurance. Workforce(IAWF) members may be removed from tasks being performed. In both situations, access will be returned once the failure(s) are</t>
        </is>
      </c>
      <c r="C25" t="inlineStr">
        <is>
          <t>C.4.6.5</t>
        </is>
      </c>
      <c r="D25" t="n">
        <v>32</v>
      </c>
      <c r="E25" s="6" t="inlineStr">
        <is>
          <t>High</t>
        </is>
      </c>
      <c r="F25" t="inlineStr">
        <is>
          <t>Mandatory</t>
        </is>
      </c>
      <c r="G25" t="inlineStr"/>
      <c r="H25" t="inlineStr">
        <is>
          <t>Not Started</t>
        </is>
      </c>
      <c r="I25" t="inlineStr"/>
      <c r="J25" t="inlineStr"/>
      <c r="K25" t="inlineStr"/>
      <c r="L25" t="inlineStr"/>
      <c r="M25" t="inlineStr"/>
      <c r="N25" t="inlineStr"/>
      <c r="O25" t="inlineStr">
        <is>
          <t>DFARS 252.239-7001, C.5.1.1.2, C.5.1.1.3, C.5.1.2, C.5.1.2.1, C.5.1.2.2, C.5.1.2.3, C.5.1.3, C.5.1.3.1, C.5.2, C.5.2.1, C.5.2.2, C.5.2.3, C.5.3, C.5.3.1, C.5.3.2</t>
        </is>
      </c>
      <c r="P25" t="inlineStr"/>
      <c r="Q25" t="inlineStr"/>
    </row>
    <row r="26">
      <c r="A26" t="inlineStr">
        <is>
          <t>C.5.3.3</t>
        </is>
      </c>
      <c r="B26" s="4" t="inlineStr">
        <is>
          <t>N0017826R30020003 - FINAL
Page 31 of 114
corrected.C.5.3.3 Training on non-commercial and department-specific tools and procedures will be provided by the Government.C.5.3.4 Notwithstanding the above, it is understood that the Government may order services requiring knowledge and skills of anewly emergent technology.  The Contracting Officer may, on a case-by-case basis, authorize the expenditure of Government fundsfor the training of Contractor personnel.  Advance approval is required.  The Contractor is encouraged to suggest a cost-sharingarrangement that addresses registration, tuition, travel, and labor costs.C.5.3.5 The Contractor shall complete all mandatory training as prescribed by the Government. These training requirements areaccessed through Government web-based training (WBT), classroom training, or combination of both.C.5.3.6 Mandatory Training Completion Log - The Contractor shall submit a Mandatory Training Completion Log for trainingcompleted.  The Mandatory Training Completion Log shall identify Contractor personnel by name, company assignment, trainingtopic, completion no later than date, actual completion date, and completed on time yes/no.  The Mandatory Training CompletionLog shall address required CSWF training including annual continuous learning training requirements.C.6 OTHER DIRECT COSTSDuring the performance of this Task Order the Contractor will have to travel and procure material and consumables to perform thetasking of the SOW.C.6.1 TravelThe Contractor shall be required to travel in performance of this Task Order.  The numbers of trips and types of personnel travelingshall be limited to the minimum required to accomplish work requirements and shall be requested of and authorized in advance bythe COR in writing or by electronic e-mail.  All requests shall show the appropriate Task Order number, the number of peopletraveling, the number of days for the trip, the reason for the travel, an estimated cost (with G&amp;A separate) and any high cost orunusual costs expected.  The Contractor is not authorized to perform any travel that is not in conjunction with this effort.  All travelshall be conducted in accordance with FAR 31.205-46 Travel Costs.Locations will be determined by the Government and are subject to change. Representative travel locations and sites may include:
Baltimore, MarylandCarderock, MarylandCorona, CaliforniaIndian Head/Stump Neck, MarylandMiddletown, Rhode IslandNewport, Rhode IslandPanama City, FloridaPort Hueneme, CaliforniaQuantico, VirginiaSan Diego, CaliforniaVirginia Beach, VirginiaWallops, VirginiaWashington Navy Yard, District of ColumbiaWashington, District of Columbia</t>
        </is>
      </c>
      <c r="C26" t="inlineStr">
        <is>
          <t>C.4.6.5</t>
        </is>
      </c>
      <c r="D26" t="n">
        <v>32</v>
      </c>
      <c r="E26" s="6" t="inlineStr">
        <is>
          <t>High</t>
        </is>
      </c>
      <c r="F26" t="inlineStr">
        <is>
          <t>Mandatory</t>
        </is>
      </c>
      <c r="G26" t="inlineStr"/>
      <c r="H26" t="inlineStr">
        <is>
          <t>Not Started</t>
        </is>
      </c>
      <c r="I26" t="inlineStr"/>
      <c r="J26" t="inlineStr"/>
      <c r="K26" t="inlineStr"/>
      <c r="L26" t="inlineStr"/>
      <c r="M26" t="inlineStr"/>
      <c r="N26" t="inlineStr"/>
      <c r="O26" t="inlineStr">
        <is>
          <t>FAR 31.205-46, C.5.3.3, C.5.3.4, C.5.3.5, C.5.3.6, C.6, C.6.1</t>
        </is>
      </c>
      <c r="P26" t="inlineStr"/>
      <c r="Q26" t="inlineStr"/>
    </row>
    <row r="27">
      <c r="A27" t="inlineStr">
        <is>
          <t>C.6.1.1</t>
        </is>
      </c>
      <c r="B27" s="4" t="inlineStr">
        <is>
          <t>C.6.1.1 The Contractor shall submit trip reports following any travel under this effort. (CDRL A028)              C.6.2 Direct Charge of Materials(a) During the performance of this Task Order it may be necessary for the Contractor to procure materials to respond to the missionrequirements listed in the SOW. This Task Order is issued under a services contract and the procurement of materials of any kindthat are not directly related to and necessary for performance may be determined to be unallowable costs pursuant to FAR Part 31.Any material provided by the Contractor is subject to the requirements of the FAR, DFARS, and the applicable Department of Navyregulations and instructions. Charges related to materials costs may include general and administrative (G&amp;A) expenses but shallnot include fee or profit.(b) The materials listed in paragraph (e) below shall be the only ones approved for purchase under this Task Order. The numbers of,and types of, material purchases shall be limited to the minimum required to accomplish work requirements and shall be coordinatedwith the COR. Splitting purchase requirements to defeat purchasing thresholds shall not be approved. If the Contractor (or</t>
        </is>
      </c>
      <c r="C27" t="inlineStr">
        <is>
          <t>C.6.1.1</t>
        </is>
      </c>
      <c r="D27" t="n">
        <v>34</v>
      </c>
      <c r="E27" s="6" t="inlineStr">
        <is>
          <t>High</t>
        </is>
      </c>
      <c r="F27" t="inlineStr">
        <is>
          <t>Mandatory</t>
        </is>
      </c>
      <c r="G27" t="inlineStr"/>
      <c r="H27" t="inlineStr">
        <is>
          <t>Not Started</t>
        </is>
      </c>
      <c r="I27" t="inlineStr"/>
      <c r="J27" t="inlineStr"/>
      <c r="K27" t="inlineStr"/>
      <c r="L27" t="inlineStr"/>
      <c r="M27" t="inlineStr"/>
      <c r="N27" t="inlineStr"/>
      <c r="O27" t="inlineStr">
        <is>
          <t>C.6.1.1, C.6.2</t>
        </is>
      </c>
      <c r="P27" t="inlineStr"/>
      <c r="Q27" t="inlineStr"/>
    </row>
    <row r="28">
      <c r="A28" t="inlineStr">
        <is>
          <t>C.6.1.1</t>
        </is>
      </c>
      <c r="B28" s="4" t="inlineStr">
        <is>
          <t>N0017826R30020003 - FINAL
Page 32 of 114
Sub-contractor) possesses a Defense Contract Management Agency (DCMA) approved purchasing system, individual itempurchases greater than $3,000 but less than $10,000 shall be approved by the COR; individual item purchases equal to or over$10,000 shall not be executed until the COR reviews the requested purchase and approval is obtained from the Contracting Officer.If the Contractor does not possess an approved purchasing system, individual item purchases less than $3,000 shall be approved bythe COR. For purchase of materials equal to or over $3,000 shall not be executed until the COR reviews the requested purchase andapproval is obtained from the Contracting Officer. No purchases of any amount shall be executed by a Sub-contractor if they do nothave a Defense Contract Audit Agency (DCAA) approved accounting system.(c) Information Technology (IT) Resources shall not be purchased unless DOD and Navy purchasing procedures (includingInformation Technology Procurement Request (ITPR) approval) have been satisfied and approvals obtained. IT Resources includepersonal computers (PCs), laptops, printers, software, servers, hubs, routers, phones, fax machines, and any related maintenance,telecommunications, training, or other support services. All IT Resource Other Direct Cost (ODC) purchases require COR approvalregardless of the dollar value associated with the purchase.(d) The costs of general purpose business expenses required for the conduct of normal business operations will not be consideredallowable direct costs in the performance of the Task Order - unless supported by DCMA as a procedure of the Contractor'saccounting procedures. General purpose business expenses include the costs for items such as telephones (including cell phones)and telephone charges, copy machines, word processing equipment, personal computers, and other office equipment and supplies.(e) The materials and equipment contained in the following list are authorized for purchase once the Contractor has complied withapproval requirements stated in paragraph (b) above and paragraph (f) below:· To be determinedMaterials not fitting the descriptions listed in this section may not be purchased unless mutually agreed to by both the Governmentand Contractor and subsequently added to the contract by Task Order modification.(f) Procedure for obtaining COR and/or Contracting Officer approval, the Contractor shall submit a request for purchase of materialsto the COR through email. The COR will review the request, if it is in accordance with paragraph (b) above and requiresContracting Officer approval, the COR will submit the request via the Contract Specialist to the Contracting Officer for review andapproval. Minimum requirements for a written request for purchase are as follows:(1) Description of the material to be purchased;(2) Quantity;(3) Unit and total cost;(4) Delivery/freight charges;(5) Any associated service charges such as assembly, configuration, packing, etc.;(6) An explanation of the need for the material;(7) Copy of the competitive quotes received from potential suppliers;(8) The basis for the selection of the selected supplier;(9) Explanation of the determination of price reasonableness regarding the selected supplier costs;(10) If the procurement is sole sourced to a particular supplier or manufacturer, include the rationale for limiting the procurement tothat supplier or manufacturer;(11) ITPR request date, and if granted, approval date and tracking number (if applicable);Once the COR and/or Contracting Officer have reviewed the request, the Government will notify the Contractor of the outcome.Issues or details may be discussed with the Contract Specialist acting on behalf of the Contracting Officer until a final Governmentdetermination is made as to whether to approve, modify, or reject the purchase.(g) The Contractor is required to possess and maintain an adequate property management system. The system must track allmaterials/ODCs associated with this Task Order. Upon completion of the Task Order Period of Performance, all material associatedwith this Task Order that were purchased by the Contractor and not depleted or previously delivered to the Government during theperformance of this Task Order shall become the property of the Federal Government. The Contractor shall transfer all materials,not depleted or previously delivered to the Government, to the COR by way of a Material Inspection and Receiving Report (DDForm 250) in accordance with DFARS PGI 245.402-71.C.7 GOVERNMENT FURNISHED EQUIPMENT, INFORMATION, AND MATERIALSC.7.1 Government Furnished Office SpaceC.7.1.1 The Government will not provide office space for Task Order performance. Some of the performance on this Task Order</t>
        </is>
      </c>
      <c r="C28" t="inlineStr">
        <is>
          <t>C.6.1.1</t>
        </is>
      </c>
      <c r="D28" t="n">
        <v>34</v>
      </c>
      <c r="E28" s="6" t="inlineStr">
        <is>
          <t>High</t>
        </is>
      </c>
      <c r="F28" t="inlineStr">
        <is>
          <t>Mandatory</t>
        </is>
      </c>
      <c r="G28" t="inlineStr"/>
      <c r="H28" t="inlineStr">
        <is>
          <t>Not Started</t>
        </is>
      </c>
      <c r="I28" t="inlineStr"/>
      <c r="J28" t="inlineStr"/>
      <c r="K28" t="inlineStr"/>
      <c r="L28" t="inlineStr"/>
      <c r="M28" t="inlineStr"/>
      <c r="N28" t="inlineStr"/>
      <c r="O28" t="inlineStr">
        <is>
          <t>section m, C.7, C.7.1, C.7.1.1</t>
        </is>
      </c>
      <c r="P28" t="inlineStr"/>
      <c r="Q28" t="inlineStr"/>
    </row>
    <row r="29">
      <c r="A29" t="inlineStr">
        <is>
          <t>C.6.1.1</t>
        </is>
      </c>
      <c r="B29" s="4" t="inlineStr">
        <is>
          <t>N0017826R30020003 - FINAL
Page 33 of 114
will occur at NSWCDD. NSWCDD has laboratory and outdoor experimental facilities and equipment. These resources include: fifty(50) office spaces and six (6) lab spaces. However, access to lab space may be limited at certain times. Contractors shall be providedaccess to these resources, when appropriate. (a) The Government will provide access to NMCI, JWICS, or other Government computer resources as required.(b) Government Furnished Property (hardware, software, firmware) will be provided to support access to NMCI, JWICS, or otherGovernment computer resources as required during performance of this contract.C.7.2 Government Furnished Property(a) GFP may be issued under this Task Order. The Government will make available the Government Property identified in theattachment J.8, Government Furnished Property on a rent-free basis in performance of the Task Order. The Contractor is responsiblefor all costs related to making the property available for use, such as payment of all transportation, installation, or rehabilitationcosts.(b) The Contractor shall maintain and report the inventory of GFP (CDRL A026) issued under this Task Order. This requirement isin addition to anything required by regulation, statute, or the assigned Government Property Administrator.(c) The following will property will be included in the task order: One-hundred and twenty five (125) NMCI Laptops, eighty-five(85) RDT&amp;E Laptops.C.7.3 Government Furnished Information(a) The Government will provide access to information and documentation required for contract performance.(b) All information and documentation shall be digitized and stored in Government designated storage areas.C.8 SECURITYC.8.1 The Contractor will have access to information with a SECRET classification.  All deliverables associated with this TaskOrder are unclassified unless otherwise specified.  Access to classified spaces and material and generation of classified materialshall be in accordance with the attached DD Form 254.  The Department of Defense Contract Security Classification Specification(DD Form 254) provides the security classification requirements for this Task Order. The Contractor shall obtain facility andpersonnel security clearances as required by the National Industrial Security Program prior to starting to work on tasks requiringclearances.  Access to classified spaces and material and generation of classified material shall be in accordance with the 32 Code ofFederal Regulation (CFR) Part 117 and the NSWCDD Command Security Manual.  Some work accomplished under this Contractwill be classified up to the level of TOP SECRET/SCI. All data generated under this Task Order shall be classified in accordancewith the guidance in the 32 CFR Part 117 and the NSWCDD Command Security Manual.  The Contractor must comply withguidelines specified on the DD254.  Contractors SCI indoctrinated in support of this contract shall comply with the reportingrequirements as outlined in DoD policies SEAD-3 DTD 12 June 2017 and SEAD-3 Implementation memo DTD 02 Nov 2020.  Alldeliverables associated with this Contract will be non-SCI.C.8.2 The Contractor shall require access to Communications Security (COMSEC) in order to use crypto keying material.  Accessto NATO is required to obtain a SIPRNet account and to utilize the Defense Technical Information Center system to obtaindocuments on intelligence and to access and administer the classified RDTE network and the data maintained on it. ControlledUnclassified Information (CUI) to include Personally Identifiable Information (PII) generated and/or provided under this Contractshall be safeguarded and marked as specified in DoD Instruction 5200.48.  All above accesses are needed to provide IT support andIM support for NSWCDD.C.8.3 Facility Clearance:  The Contractor shall possess and maintain a TOP SECRET facility clearance as verified within theNational Industrial Security System (NISS).C.8.4 Physical Security:  The Contractor shall be responsible for safeguarding all Government information or property provided forContractor use.  At the end of each work period, Government information, facilities, equipment and materials shall be secured asspecified by the 32 CFR Part 117 and the NSWCDD Command Security Manual. C.8.5 Personnel Security Clearances and Investigation Types: All individuals performing support under this requirement arerequired to have, as a minimum, a DoD Personnel Security Clearance of SECRET in Defense Information System for Security(DISS) or subsequent system of record with the ability to successfully obtain a TOP SECRET or TOP SECRET/SCI Clearance.Interim SECRET clearances are acceptable. Interim SECRET clearances are acceptable.C.8.5.1 The work to be performed under this contract is up to the TOP SECRET (TS) level and will require SCI access eligibility forsome personnel, to include subcontractors and Independent Consultants. Personnel requiring TS/SCI clearance must possess acurrent FINAL TS/SCI security clearance granted by the U.S. Government.C.8.5.2 T5 and/or TR5 Investigation - All personnel performing as Privileged Users (individuals who have access to critical systemcontrol, monitoring, or administration functions per Cyberspace Workforce (CWF) policy are required to have and maintain a final</t>
        </is>
      </c>
      <c r="C29" t="inlineStr">
        <is>
          <t>C.6.1.1</t>
        </is>
      </c>
      <c r="D29" t="n">
        <v>34</v>
      </c>
      <c r="E29" s="6" t="inlineStr">
        <is>
          <t>High</t>
        </is>
      </c>
      <c r="F29" t="inlineStr">
        <is>
          <t>Mandatory</t>
        </is>
      </c>
      <c r="G29" t="inlineStr"/>
      <c r="H29" t="inlineStr">
        <is>
          <t>Not Started</t>
        </is>
      </c>
      <c r="I29" t="inlineStr"/>
      <c r="J29" t="inlineStr"/>
      <c r="K29" t="inlineStr"/>
      <c r="L29" t="inlineStr"/>
      <c r="M29" t="inlineStr"/>
      <c r="N29" t="inlineStr"/>
      <c r="O29" t="inlineStr">
        <is>
          <t>attachment J, C.7.2, J.8, C.7.3, C.8, C.8.1, C.8.2, C.8.3, C.8.4, C.8.5, C.8.5.1, C.8.5.2</t>
        </is>
      </c>
      <c r="P29" t="inlineStr"/>
      <c r="Q29" t="inlineStr"/>
    </row>
    <row r="30">
      <c r="A30" t="inlineStr">
        <is>
          <t>C.8.5.3</t>
        </is>
      </c>
      <c r="B30" s="4" t="inlineStr">
        <is>
          <t>N0017826R30020003 - FINAL
Page 34 of 114
adjudicated T5/T5R in DISS or subsequent system of record.C.8.5.3 The Contractor is responsible for providing personnel with appropriate security clearances to ensure compliance withGovernment security regulations, as specified on individual Task Order. The Contractor shall fully cooperate on all security checksand investigations by furnishing requested information to verify the Contractor employee's eligibility for any required clearance.C.8.6 Electronic SpillageC.8.6.1 Electronic Spillages (ES) are unacceptable and pose a risk to national security.  An electronic spillage is defined as classifieddata placed on an IS, media or hardcopy document possessing insufficient security controls to protect the data at the requiredclassification level, thus posing a risk to national security (e.g., SCI onto collateral, Secret onto Unclassified, etc.).  The Contractor’ sperformance as it relates to ES will be evaluated by the Government.  ES reflects on the overall security posture of NSWCDD and alack of attention to detail with regard to the handling of classified information of IS security discipline and will be reflected in theContractor's performance rating.  In the event that a Contractor is determined to be responsible for an ES, all direct and indirectcosts incurred by the Government for ES remediation will be charged to the Contractor.C.8.6.2 NSWCDD Security will continue to be responsible for the corrective action plan in accordance with the security guidancereflected on the DOD Contract Security Classification Specification - DD254.  NSWCDD Security will identify the Contractorfacility and contract number associated with all electronic spillages during the investigation that involve the Contractor.  NSWCDDSecurity will notify the Contracts Division with the Contractor facility name and contract number, incident specifics and associatedcosts for clean-up.  The Contracting Officer will be responsible to work with the Contractor Facility to capture the costs incurredduring the spillage clean up.  The Contractor is also responsible for taking Information Security Awareness training annually, viatheir Facility Security Officer (FSO), as part of the mandatory training requirements.  If a spillage occurs additional training will berequired to prevent recurrence.C.8.7 Portable Electronic Devices (PEDs)C.8.7.1 Non-Government and/or personally owned portable electronic devices (PEDs) are prohibited in all NSWCDD buildingswith the exception of personally owned cell phones which are authorized for use in General Office Spaces (GOS). All personnelneed to be aware of the PEDs policy and being permitted in a building by asking authorized personnel or reviewing the entrancearea signs and instructions. The Contractor/personnel visiting shall ensure the onsitepersonnel remain compliant with this PED policy. NSWCDD instruction defines PEDs as the following: any electronic devicedesigned to be easily transported, with the capability to store, record, receive or transmit text, images, video, or audio data in anyformat via any transmission medium. PED’ s include, but are not limited to, pagers, laptops, radios, compact discs and cassetteplayers/recorders. In addition, this includes removable storage media such as flash memory, memory sticks, multimedia cards andsecure digital cards, micro-drive modules, ZIP drives, ZIP disks, CD-RWs, DVD-RWs, MP3 players, iPADs, digital picture frames,electronic book readers, kindle, nook, cameras, external hard dish drives, and floppy diskettes.C.8.7.2 Personal Wearable Fitness Devices (PWFDs) marketed primarily as fitness or sleep devices are allowed in all Navy spaces,if they are compliant with NA V ADIN 216/15, where collateral non-Sensitive Compartmented Information (SCI), classifiedinformation is processed, stored, or discussed up to and including SECRET. The user must ensure the PWFD is compliant with allrequirements in NA V ADMIN 216/15, Cyber Hygiene Authorization to use Personal Wearable Fitness Devices (e.g., FitBit, JawboneUP, etc.) in Navy Spaces, dated 14 September 2015 and register PWFD in the NSWCDD Fitness Device Tracker.C.8.7.3 Personnel requiring the use of Medical Portable Electronic Devices (MPEDS) must submit Form NSWCDD 5239/4 forSCIF authorization to the SCIF authorizations to the Special Security Officer (SSO).  For SAFF, authorizations follow the guidanceprovided by the Government Special Access Program Security Officer (GSSO).  Authorizations for use in SAPFs that areco-utilized within NSWCDD SCIFS require coordination between both the GSSO and SSO.  For authorizations to use MPED inCollateral Classified spaces, submit form to the Special Programs Branch, Code 1053.C.8.7.4 PEDs belonging to an external organization shall not be connected to NSWCDD networks or infrastructure without priorapproval from the NSWCDD Command ISSM and the NSWCDD Security Director. This approval will be granted using theTemporary Approval Request for Information System (TARIS) Form and action tracker process, or other processC.8.7.5 Personally owned hardware or software shall not be connected or introduced to any NSWCDD hardware, network or ISinfrastructure.C.8.7.5.1 Navy-issued PeripheralsC.8.7.5.2 Government procured headsets with or without microphones must be wired, use either a 3.5 millimeter (mm) audio jack oruniversal serial bus (USB) port, cannot contain active-noise cancelling functionality and may be used on systems of classification upto and including collateral Top Secret. The headsets are considered unclassified when unplugged, and must be unplugged when notin use.C.8.7.5.3 Government procured Bluetooth earbuds and headsets that do not require a USB dongle or any other physical connection</t>
        </is>
      </c>
      <c r="C30" t="inlineStr">
        <is>
          <t>C.6.1.1</t>
        </is>
      </c>
      <c r="D30" t="n">
        <v>34</v>
      </c>
      <c r="E30" s="6" t="inlineStr">
        <is>
          <t>High</t>
        </is>
      </c>
      <c r="F30" t="inlineStr">
        <is>
          <t>Mandatory</t>
        </is>
      </c>
      <c r="G30" t="inlineStr"/>
      <c r="H30" t="inlineStr">
        <is>
          <t>Not Started</t>
        </is>
      </c>
      <c r="I30" t="inlineStr"/>
      <c r="J30" t="inlineStr"/>
      <c r="K30" t="inlineStr"/>
      <c r="L30" t="inlineStr"/>
      <c r="M30" t="inlineStr"/>
      <c r="N30" t="inlineStr"/>
      <c r="O30" t="inlineStr">
        <is>
          <t>C.8.5.3, C.8.6, C.8.6.1, C.8.6.2, C.8.7, C.8.7.1, C.8.7.2, C.8.7.3, C.8.7.4, C.8.7.5, C.8.7.5.1, C.8.7.5.2, C.8.7.5.3</t>
        </is>
      </c>
      <c r="P30" t="inlineStr"/>
      <c r="Q30" t="inlineStr"/>
    </row>
    <row r="31">
      <c r="A31" t="inlineStr">
        <is>
          <t>C.6.1.1</t>
        </is>
      </c>
      <c r="B31" s="4" t="inlineStr">
        <is>
          <t>N0017826R30020003 - FINAL
Page 35 of 114
to enable wireless connectivity are allowed for use on Government issued tablets, phones, and personal devices in teleworkenvironments or unclassified general office space where no classified discussion are occurring. However, they must be disconnectedwhen not in use.C.8.7.5.4 Web cameras may only be used on systems at the classification level of the space.  For example, in a collateral SECRETopen storage area an external web camera may be connected to the SECRET workstation only.  No camera pass is required for thesedevices.C.8.7.5.5 Government provided printers and/or scanners are authorized in a telework environment.  Users must ensure that anypaper or media containing CUI or unclassified information not authorized for public release is safeguarded while not attended bylocking in a drawer, cabinet or room.  CUI and unclassified information not approved for public release must be returned to theworksite for destruction.C.8.7.5.6 Government issued peripherals may be used on personal devices.C.8.7.5.7 While connected to any Navy network, whether on site or while in a telework environment, the use of headsets withmicrophones and web cameras are restricted to official Government duties.C.8.8 Operations Security (OPSEC)Contractor personnel shall follow OPSEC concepts and principles in the conduct of this requirement to protect critical information,personnel, facilities, equipment, and operations from compromise.  All Contractors (including Sub-contractors) shall supplementtheir current security practices by requiring any personnel involved in executing this contract to complete Government-sponsoredand administered Operations Security (OPSEC) training.  In addition, all Contractors should be aware of the Critical Informationand Indicators List (CIIL) for the organization they are supporting as well as the OPSEC plan for NSWCDD.  These OPSECrequirements will be in effect throughout the life of the procurement from award through the conclusion of services at the end of theperiod of performance (PoP) or other procurement termination. The Contractor must immediately notify the Government upon thediscovery of any nonconformance with the OPSEC Plan.C.8.9 Privacy Program TrainingPrivacy Program Training.  Privacy training is mandatory for all NSWCDD personnel (military, civilian, and contractor) and mustbe completed annually.  Total Workforce Management Services (TWMS) is the official database for workforce training and is thetool for taking and recording privacy act training.  The contractor is responsible for ensuring individual annual privacy trainingrequirements are met. C.8.10 IT-1 Designation RequirementsC.8.10.1 In accordance with (IAW) DON Chief Information Officer (CIO), NSWC Headquarters, and NSWCDD guidance, ITLevel-1 positions are defined as users with privileged access to critical networking equipment to include workstations, servers,routers, switches and the like. Contractor employees assigned to a privileged user designated position with SECRET access will berequired to have a favorably adjudicated T5/T5R completed every five years.  Contractor employees that require a SECRETClearance as part of their job duties, with a T5/T5R designation, will be initiated by the Government, and will be at theGovernment's expense.  Contractor employees that require a TOP SECRET Clearance as part of their job duties, with T5/T5Rdesignation, shall be initiated by the Contracting Company.C.8.10.2 Any Contractor employee, who has a final clearance and submitted T5/T5R that is accepted by Office of PersonnelManagement (OPM) along with a favorable fingerprint check (SAC), is eligible for IT-1 designation.  The Command SecurityOffice will review all SF-86 paperwork for all Contractor employees nominated for IT Level-I designations if the T5/T5R is notcompleted.C.8.10.3 Contractor employees that do not have a final clearance investigation within DISS, or subsequent system of record, areineligible for IT Level-I designation until the T5/T5R has been favorably adjudicated, shall remain at IT level-II status and shall notbe assigned to a contract position requiring IT Level-I designation.C.9 ON-SITE ENVIRONMENTAL AWARENESSC.9.1 The Contractor shall strictly adhere to all Federal, State and local laws and regulations, Executive Orders, and Department ofDefense and Navy policies.C.9.2 The Contractor shall ensure that each Contractor employee who has been or will be issued a Common Access Card (CAC),performs work in direct support of NSWCDD programs under the NSWCDD Commanding Officer, and sits on-site at NSWCDD,completes the NA VSEA Environmental Awareness Training (TWMS-695388) within 30 days of commencing Task Orderperformance and at least every three (3) years thereafter or as directed by their NSWCDD training coordinator or their COR.C.9.3 The Contractor shall ensure that each Contractor employee not required to complete the training described above (i.e., thosewho do not have and will not be issued a CAC, do not perform work in direct support of NSWCDD programs under the NSWCDD</t>
        </is>
      </c>
      <c r="C31" t="inlineStr">
        <is>
          <t>C.6.1.1</t>
        </is>
      </c>
      <c r="D31" t="n">
        <v>34</v>
      </c>
      <c r="E31" s="6" t="inlineStr">
        <is>
          <t>High</t>
        </is>
      </c>
      <c r="F31" t="inlineStr">
        <is>
          <t>Mandatory</t>
        </is>
      </c>
      <c r="G31" t="inlineStr"/>
      <c r="H31" t="inlineStr">
        <is>
          <t>Not Started</t>
        </is>
      </c>
      <c r="I31" t="inlineStr"/>
      <c r="J31" t="inlineStr"/>
      <c r="K31" t="inlineStr"/>
      <c r="L31" t="inlineStr"/>
      <c r="M31" t="inlineStr"/>
      <c r="N31" t="inlineStr"/>
      <c r="O31" t="inlineStr">
        <is>
          <t>SEC c, C.8.7.5.4, C.8.7.5.5, C.8.7.5.6, C.8.7.5.7, C.8.8, C.8.9, C.8.10, C.8.10.1, C.8.10.2, C.8.10.3, C.9, C.9.1, C.9.2, C.9.3</t>
        </is>
      </c>
      <c r="P31" t="inlineStr"/>
      <c r="Q31" t="inlineStr"/>
    </row>
    <row r="32">
      <c r="A32" t="inlineStr">
        <is>
          <t>C.6.1.1</t>
        </is>
      </c>
      <c r="B32" s="4" t="inlineStr">
        <is>
          <t>N0017826R30020003 - FINAL
Page 36 of 114
Commanding Officer, and do not sit on-site at NSWCDD) reads the NSWCDD Environmental Policy Statement within 30 days ofcommencing contract performance.  This document will be available from the COR, however, the policy is also provided on thepublicly-available NSWCDD website, https://www.navsea.navy.mil/Home/Warfare-Centers/NSWC-Dahlgren/Resources/.C.9.4 Within 30 days of commencing contract performance, the Contractor shall certify by e-mail to their COR that therequirements captured above have been met.  The e-mail shall include each employee name and work site and shall indicate whichrequirement each employee has satisfied.C.9.5 Contractor copies of the records generated by the actions described above will be maintained and disposed of by theContractor in accordance with Secretary of Navy Instruction (SECNA VINST) 5210.8F.C.9.6 The Contractor shall perform work under this Task Order consistent with the relevant policy and objectives identified in theNSWCDD environmental management system (EMS). The Contractor shall perform work in a manner that conforms to allappropriate EMS Plans of Actions and Milestones identified by the NSWCDD EMS Plan. In the event an environmentalnonconformance or noncompliance associated with the contracted services is identified, the Contractor shall respond and takeimmediate corrective and/or preventative actions to ensure the actions do not continue. In addition, the Contractor shall ensure thattheir employees are aware of their roles and responsibilities identified by the NSWCDD EMS and how these requirements affecttheir work performed under this Task Order.C.10 ON-SITE SAFETY REQUIREMENTSC.10.1 The Contractor shall strictly adhere to Federal Occupational Safety and Health Agency (OSHA) Regulations, EnvironmentalProtection Agency (EPA) Regulations, NSWCDDINST 5100.1 Occupational Safety and Health Instruction (current revision), andall applicable state and local requirements.C.10.2 The Contractor shall ensure that each Contractor employee reads the document entitled, "Occupational Safety and Health(OSH) Policy Statement" within 30 days of commencing performance at NSWCDD.  This document is available at:https://navsea.navy.deps.mil/sites/wc-nswcdd/operations/InfrastructureDiv/SafetyEnvironmental/SitePages/Safety.aspx.C.10.3 The Contractor shall provide each Contractor employee with the training required to do his/her job safely and in compliancewith applicable regulations.  The Contractor shall document and provide, upon request, qualifications, certifications, and licenses asrequired.  Contractors conducting lead or asbestos abatement activities shall also provide a written abatement plan to the Safety &amp;Environmental Branches for review and approval.C.10.4 The Contractor shall provide each Contractor employee with the personal protective equipment required to do their job safelyand in compliance with all applicable regulations.C.10.5 Contractors working with ionizing radiation (radioactive material or machine sources) must comply with NA VSEA S0420-AA-RAD-010 (latest revision) [provided upon request]. Prior to bringing radioactive materials or machine sources on base, theContractor must notify the Command Radiation Safety Officer in the Safety Branch.C.10.6 Contractors shall not procure hazardous material (HAZMAT) on behalf of NSWCDD without following the approvedHAZMAT procurement process in ERP.  For emergency HAZMAT purchases only, the Contractor shall alert the Safety &amp;Environmental Branches and request a waiver to procure outside the HAZMAT procurement process.  For emergency purchases, theContractor shall submit an Authorized Use List Addition form and the Safety Data Sheet to the Safety &amp; Environmental Branchesfor approval.  Once the HAZMAT arrives onsite, the Contractor shall alert the Environmental Branch so that it can be barcoded andadded to the inventory.C.10.7 HAZMAT owned by the Contractor and brought into NSWCDD work spaces for temporary use shall be reviewed andapproved by the Safety &amp; Environmental Branches prior to use.  The Contractor shall submit the Safety Data Sheet that must berouted through the Government supervisor responsible for the specific work area.  This HAZMAT must clearly be marked that it isContractor owned and shall not be stored in NSWCDD spaces.C.10.8 Contractors shall not procure lithium batteries on behalf of NSWCDD without first receiving an approved InitialProcurement Report or certification letter and obtaining approval from the Safety &amp; Environmental Branches.C.10.9 Applicable Contractors shall submit Total Case Incident Rate (TCIR) and Days Away, Restricted and Transfer (DART) ratesfor the past three years upon request by the Safety Branch.  A Contractor meets the definition of applicable if its employees worked1,000 hours or more in any calendar quarter onsite and where oversight is not directly provided in day-to-day activities by thecommand.C.10.10 The Contractor shall report all work-related injuries/illnesses that occurred while working at NSWCDD, or an off-sitelocation (including shipboard), to the Safety Branch.C.11 INFORMATION SYSTEMS (IS) AND COMPUTER USAGEIn accordance with U.S. Navy policy, any personnel, including the Contractor, who utilizes DOD owned systems, shall assume</t>
        </is>
      </c>
      <c r="C32" t="inlineStr">
        <is>
          <t>C.6.1.1</t>
        </is>
      </c>
      <c r="D32" t="n">
        <v>34</v>
      </c>
      <c r="E32" s="6" t="inlineStr">
        <is>
          <t>High</t>
        </is>
      </c>
      <c r="F32" t="inlineStr">
        <is>
          <t>Mandatory</t>
        </is>
      </c>
      <c r="G32" t="inlineStr"/>
      <c r="H32" t="inlineStr">
        <is>
          <t>Not Started</t>
        </is>
      </c>
      <c r="I32" t="inlineStr"/>
      <c r="J32" t="inlineStr"/>
      <c r="K32" t="inlineStr"/>
      <c r="L32" t="inlineStr"/>
      <c r="M32" t="inlineStr"/>
      <c r="N32" t="inlineStr"/>
      <c r="O32" t="inlineStr">
        <is>
          <t>C.9.4, C.9.5, C.9.6, C.10, C.10.1, C.10.2, C.10.3, C.10.4, C.10.5, C.10.6, C.10.7, C.10.8, C.10.9, C.10.10, C.11</t>
        </is>
      </c>
      <c r="P32" t="inlineStr"/>
      <c r="Q32" t="inlineStr"/>
    </row>
    <row r="33">
      <c r="A33" t="inlineStr">
        <is>
          <t>C.6.1.1</t>
        </is>
      </c>
      <c r="B33" s="4" t="inlineStr">
        <is>
          <t>N0017826R30020003 - FINAL
Page 37 of 114
responsibility for adherence to restrictions regarding internet and e-mail usage. Navy policy prohibits racist, sexist, threatening,pornographic, personal business, subversive or politically partisan communications. All personnel, including the Contractor, areaccountable and must act accordingly. DOD computer systems are monitored to ensure that the use is authorized, to facilitateprotection against unauthorized access, and to verify security procedures, survivability and operational security. During monitoring,information may be examined, recorded, copied, and used for authorized purposes. All information, including personal information,placed on or sent over a DOD system may be monitored. Use of a DOD system constitutes consent to monitoring. Unauthorized usemay result in criminal prosecution. Evidence of unauthorized use collected during monitoring may be used as a basis forrecommended administrative, criminal or adverse action.C.12 USE OF INFORMATION SYSTEM (IS) RESOURCES(a) In the event that the Contractor is required to have access to NSWCDD IS resources, the login name used for access shallconform to the NMCI login naming convention. If the Contractor requires access to applications/systems that utilize clientcertificates for authentication, the Contractor is responsible for obtaining requisite certificates from a DOD or External CertificateAuthority(b) If this Task Order requires that the Contractor be granted access and use of NSWCDD IS resources (at any site), the IS shall beaccredited for Contractor use in accordance with procedures specified by the Information Assurance Office.C.12.1 CONTRACTOR USE OF NSWCDD IS RESOURCESIf there is a requirement (specifically delineated elsewhere in this Task Order) for interconnection (e.g., link level or Virtual PrivateNetwork (VPN)) between any facilities and/or ISs owned or operated by the Contractor and ISs owned or operated by NSWCDD,such interconnection shall take place only after approval from the Information Assurance Office. All such connections as well as theISs connected thereto will be accredited in accordance with DOD policy (DODI 8510.01 Risk Management Framework for DoDSystems) by the cognizant Designated Approving Authority (DAA) and comply with the requirements of Chairman Joint Chiefs ofStaff Instruction (CJCSI) 6211.02D Defense Information Systems Network (DISN) Responsibilities regarding Memorandums ofAgreement. All such connections will be made outside the appropriate NSWCDD firewall.C.13 PRIV ACY INFORMATIONWork under this contract may require that personnel have access to Privacy Information.  Contractor personnel shall adhere to thePrivacy Act, Title 5 of the U.S. Code. Section 552a and applicable agency rules and regulations.  Access to and preparation ofsensitive information subject to privacy Act and Business Sensitive safeguarding and destruction may be required in the executionof tasking associated with this contract.  Administratively sensitive information/data must not be shared outside of the specific workareas.  All personnel with access to privacy act data in support of this contract must sign a privacy act certification.C.14 CONTRACTOR IDENTIFICATIONThe Contractor shall be required to obtain identification badges from the Government for all Contractor personnel requiring regularaccess to Government property.  The identification badge shall be visible at all times while employees are on Government property. The Contractor shall furnish all requested information required to facilitate issuance of identification badges and shall conform toapplicable regulations concerning the use and possession of the badges.  The Contractor shall ensure that all identification badgesissued to Contractor employees are returned to the appropriate Security Office within forty-eight (48) hours following completion ofthe contract, relocation or termination of an employee, and upon request by the Contracting Officer.All Contractor personnel shall identify their company affiliation when answering or making telephone calls and sending e-mail andwhen attending meetings where Government personnel or representatives from other Contractors are present.C.15 CONTROL OF CONTRACTOR PERSONNEL(a) The Contractor shall comply with the requirements of NA VSEA and NSWCDD instructions regarding performance inGovernment facilities. All Contractor personnel engaged in work while on Government property shall be subject to all applicableDOD and Navy Standards of Conduct.(b) The Contractor shall be required to obtain identification badges from the Government for all Contractor personnel requiringregular access to Government property. When on-site in Government office spaces, laboratories, test facilities, or ship assets,Contractor employees shall be clearly identified as a Contractor (e.g., utilizing badge identifications and sign identifications in officespaces). The identification badge shall be visible at all times while employees are on Government property. The Contractor shallfurnish all requested information required to facilitate issuance of identification badges and shall conform to applicable regulationsin the Department of Defense Manual (DODM) 1000.13 DoD Identification (ID) Cards ID Card Life-Cycle concerning the use andpossession of the badges.(c) The Contractor shall ensure that all identification badges issued to Contractor employees are returned to the appropriate SecurityOffice within 48 hours following completion of the Task Order, relocation or termination of an employee, and upon request by theContracting Officer.</t>
        </is>
      </c>
      <c r="C33" t="inlineStr">
        <is>
          <t>C.6.1.1</t>
        </is>
      </c>
      <c r="D33" t="n">
        <v>34</v>
      </c>
      <c r="E33" s="6" t="inlineStr">
        <is>
          <t>High</t>
        </is>
      </c>
      <c r="F33" t="inlineStr">
        <is>
          <t>Mandatory</t>
        </is>
      </c>
      <c r="G33" t="inlineStr"/>
      <c r="H33" t="inlineStr">
        <is>
          <t>Not Started</t>
        </is>
      </c>
      <c r="I33" t="inlineStr"/>
      <c r="J33" t="inlineStr"/>
      <c r="K33" t="inlineStr"/>
      <c r="L33" t="inlineStr"/>
      <c r="M33" t="inlineStr"/>
      <c r="N33" t="inlineStr"/>
      <c r="O33" t="inlineStr">
        <is>
          <t>C.12, C.12.1, C.13, C.14, C.15</t>
        </is>
      </c>
      <c r="P33" t="inlineStr"/>
      <c r="Q33" t="inlineStr"/>
    </row>
    <row r="34">
      <c r="A34" t="inlineStr">
        <is>
          <t>C.6.1.1</t>
        </is>
      </c>
      <c r="B34" s="4" t="inlineStr">
        <is>
          <t>All Contractor personnel shall identify their company affiliation when answering or making telephone calls and sending emailand when attending meetings where Government personnel or representatives from other Contractors are present. In addition,Contractor personnel cannot lead/manage/supervise Government personnel. Contractor program/project managers shall be clearlyidentified and known as such by Government employees.(e) All persons engaged in work while on Government property shall be subject to search of their persons (no bodily search) andvehicles at any time by the Government and shall report any known or suspected security violations to the appropriate SecurityDepartment. Assignment, transfer, and reassignment of Contractor personnel shall be at the discretion of the Contractor.However, when the Government directs, the Contractor shall remove from Task Order performance any person who endangers life,property, or national security through improper conduct.C.16 CONTRACT PERSONNEL ADMINISTRATIONWhen on-site in Government office spaces, laboratories, test facilities, or ship assets, Contractor employees shall be clearlyidentified as a Contractor (e.g., utilizing badge identifications and sign identifications in office spaces).  In addition, Contractoremployees shall identify themselves as Contractor personnel when answering telephones and sending e-mails.  Contractor personnelcannot lead/manage/supervise Government personnel.  Contractor program/project managers shall be clearly identified and knownas such by Government employees.  As circumstances permit, frequent (at least monthly) meetings are conducted between the CORand the Contractor organization PM/project manager.C.17 TERMINATION OF EMPLOYEES WITH U.S GOVERNMENT BADGES(a) The Contractor shall ensure that all employees who have a DoD Common Access Card (CAC), turn in the CAC immediatelyupon termination of their employment under this Task Order.  The above requirement shall be made a part of the standard employeefacility clearance procedures for all separated personnel.  The Contractor shall advise Command Physical Security of all changes intheir personnel requiring DoD base access.(b) For involuntarily separated personnel and those separated under adverse circumstances, the Contractor shall notify CommandPhysical Security in advance of the date, time, and location where the Command representative retrieve the DOD CAC prior to theemployee departing the Contractor’ s facility. In the event the employee is separated in his or her absence, the Contractor shallimmediately notify Command Physical Security of the separation and make arrangements between the former employee andCommand Physical Security for the return of the CAC. If circumstances arise which necessitate urgent revocation of a CAC afternormal business hours, the Mission Partner Identity, Credential and Access Management (MP ICAM) Mission Partner AffiliationSponsor (MPAS) shall be immediately contacted. MPAS contact information will be provided by the COR after Task Order award.C.18 LABOR CATEGORIES/QUALIFICATIONSSee Attachment J.2, Personnel Qualifications.C.19 NON-PERSONAL SERVICES/INHERENTLY GOVERNMENT FUNCTIONS(a) The Government will neither supervise Contractor employees nor control the method by which the Contractor performs therequired tasks.  The Government will not direct the hiring, dismissal or reassignment of Contractor personnel.  Under nocircumstances shall the Government assign tasks to, or prepare work schedules for, individual Contractor employees.  It shall be theresponsibility of the Contractor to manage its employees and to guard against any actions that are of the nature of personal servicesor give the perception that personal services are being provided. If the Contractor feels that any actions constitute, or are perceivedto constitute personal services, it shall be the Contractor's responsibility to notify the Contracting Officer immediately in accordancewith FAR 52.243-7.(b) Inherently-Governmental functions are not within the scope of this contract.  Decisions relative to programs supported by theContractor shall be the sole responsibility of the Government.  The Contractor may be required to attend technical meetings for theGovernment; however, they are not, under any circumstances, authorized to represent the Government or give the appearance thatthey are doing so.C.20 NON-DISCLOSURE AGREEMENTS (NDAs)(a) Access to and preparation of sensitive information subject to Privacy Act and Business Sensitive safeguarding and destructionmay be required in the execution of tasking associated with this Task Order. NDAs may be utilized to allow for access to companysensitive/proprietary or Privacy Act data. For tasks requiring NDAs, the Contractor shall obtain appropriate agreements for all theiremployees that are associated with the task requiring such an agreement.(b) Contractor personnel may be required, from time to time, to sign NDAs as applicable to specific SOW tasking. The COR willnotify the Contractor of the number and type of personnel that will need to sign the NDAs. The signed NDAs shall be executed priorto accessing data or providing support for information that must be safeguarded. Copies of all executed NDAs shall be provided tothe COR for endorsement and retention.</t>
        </is>
      </c>
      <c r="C34" t="inlineStr">
        <is>
          <t>C.6.1.1</t>
        </is>
      </c>
      <c r="D34" t="n">
        <v>34</v>
      </c>
      <c r="E34" s="6" t="inlineStr">
        <is>
          <t>High</t>
        </is>
      </c>
      <c r="F34" t="inlineStr">
        <is>
          <t>Mandatory</t>
        </is>
      </c>
      <c r="G34" t="inlineStr"/>
      <c r="H34" t="inlineStr">
        <is>
          <t>Not Started</t>
        </is>
      </c>
      <c r="I34" t="inlineStr"/>
      <c r="J34" t="inlineStr"/>
      <c r="K34" t="inlineStr"/>
      <c r="L34" t="inlineStr"/>
      <c r="M34" t="inlineStr"/>
      <c r="N34" t="inlineStr"/>
      <c r="O34" t="inlineStr">
        <is>
          <t>Attachment J, FAR 52.243-7, C.16, C.17, C.18, J.2, C.19, C.20</t>
        </is>
      </c>
      <c r="P34" t="inlineStr"/>
      <c r="Q34" t="inlineStr"/>
    </row>
    <row r="35">
      <c r="A35" t="inlineStr">
        <is>
          <t>C.21</t>
        </is>
      </c>
      <c r="B35" s="4" t="inlineStr">
        <is>
          <t>C.21 DATA RIGHTS(a) This is a contract for the provision of services by the Contractor.  In accordance with law and policy and with the provisions ofthis contract, Contractor personnel shall perform as required by this contract, and such work shall include working in cooperationand collaboration with Government Personnel.(b) Performance of this contract work shall require, among other things, the Contractor to access and use Government-owned datasuch as software, documentation, technical data, process and report templates, and the like.  Any and all software, documentation,technical data, and the like generated from such access and use shall also be and remain Government-owned data and shall beincluded in an appropriate technical report or other deliverable.  The Contractor’ s use of and access to Government-owned data shallneither constitute nor create any Contractor rights in or license to such data; the only Contractor permissions to use and access thedata shall be those necessarily required by the Contractor to perform the work herein.(c) On occasion and incidental to the provision of support services by the Contractor, the Contractor may be tasked to independentlycreate discrete new data products (e.g., technical analysis, drawings) that do not derive from existing data.  Such products shall bespecifically identified by the Government in writing and shall be delivered pursuant to the appropriate Contract Data RequirementsList (CDRL) document. Rights in such products shall be governed by the appropriate contract clauses.C.22 DIGITAL DELIVERY OF DATA(a) Delivery by the Contractor to the Government of certain technical data and other information is now frequently required to bemade in digital form rather than in hardcopy form. The method of delivery of such data and/or other information (i.e., in electronic,digital, paper hardcopy, or other form) shall not be deemed to affect in any way either the identity of the information (i.e., as“technical data” or “computer software”) or the Government’ s and the Contractor’ s respective rights therein.(b) Whenever technical data and/or computer software deliverables required by this contract are to be delivered in digital form, anyauthorized, required, or permitted markings relating to the Government’ s rights in and to such technical data and/or computersoftware must also be digitally included as part of the deliverable and on or in the same medium used to deliver the technical dataand/or software. Such markings must be clearly associated with the corresponding technical data and/or computer software to whichthe markings relate and must be included in such a way that the marking(s) appear in human-readable form when the technical dataand/or software is accessed and/or used. Such markings must also be applied in conspicuous human- readable form on a visibleportion of any physical medium used to effect delivery of the technical data and/or computer software. Nothing in this paragraphshall replace or relieve the Contractor’ s obligations with respect to requirements for marking technical data and/or computersoftware that are imposed by other applicable clauses such as, where applicable and without limitation, DFARS 252.227-7013and/or DFARS 252.227-7014.(c) Digital delivery means (such as but not limited to Internet tools, websites, shared networks, and the like) sometimes require, as acondition for access to and/or use of the means, an agreement by a user to certain terms, agreements, or other restrictions such as butnot limited to “Terms of Use,” licenses, or other restrictions intended to be applicable to the information being delivered via thedigital delivery means. The Contractor expressly acknowledges that, with respect to deliverables made according to this contract, nosuch terms, agreements, or other restrictions shall be applicable to or enforceable with respect to such deliverables unless suchterms, agreements, or other restrictions expressly have been accepted in writing by the Procuring Contracting Officer; otherwise, theGovernment’ s rights in and to such deliverables shall be governed exclusively by the terms of this contract.C.23 OPERATION OF GOVERNMENT VEHICLES(a) The Contractor may be required to drive Government vehicles onsite at NSWC, Dahlgren Division in the performance of dutiesassociated with the tasking of this contract.  Government provided vehicles shall be used solely for the purposes as described in thePerformance Work Statement.  All drivers must present proof of a valid state driver's license prior to operating a Governmentvehicle.  A valid state driver's license shall be accepted as proper authority for operation of vehicles up to and including tenthousand (10,000) pounds gross vehicle weight and carrying less than fifteen (15) passengers.  For vehicles over ten thousand(10,000) pounds and carrying more than fifteen (15) passengers a valid state driver's license and proof of required Navy training forvehicle are required.  The state driver's license must be valid for the class and weight of the vehicle which the Contractor will beoperating.(b) An authorized drivers list shall be added to the Monthly Status Report and maintained by the Contractor.  The Contractor shallsubmit within the preceding 30 days a Division of Motor Vehicles (DMV) driving record to the COR for review and approval, priorto adding an individual to the Authorized Driver List.  No DUI or DWI convictions in the past 11 years will be considered.C.24 SHIPBOARD PROTOCOL(a) This tasking may involve platform engineering and fleet support onboard ship. As such, the Contractor is reminded of itsresponsibility to assure that shipboard protocol is stringently followed. Specifically, visit clearances must be arranged through theGovernment sponsor and must be forwarded to the individual command being visited as well as to all supporting commands, such asthe base, squadron, tender, etc. that the visitor must pass through to get to the ship; the Contractor is responsible for obtaining and</t>
        </is>
      </c>
      <c r="C35" t="inlineStr">
        <is>
          <t>C.21</t>
        </is>
      </c>
      <c r="D35" t="n">
        <v>42</v>
      </c>
      <c r="E35" s="6" t="inlineStr">
        <is>
          <t>High</t>
        </is>
      </c>
      <c r="F35" t="inlineStr">
        <is>
          <t>Mandatory</t>
        </is>
      </c>
      <c r="G35" t="inlineStr"/>
      <c r="H35" t="inlineStr">
        <is>
          <t>Not Started</t>
        </is>
      </c>
      <c r="I35" t="inlineStr"/>
      <c r="J35" t="inlineStr"/>
      <c r="K35" t="inlineStr"/>
      <c r="L35" t="inlineStr"/>
      <c r="M35" t="inlineStr"/>
      <c r="N35" t="inlineStr"/>
      <c r="O35" t="inlineStr">
        <is>
          <t>DFARS 252.227-7013, DFARS 252.227-7014, C.21, C.22, C.23, C.24</t>
        </is>
      </c>
      <c r="P35" t="inlineStr"/>
      <c r="Q35" t="inlineStr"/>
    </row>
    <row r="36">
      <c r="A36" t="inlineStr">
        <is>
          <t>C.21</t>
        </is>
      </c>
      <c r="B36" s="4" t="inlineStr">
        <is>
          <t>N0017826R30020003 - FINAL
Page 40 of 114
maintaining specialized training (i.e. nuclear awareness, safety, quality control, etc.) and certification (i.e. Submarine SafetyProgram(SUBSAFE) certificates etc.); personnel performing on board U.S. Navy Ships must have at a minimum, a current SECRETSecurity Clearance; if not led by a Government representative the Contractor is responsible for briefing the ship/command uponarrival; and the Contractor is responsible for debriefing the ship/command upon departure to include operational status of theequipment.(b) The Contractor shall ensure its personnel adhere to these requirements when performing shipboard tasking. Compliance shall bereported in the trip report (CDRL A028).(c) All assigned personnel must possess, at a minimum, a current SECRET Security Clearance.(d) All personnel, while shipboard, shall conform to the rules and regulations of the ship. It is the responsibility of the Contractor todetermine the proper rules, regulations, actions, policy and procedures.(e) Alarms - actual or drill - shall be reported and procedures appropriately adhered.(f) Safety - hardhats, tag-outs, safety shoes, goggles, safety harnesses, etc., as appropriate - shall be utilized.(g) Some shipboard tasking may require ascending and descending vertical ladders to and from the highest points of the ship bothpier side and underway.(h) Each Contractor employee must be able stand; walk; climb stairs; balance; stoop; kneel; crouch or crawl around and lift amaximum of 50 lbs. (single person) in the test environment.(i) HAZMAT must be used safely according to local Standard Operating Procedures (SOPs).(j) The designated team lead shall, upon arrival, brief the Commanding Officer or his/her designated representative as to the purposeof the visit and expected duration.(k) The designated team lead shall, upon final departure, debrief the Commanding Officer or his/her designated representative as tothe success of the tasking and the operational condition of affected equipment.(l) The Contractor shall comply with the Commander, U.S Fleet Forces Command (COMUSFLTFORCOM)/Commander, U.S.Pacific Fleet (COMPACFLT) INSTRUCTION 6320.3B regarding the medical and dental screening of all personnel that mayembark aboard any U.S. Navy vessel.(m) The Contractor shall ensure that repair and maintenance employees working aboard vessels, dry docks and piers shall have avalid 10 hour OSHA Maritime Shipyard Employment Course #7615 completion card within 60 days of employment.C.25 LABOR TRIPWIRE JUSTIFICATIONSThe Contractor shall monitor monthly average actual spend rates compared to monthly average fully burdened proposed rates on aper CLIN basis. The Contractor shall advise the COR and the Contract Specialist, by email, of any variation of actual-to-proposedrate averages greater than 15 percent. The Contractor's notification shall include the following information:(a) an actual vs. proposed average dollar per hour comparison;(b) the percentage variation between the actual and proposed average;(c) explanation of what is causing the variation;(d) whether or not the Contractor expects this condition is temporary or permanent;(e) the Contractor's plan for addressing and correcting the variation; and(f) additional information as requested by the Government to assist in reporting per the NA VSEAINST 4200.19(series) Planning,Use, and Control of Services Contracting.C.26 POST AWARD CONTRACTOR PERSONNEL APPROV AL(a) See NA VSEA C-237-H002 Substitution of Key Personnel, regarding substitution of key personnel. Requests for post awardapproval of additional and replacement key personnel shall be submitted via email. Email submissions shall be made simultaneouslyto the Contract Specialist, COR, and the Alternate COR. Electronic notification via email from the Contract Specialist will serve aswritten approval or disapproval on behalf of the Contracting Officer. This approval is required before an individual may begincharging to the Task Order.(b) Resumes shall be submitted in the format required in C.20. However, minor deviations in formatting may be overlooked,providing sufficient information is submitted for an independent comparison of the individual's qualifications with Labor Categoryrequirements.</t>
        </is>
      </c>
      <c r="C36" t="inlineStr">
        <is>
          <t>C.21</t>
        </is>
      </c>
      <c r="D36" t="n">
        <v>42</v>
      </c>
      <c r="E36" s="6" t="inlineStr">
        <is>
          <t>High</t>
        </is>
      </c>
      <c r="F36" t="inlineStr">
        <is>
          <t>Mandatory</t>
        </is>
      </c>
      <c r="G36" t="inlineStr"/>
      <c r="H36" t="inlineStr">
        <is>
          <t>Not Started</t>
        </is>
      </c>
      <c r="I36" t="inlineStr"/>
      <c r="J36" t="inlineStr"/>
      <c r="K36" t="inlineStr"/>
      <c r="L36" t="inlineStr"/>
      <c r="M36" t="inlineStr"/>
      <c r="N36" t="inlineStr"/>
      <c r="O36" t="inlineStr">
        <is>
          <t>C.25, C.26, C.20</t>
        </is>
      </c>
      <c r="P36" t="inlineStr"/>
      <c r="Q36" t="inlineStr"/>
    </row>
    <row r="37">
      <c r="A37" t="inlineStr">
        <is>
          <t>C.27</t>
        </is>
      </c>
      <c r="B37" s="4" t="inlineStr">
        <is>
          <t>C.27 POST AWARD RESUME FORMAT AND CONTENT REQUIREMENTSIn order to facilitate evaluation of resumes submitted in accordance with C.19 and C-237-H002, all résumés shall be provided in thefollowing format and are not to exceed three (3) pages each. The page limit does not apply to the certification and signature.(a) HEADER· Complete Name· Current Employer· Task Order Labor Category· Contractor Labor Category· Percentage of time to be allocated to this effort upon award of this Task Order· Current security clearance level per DISS (identify if interim or final)· Current work location· Planned work location upon award of this Task OrderNote if the individual is key on another contract with a Period of Performance that will overlap this requirement. Note plans tosatisfy both contracts if the candidate is approved.(b) EDUCATION/PROFESSIONAL DEVELOPMENTShow any degrees, honors, publications, professional licenses, specialized certifications, and other evidence of professionalaccomplishments that are directly relevant and will impact the Offeror’ s qualifications to perform under the Task Order. Foreducation and training, the following format is preferred:· Academic: degree(s); date(s); institution; major/minor· Academic: course title, date(s), approximate length (as cited in labor categories)· Non-Academic: course title, date(s), approximate length· Professional licenses and specialized certifications. (Note the date obtained for each, as well as the date when eachlicense/certification requires renewal.)(c) CHRONOLOGICAL WORK HISTORY/EXPERIENCE(i) Employer: dates (month/year); title(s) held(ii) Work experience shall be presented separately for each employer, clearly marked with proper category of experience (i.e.,relevant experience; nonrelevant experience.). If relevant and nonrelevant experience were obtained while at the same employer,separate time periods shall be noted for each assignment. Responsibilities shall be discussed in sufficient detail for each assignmentso as to permit comparison with experience levels in Attachment J.2, Personnel Qualifications. Specific examples of workassignments, accomplishments, and products shall be provided.(iii) Phrases such as “assisted with,” “participated in,” or “supported” are unacceptable except as introductory to a detaileddescription of the actual work performed. If no such description is provided, the sentence or bulleted information will not beconsidered in the résumé evaluation process.(iv) Résumé information is encouraged to be presented in bullet format.(v) Lack of specific definition in job responsibilities, services performed, or products produced may be viewed as a lack ofunderstanding of the Labor Category requirements.(vi) All relevant military experience claimed shall be described such that each relevant tour is treated as a separate employer. Timeframes/titles /responsibilities shall be provided in accordance with the level of detail prescribed above. Military experience notdocumented in this manner will not be considered.(vii) Gaps in experience shall be explained.(viii) Certification of correctness of information signed and dated by both the person named and the Contractor. The employeecertification shall include the following statement:CERTIFICATION: “I certify that the experience and professional development described herein are complete and accurate in allrespects. I consent to the disclosure of my résumé for NSWCDD Task Order TBD by [insert company name] and intend to makemyself available to work under the Task Order.”___________________________________ __________________________________</t>
        </is>
      </c>
      <c r="C37" t="inlineStr">
        <is>
          <t>C.27</t>
        </is>
      </c>
      <c r="D37" t="n">
        <v>44</v>
      </c>
      <c r="E37" s="6" t="inlineStr">
        <is>
          <t>High</t>
        </is>
      </c>
      <c r="F37" t="inlineStr">
        <is>
          <t>Mandatory</t>
        </is>
      </c>
      <c r="G37" t="inlineStr"/>
      <c r="H37" t="inlineStr">
        <is>
          <t>Not Started</t>
        </is>
      </c>
      <c r="I37" t="inlineStr"/>
      <c r="J37" t="inlineStr"/>
      <c r="K37" t="inlineStr"/>
      <c r="L37" t="inlineStr"/>
      <c r="M37" t="inlineStr"/>
      <c r="N37" t="inlineStr"/>
      <c r="O37" t="inlineStr">
        <is>
          <t>Attachment J, C.27, C.19, J.2</t>
        </is>
      </c>
      <c r="P37" t="inlineStr"/>
      <c r="Q37" t="inlineStr"/>
    </row>
    <row r="38">
      <c r="A38" t="inlineStr">
        <is>
          <t>C.27</t>
        </is>
      </c>
      <c r="B38" s="4" t="inlineStr">
        <is>
          <t>N0017826R30020003 - FINAL
Page 42 of 114
Employee Signature and Date Contractor Signature and Date(ix) Résumés without this certification, together with either a handwritten or digital signature, will be unacceptable and will not beconsidered.(x) If the employee is not a current employee of the Contractor (or a Sub-contractor), a copy of the accepted offer letter shall beprovided. The letter shall identify the projected start date.CLAUSES INCORPORATED BY FULL TEXTC-202-H001 ADDITIONAL DEFINITIONS—BASIC (NA VSEA) (OCT 2018)(a)  Department - means the Department of the Navy.(b)  Commander, Naval Sea Systems Command - means the Commander of the Naval Sea Systems Command of the Department ofthe Navy or his duly appointed successor.(c)  References to The Federal Acquisition Regulation (FAR) - All references to the FAR in this contract shall be deemed to alsoreference the appropriate sections of the Defense FAR Supplement (DFARS), unless clearly indicated otherwise.(d)  National Stock Numbers - Whenever the term Federal Item Identification Number and its acronym FIIN or the term FederalStock Number and its acronym FSN appear in the contract, order or their cited specifications and standards, the terms and acronymsshall be interpreted as National Item Identification Number (NIIN) and National Stock Number (NSN) respectively which shall bedefined as follows:         (1)  National Item Identification Number (NIIN).  The number assigned to each approved Item Identification under the FederalCataloging Program.  It consists of nine numeric characters, the first two of which are the National Codification Bureau (NCB)Code.  The remaining positions consist of a seven digit non-significant number.         (2)  National Stock Number (NSN).  The National Stock Number (NSN) for an item of supply consists of the applicablefour-position Federal Supply Class (FSC) plus the applicable nine-position NIIN assigned to the item of supply.(End of Text)C-204-H001 USE OF NA VY SUPPORT CONTRACTORS FOR OFFICIAL CONTRACT FILES (NA VSEA) (OCT 2018)(a) NA VSEA may use a file room management support Contractor, hereinafter referred to as "the support Contractor", to manage itsfile room, in which all official contract files, including the official file supporting this procurement, are retained.  These official filesmay contain information that is considered a trade secret, proprietary, business sensitive or otherwise protected pursuant to law orregulation, hereinafter referred to as “protected information”.  File room management services consist of any of the following:secretarial or clerical support; data entry; document reproduction, scanning, imaging, or destruction; operation, management, ormaintenance of paper-based or electronic mail rooms, file rooms, or libraries; and supervision in connection with functions listedherein.(b) The cognizant Contracting Officer will ensure that any NA VSEA contract under which these file room management services areacquired will contain a requirement that:         (1) The support Contractor not disclose any information;         (2) Individual employees are to be instructed by the support Contractor regarding the sensitivity of the official contract files;         (3) The support Contractor performing these services be barred from providing any other supplies and/or services, orcompeting to do so, to NA VSEA for the period of performance of its contract and for an additional three years thereafter unlessotherwise provided by law or regulation; and,         (4) In addition to any other rights the Contractor may have, it is a third party beneficiary who has the right of direct actionagainst the support Contractor, or any person to whom the support contractor has released or disclosed protected information, for theunauthorized duplication, release, or disclosure of such protected information.(c) Execution of this contract by the Contractor is considered consent to NA VSEA's permitting access to any information,irrespective of restrictive markings or the nature of the information submitted, by its file room management support Contractor forthe limited purpose of executing its file room support contract responsibilities.(d) NA VSEA may, without further notice, enter into contracts with other Contractor for these services.  Contractors should enter intoseparate non-disclosure agreements with the file room Contractor.  Contact the Procuring Contracting Officer for Contractorspecifics.  However, any such agreement will not be considered a prerequisite before information submitted is stored in the file roomor otherwise encumber the Government.C-204-H002 IMPLEMENTATION OF ENHANCED SECURITY CONTROLS ON SELECT DEFENSE INDUSTRIALBASE PARTNER NETWORKS (NA VSEA) (SEP 2024)</t>
        </is>
      </c>
      <c r="C38" t="inlineStr">
        <is>
          <t>C.27</t>
        </is>
      </c>
      <c r="D38" t="n">
        <v>44</v>
      </c>
      <c r="E38" s="6"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C.27</t>
        </is>
      </c>
      <c r="B39" s="4" t="inlineStr">
        <is>
          <t>System Security Plan (SSP) Reviewsa) Within thirty (30) days of contract award, the Contractor shall make its System Security Plan(s) (SSP(s)) for its coveredContractor IS(s) available for review by the Government at the Contractor’ s facility.  The SSP(s) shall implement the securityrequirements in Defense Federal Acquisition Regulation Supplement (DFARS) clause 252.204-7012, which is included in thiscontract.  The Contractor shall fully cooperate in the Government’ s review of the SSPs at the Contractor’ s facility.b) If the Government determines that the SSP(s) does not adequately implement the requirements of DFARS clause 252.204-7012then the Government shall notify the Contractor of each identified deficiency.  The Contractor shall correct any identifieddeficiencies within thirty (30) days of notification by the Government.  The Contracting Officer may provide for a correction periodlonger than thirty (30) days. The Contractor shall immediately notify the Contracting Officer of any failure or anticipated failure tomeet a milestone in such work area.c) Upon the conclusion of the correction period, the Government may conduct a follow-on review of the SSP(s) at the Contractor’ sfacilities.  The Government may continue to conduct follow-on reviews until the Government determines that the Contractor hascorrected all identified deficiencies in the SSP(s).d) The Government may, in its sole discretion, conduct subsequent reviews at the Contractor’ s site to verify the information in theSSP(s).  The Government will conduct such reviews at least every three (3) years (measured from the date of contract award) andmay conduct such reviews at any time upon thirty (30) days’ notice to the Contractor.2. Compliance to NIST 800-171a) The Contractor shall fully implement the CUI Security Requirements (Requirements) and associated Relevant Security Controls(Controls) in NIST Special Publication 800-171 (Rev. 1) (NIST SP 800-171), or establish a SSP(s) and work area that varies fromNIST 800-171 only in accordance with DFARS clause 252.204-7012(b)(2), for all covered Contractor ISs affecting this contract.b) Notwithstanding the allowance for such variation, the Contractor shall identify in any SSP and work area their plans to implementthe following, at a minimum:(1) Implement Control 3.5.3 (Multi-factor authentication).  This means that multi-factor authentication is required for all users,privileged and unprivileged accounts that log into a network. In other words, any system that is not standalone should be required toutilize acceptable multi-factor authentication.  For legacy systems and systems that cannot support this requirement, such as CNCequipment, etc., a combination of physical and logical protections acceptable to the Government may be substituted;(2) Implement Control 3.1.5 (least privilege) and associated Controls, and identify practices that the Contractor implements torestrict the unnecessary sharing with, or flow of, covered defense information to its Sub-contractors, suppliers, or vendors based onneed-to-know principles;(3) Implement Control 3.1.12 (monitoring and control remote access sessions) - Require monitoring and controlling of remoteaccess sessions and include mechanisms to audit the sessions and methods.(4) Audit user privileges on at least an annual basis;(5) Implement:i. Control 3.13.11 (FIPS 140-2 validated cryptology or implementation of NSA or NIST approved algorithms (i.e. FIPS 140-2Annex A: AES or Triple DES) or compensating controls as documented in a SSP and work area); and,ii. NIST Cryptographic Algorithm Validation Program (CA VP) (see https://csrc.nist.gov/projects/cryptographic-algorithm-validation-program);(6) Implement Control 3.13.16 (Protect the confidentiality of CUI at rest) or provide work areas for implementation which shall beevaluated by the Navy for risk acceptance.(7) Implement Control 3.1.19 (encrypt CUI on mobile devices) or provide a plan of action for implementation which can beevaluated by the Government Program Manager for risk to the program.3. Cyber Incident Responsea) The Contractor shall, within fifteen (15) days of discovering the cyber incident (inclusive of the 72-hour reporting period), deliverall data used in performance of the contract that the Contractor determines is impacted by the incident and begin assessment ofpotential warfighter/program impact.b) Incident data shall be delivered in accordance with the Department of Defense Cyber Crimes Center (DC3) Instructions forSubmitting Media available at http://www.acq.osd.mil/dpap/dars/pgi/docs/Instructions_for_Submitting_Media.docx. In delivery ofthe incident data, the Contractor shall, to the extent practical, remove Contractor-owned information from Government covereddefense information.</t>
        </is>
      </c>
      <c r="C39" t="inlineStr">
        <is>
          <t>C.27</t>
        </is>
      </c>
      <c r="D39" t="n">
        <v>44</v>
      </c>
      <c r="E39" s="6" t="inlineStr">
        <is>
          <t>High</t>
        </is>
      </c>
      <c r="F39" t="inlineStr">
        <is>
          <t>Mandatory</t>
        </is>
      </c>
      <c r="G39" t="inlineStr"/>
      <c r="H39" t="inlineStr">
        <is>
          <t>Not Started</t>
        </is>
      </c>
      <c r="I39" t="inlineStr"/>
      <c r="J39" t="inlineStr"/>
      <c r="K39" t="inlineStr"/>
      <c r="L39" t="inlineStr"/>
      <c r="M39" t="inlineStr"/>
      <c r="N39" t="inlineStr"/>
      <c r="O39" t="inlineStr">
        <is>
          <t>m.3</t>
        </is>
      </c>
      <c r="P39" t="inlineStr"/>
      <c r="Q39" t="inlineStr"/>
    </row>
    <row r="40">
      <c r="A40" t="inlineStr">
        <is>
          <t>C.27</t>
        </is>
      </c>
      <c r="B40" s="4" t="inlineStr">
        <is>
          <t>If the Contractor subsequently identifies any such data not previously delivered to DC3, then the Contractor shall immediatelynotify the contracting officer in writing and shall deliver the incident data within ten (10) days of identification.  In such a case, theContractor may request a delivery date later than ten (10) days after identification.  The Contracting Officer will approve ordisapprove the request after coordination with DC3.4. Naval Criminal Investigative Service (NCIS) OutreachThe Contractor shall engage with NCIS industry outreach efforts and consider recommendations for hardening of coveredContractor ISs affecting DON programs and technologies.5. NCIS/Industry Monitoringa) In the event of a cyber incident or at any time the Government has indication of a vulnerability or potential vulnerability, theContractor shall cooperate with the Naval Criminal Investigative Service (NCIS), which may include cooperation related to: threatindicators; pre-determined incident information derived from the Contractor's infrastructure systems; and the continuous provisionof all Contractor, Sub-contractor or vendor logs that show network activity, including any additional logs the Contractor,Sub-contractor or vendor agrees to initiate as a result of the cyber incident or notice of actual or potential vulnerability.b) If the Government determines that the collection of all logs does not adequately protect its interests, the Contractor and NCIS willwork together to implement additional measures, which may include allowing the installation of an appropriate network device thatis owned and maintained by NCIS, on the Contractor's ISs or information technology assets.  The specific details (e.g., type ofdevice, type of data gathered, monitoring period) regarding the installation of an NCIS network device shall be the subject of aseparate agreement negotiated between NCIS and the Contractor.  In the alternative, the Contractor may install network sensorcapabilities or a network monitoring service, either of which must be reviewed for acceptability by NCIS.  Use of this alternativeapproach shall also be the subject of a separate agreement negotiated between NCIS and the Contractor.c) In all cases, the collection or provision of data and any activities associated with this statement of work shall be in accordancewith federal, state, and non-US law.C-211-H016 SPECIFICATIONS AND STANDARDS (NA VSEA) (OCT 2018)</t>
        </is>
      </c>
      <c r="C40" t="inlineStr">
        <is>
          <t>C.27</t>
        </is>
      </c>
      <c r="D40" t="n">
        <v>44</v>
      </c>
      <c r="E40" s="6"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C.27</t>
        </is>
      </c>
      <c r="B41" s="4" t="inlineStr">
        <is>
          <t>Definitions.(i)  A "zero-tier reference" is a specification, standard, or drawing that is cited in the contract (including its attachments).(ii)  A "first-tier reference" is either: (1) a specification, standard, or drawing cited in a zero-tier reference, or (2) a specificationcited in a first-tier drawing.(b)  Requirements.  All zero-tier and first-tier references, as defined above, are mandatory for use.  All lower tier references shall beused for guidance only unless specifically identified below.(End of Text)C-211-H017 UPDATING SPECIFICATIONS AND STANDARDS (NA VSEA) (DEC 2018)The contractor may request that this contract be updated to include the current version of the applicable specification or standard ifthe update does not affect the form, fit or function of any deliverable item or increase the cost/price of the item to the Government.The contractor should submit update requests to the Procuring Contracting Officer with copies to the Administrative ContractingOfficer and cognizant program office representative for approval. The contractor shall perform the contract in accordance with theexisting specifications and standards until notified of approval/disapproval of its request to update by the Procuring ContractingOfficer. Any approved alternate specifications or standards will be incorporated into the contract.(End of Text)C-211-H018 APPROV AL BY THE GOVERNMENT (NA VSEA) (JAN 2019)Approval by the Government as required under this contract and applicable specifications shall not relieve the Contractor of itsobligation to comply with the specifications and with all other requirements of the contract, nor shall it impose upon theGovernment any liability it would not have had in the absence of such approval.C-212-W002 COMMERCIAL SUPPLIER AGREEMENTS (NA VSEA) (MAR 2019)(a)  Commercial Supplier Agreement means End User License Agreement (EULA), Terms of Service (TOS), or similar legalinstrument or agreement.(b)  Any Commercial Supplier Agreement must be provided in full text as part of a quote or offer without hyperlinks.(c)  The contract/order Schedule and Federal Acquisition Regulation (FAR) 52.212-4, Contract Terms and Conditions—CommercialItems, shall take precedence over any conflicting provisions in a Commercial Supplier Agreement.</t>
        </is>
      </c>
      <c r="C41" t="inlineStr">
        <is>
          <t>C.27</t>
        </is>
      </c>
      <c r="D41" t="n">
        <v>44</v>
      </c>
      <c r="E41" s="6"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C.27</t>
        </is>
      </c>
      <c r="B42" s="4" t="inlineStr">
        <is>
          <t>If any requirement in the Commercial Supplier Agreement conflicts with Federal law or regulations (see FAR 12.212(a)), thefollowing shall apply:(i)  Any such requirement is unenforceable against the Government.(ii)  Neither the Government nor any Government authorized end user shall be deemed to have agreed to such requirement by virtueof it appearing in the Commercial Supplier Agreement.  If the Commercial Supplier Agreement is invoked through an “I agree”click box or other comparable mechanism (e.g., “click-wrap” or “browse-wrap” agreements), execution does not bind theGovernment or any Government authorized end user to such requirement.(iii)  Any such requirement is deemed to be stricken from the Commercial Supplier Agreement.(e)  Automatic renewals.  License Agreements will expire at end of the term identified in the Purchase Order/Contract.  Automaticrenewals are not permitted and any such provision is void.(f)  Changes to the Commercial Supplier Agreement.  Unilateral changes of the Commercial Supplier Agreement are impermissibleand any requirement authorizing such changes is unenforceable.  Changes must be in writing and executed by both parties to beeffective.(g)  Third Part License (Embedded Software).(i)  The Contractor agrees that it has obtained all necessary licenses for the Government for any third party materials (includingwithout limitation all Open Source licenses) provided within the product.(ii)  Contractor agrees that it complies with and shall continue to comply with all of its obligations under Third Party Licenses(including without limitation all Open Source licenses) associated with any third party materials provided within each product.(iii)  To the extent that the Government’ s use of the software products licensed herein is in compliance with the Contractor’ sCommercial Supplier Agreement, the Government’ s use will also be in compliance with any Third Party Licenses.(h)  Audits.  In lieu of any audit provisions in the Commercial Supplier Agreement, the Government agrees that, no more than onceevery twelve (12) months or within a reasonable time after a transfer, the Contractor shall, upon reasonable notice, have the right torequire that the Government conduct an internal audit to ascertain and verify the number of licenses in use and to verify that theGovernment’ s use of the product is in conformity with this Agreement.  The Government is not required to use any tools providedby the Contractor to conduct the audit and shall not be required to pay for any tools provided by the Contractor to conduct the audit.The results of any such audit shall be kept confidential.If verification discloses that the Government’ s use is not in conformity with this Agreement, the Government agrees to resolve anynoncompliance by either removing or correcting the unlicensed installation and use of the software identified by the audit as not inconformity with this Agreement.(i)  Confidentiality.  Commercial Supplier Agreements’ terms and the final contract pricing may not be deemed confidential.  Othermarked confidential information will be appropriately guarded.(j)  Assignment.  The Government shall have the right, without the prior written consent of the Contractor or its authorized resellers,to assign, reassign, or transfer software licenses among Government employees or the Government’ s rights in the Contractor’ sproduct to any governmental organization that is managed, operated, or controlled by the Government.Such authorization includes sublicensing, and assignment or transfer among or between authorized users. In the event authorizedusers are reorganized or restructured such that their responsibilities and operations are transferred to another government agency, theagency shall have the right to assign the affected program licenses to a successor agency.  The licensed agency and the successoragency agree to be bound to the Commercial Supplier Agreement as modified. The transferee shall be bound by the license metricsand limitations in this license.  Government shall complete any documentation required by the Contractor to facilitate the transfer ofthis license, and continuation of support shall be the responsibility of the transferee.For the avoidance of doubt, any assignment or transfer of licenses of the Contractor’ s products is also subject to all other terms ofthe Commercial Supplier Agreement, as well as the Contractor’ s policies governing product dependencies and versioncompatibility.  Reassignment does not require that the license be under maintenance or support in order to execute a transfer.(k)  Litigation. Any requirement insisting that the commercial supplier or licensor control any litigation arising from thegovernment’ s use of the contractor’ s supplies or services is deleted and unenforceable.(l)  Equitable Remedies.  Equitable remedies, injunctive relief, and binding arbitration requirements shall not be enforced unlessexplicitly authorized by agency guidance or statute.(m)  Venue. Any claim or dispute shall be resolved under the Contract Disputes Act and FAR 52.233-1.  The forum for resolution ofdisputes and applicable statutes of limitation shall be governed by federal law.(n)  Applicable law. In accordance with FAR 52.233-4, United States law shall apply to resolve any claim of breach of this contract</t>
        </is>
      </c>
      <c r="C42" t="inlineStr">
        <is>
          <t>C.27</t>
        </is>
      </c>
      <c r="D42" t="n">
        <v>44</v>
      </c>
      <c r="E42" s="6" t="inlineStr">
        <is>
          <t>High</t>
        </is>
      </c>
      <c r="F42" t="inlineStr">
        <is>
          <t>Mandatory</t>
        </is>
      </c>
      <c r="G42" t="inlineStr"/>
      <c r="H42" t="inlineStr">
        <is>
          <t>Not Started</t>
        </is>
      </c>
      <c r="I42" t="inlineStr"/>
      <c r="J42" t="inlineStr"/>
      <c r="K42" t="inlineStr"/>
      <c r="L42" t="inlineStr"/>
      <c r="M42" t="inlineStr"/>
      <c r="N42" t="inlineStr"/>
      <c r="O42" t="inlineStr">
        <is>
          <t>FAR 12.212, FAR 52.233-1, FAR 52.233-4</t>
        </is>
      </c>
      <c r="P42" t="inlineStr"/>
      <c r="Q42" t="inlineStr"/>
    </row>
    <row r="43">
      <c r="A43" t="inlineStr">
        <is>
          <t>C.27</t>
        </is>
      </c>
      <c r="B43" s="4" t="inlineStr">
        <is>
          <t>N0017826R30020003 - FINAL
Page 46 of 114
and such actions shall be handled in the applicable Federal court of jurisdiction.C-215-H002 CONTRACTOR PROPOSAL (NA VSEA) (OCT 2018)(a) Performance of this contract by the Contractor shall be conducted and performed in accordance with detailed obligations towhich the Contractor committed itself in Proposal TBD dated TBD in response to NA VSEA Solicitation No. N0017826R3002.(b)  The technical volume(s) of the Contractor's proposal is(are) hereby incorporated by reference and made subject to the "Order ofPrecedence" (FAR 52.215-8) clause of this contract.  Under the "Order of Precedence" clause, the technical volume(s) of theContractor's proposal referenced herein is (are) hereby designated as item (f) of the clause, following "the specifications" in theorder of precedence.(End of Text)*To be Completed at Time of AwardC-223-W002 ON-SITE SAFETY REQUIREMENTS (NA VSEA) (OCT 2018) (a)  The Contractor shall ensure that each Contractor employee reads any necessary safety documents within 30 days ofcommencing performance at any Government facility.  Required safety documents can be obtained from the respective safetyoffice.  Contractors shall notify the Safety office points of contact below to report completion of the required training via e-mail. The e-mail shall include the Contractor employee’ s name, work site, and contract number.(b)  It is expected that Contractor employees will have received training from their employer on hazards associated with the areas inwhich they will be working and know what to do in order to protect themselves.  Contractors are required to adhere to therequirements of 29 CFR 1910, 29 CFR 1926 and applicable state and local requirements while in Government spaces.  TheContractor shall ensure that all on-site Contractor work at the Government facility is in accordance with any local safety instructionsas provided via the COR.  The Contractor shall report all work-related injuries/illnesses that occurred while working at theGovernment site to the COR.(c)  Contractors whose employees perform work within Government spaces in excess of 1000 hours per calendar quarter during acalendar year shall submit the data elements on OSHA Form 300A, Summary of Work Related Injuries and Illnesses, for thoseemployees to the safety office, via the COR by 15 January for the previous calendar year, even if no work related injuries orillnesses occurred.  If a Contractor’ s injury/illness rates are above the Bureau of Labor Statistics industry standards, a safetyassessment may be performed by the Safety Office to determine if any administrative or engineering controls can be utilized toprevent further injuries/illnesses, or if any additional Personal Protective Equipment or training will be required.(d)  Any Contractor employee exhibiting unsafe behavior may be removed from the Government site.  Such removal shall notrelieve the Contractor from meeting its contractual obligations and shall not be considered an excusable delay as defined in FAR52.249-14. (e)  The Safety Office points of contacts are as follows:Charles Lehr17483 Dahlgren Rd. Suite 104Dahlgren, V A 22448Phone: (540) 809-7699E-mail: charles.r.lehr2.civ@us.navy.milC-227-H006 DATA REQUIREMENTS (NA VSEA) (OCT 2018)The data to be furnished hereunder shall be prepared in accordance with the Contract Data Requirements List, DD Form 1423,Exhibit(s) A, attached hereto.C-227-H009 ACCESS TO DATA OR COMPUTER SOFTWARE WITH RESTRICTIVE MARKINGS (NA VSEA) (JAN2019)(a)  Performance under this contract may require that the Contractor have access to technical data, computer software, or othersensitive data of another party that contains restrictive markings.  If access to such data or software is required or to be provided, theContractor shall enter into a written agreement with such party prior to gaining access to such data or software.  The agreement shalladdress, at a minimum, (1) access to, and use of, the restrictively marked data or software exclusively for the purposes ofperformance of the work required by this contract, and (2) safeguards to protect such data or software from unauthorized use ordisclosure for so long as the data or software remains properly restrictively marked.  In addition, the agreement shall not impose anylimitation upon the Government or its employees with respect to such data or software.  A copy of the executed agreement shall beprovided to the Contracting Officer.  The Government may unilaterally modify the contract to list those third parties with which the</t>
        </is>
      </c>
      <c r="C43" t="inlineStr">
        <is>
          <t>C.27</t>
        </is>
      </c>
      <c r="D43" t="n">
        <v>44</v>
      </c>
      <c r="E43" s="6" t="inlineStr">
        <is>
          <t>High</t>
        </is>
      </c>
      <c r="F43" t="inlineStr">
        <is>
          <t>Mandatory</t>
        </is>
      </c>
      <c r="G43" t="inlineStr"/>
      <c r="H43" t="inlineStr">
        <is>
          <t>Not Started</t>
        </is>
      </c>
      <c r="I43" t="inlineStr"/>
      <c r="J43" t="inlineStr"/>
      <c r="K43" t="inlineStr"/>
      <c r="L43" t="inlineStr"/>
      <c r="M43" t="inlineStr"/>
      <c r="N43" t="inlineStr"/>
      <c r="O43" t="inlineStr">
        <is>
          <t>FAR 52.215-8</t>
        </is>
      </c>
      <c r="P43" t="inlineStr"/>
      <c r="Q43" t="inlineStr"/>
    </row>
    <row r="44">
      <c r="A44" t="inlineStr">
        <is>
          <t>C.27</t>
        </is>
      </c>
      <c r="B44" s="4" t="inlineStr">
        <is>
          <t>N0017826R30020003 - FINAL
Page 47 of 114
Contractor has agreement(s).(b)  The Contractor agrees to: (1) indoctrinate its personnel who will have access to the data or software as to the restrictions underwhich access is granted; (2) not disclose the data or software to another party or other Contractor personnel except as authorized bythe Contracting Officer; (3) not engage in any other action, venture, or employment wherein this information will be used, otherthan under this contract, in any manner inconsistent with this requirement; (4) not disclose the data or software to any other party,including, but not limited to, joint venturer, affiliate, successor, or assign of the Contractor; and (5) reproduce the restrictive stamp,marking, or legend on each use of the data or software whether in whole or in part.(c)  These restrictions on use and disclosure of the data and software also apply to information received from the Governmentthrough any means to which the Contractor has access in the performance of this contract that contains restrictive markings.(d)  The Contractor agrees that it will promptly notify the Contracting Officer of any attempt to gain access to any information withrestrictive markings.  Such notification shall include the name and organization of the individual, company, or Governmentrepresentative seeking access to such information.(e)  The Contractor shall include this requirement in subcontracts of any tier which involve access to information covered byparagraph (a), substituting "Sub-contractor" for "Contractor" where appropriate.(f)  Compliance with this requirement is a material requirement of this contract.C-227-H010 COMPUTER SOFTWARE AND COMPUTER DATA BASES DELIVERED TO OR RECEIVED FROM THEGOVERNMENT (NA VSEA) (JAN 2019)(a)  The Contractor agrees to test for viruses, malware, Trojan Horses, and other security threats such as those listed in NIST SpecialPublication 800-12 Rev 1, An Introduction to Computer Security, The NIST Handbook, Chapter 4, in all computer software andcomputer data bases (as defined in the clause entitled “Rights In Noncommercial Computer Software and Noncommercial ComputerSoftware Documentation” (DFARS 252.227-7014)), before delivery of that computer software or computer data base in whatevermedia and on whatever system the computer software or data base is delivered whether delivered separately or imbedded withindelivered equipment.  The Contractor warrants that when delivered any such computer software and computer data base shall be freeof viruses, malware, Trojan Horses, and other security threats such as those listed in NIST Special Publication 800-12 Rev 1.(b)  The Contractor agrees that prior to use under this contract, it shall test any computer software and computer data base receivedfrom the Government for viruses, malware, Trojan Horses, and other security threats listed in NIST Special Publication 800-12 Rev1, An Introduction to Computer Security, The NIST Handbook, Chapter 4.(c)  Any license agreement governing the use of any computer software or computer software documentation delivered to theGovernment as a result of this contract must be paid-up, irrevocable, world-wide, royalty-free, perpetual and flexible (user licensestransferable among Government employees and personnel under Government contract).(d)  The Contractor shall not include or permit to be included any routine to enable the Contractor or its Sub-contractor(s) orvendor(s) to disable the computer software or computer data base after delivery to the Government.(e)  No copy protection devices or systems shall be used in any computer software or computer data base delivered under thiscontract with unlimited or Government purpose rights (as defined in DFARS 252.227-7013 and 252.227-7014) to restrict or limit theGovernment from making copies.(f)  It is agreed that, to the extent that any technical or other data is computer software by virtue of its delivery in digital form, theGovernment shall be licensed to use that digital-form data with exactly the same rights and limitations as if the data had beendelivered as hard copy.(g)  Any limited rights legends or other allowed legends placed by a Contractor on technical data or other data delivered in digitalform shall be digitally included on the same media as the digital-form data and must be associated with the correspondingdigital-form technical data to which the legend(s) apply to the extent possible.  Such legends shall also be placed in human-readableform on a visible surface of the media carrying the digital-form data as delivered, to the extent possible.(End of Text)C-237-H002 SUBSTITUTION OF KEY PERSONNEL (NA VSEA) (OCT 2018)(a)  The Contractor agrees that a partial basis for award of this contract is the list of key personnel proposed.  Accordingly, theContractor agrees to assign to this contract those key persons whose resumes were submitted with the proposal necessary to fulfillthe requirements of the contract.  No substitution shall be made without prior notification to and concurrence of the ContractingOfficer in accordance with this requirement.  Substitution shall include, but not be limited to, subdividing hours of any keypersonnel and assigning or allocating those hours to another individual not approved as key personnel.(b)  All proposed substitutes shall have qualifications equal to or higher than the qualifications of the person to be replaced.  TheContracting Officer shall be notified in writing of any proposed substitution at least forty-five (45) days, or ninety (90) days if a</t>
        </is>
      </c>
      <c r="C44" t="inlineStr">
        <is>
          <t>C.27</t>
        </is>
      </c>
      <c r="D44" t="n">
        <v>44</v>
      </c>
      <c r="E44" s="6" t="inlineStr">
        <is>
          <t>High</t>
        </is>
      </c>
      <c r="F44" t="inlineStr">
        <is>
          <t>Mandatory</t>
        </is>
      </c>
      <c r="G44" t="inlineStr"/>
      <c r="H44" t="inlineStr">
        <is>
          <t>Not Started</t>
        </is>
      </c>
      <c r="I44" t="inlineStr"/>
      <c r="J44" t="inlineStr"/>
      <c r="K44" t="inlineStr"/>
      <c r="L44" t="inlineStr"/>
      <c r="M44" t="inlineStr"/>
      <c r="N44" t="inlineStr"/>
      <c r="O44" t="inlineStr">
        <is>
          <t>DFARS 252.227-7014, DFARS 252.227-7013</t>
        </is>
      </c>
      <c r="P44" t="inlineStr"/>
      <c r="Q44" t="inlineStr"/>
    </row>
    <row r="45">
      <c r="A45" t="inlineStr">
        <is>
          <t>C.27</t>
        </is>
      </c>
      <c r="B45" s="4" t="inlineStr">
        <is>
          <t>N0017826R30020003 - FINAL
Page 48 of 114
security clearance is to be obtained, in advance of the proposed substitution.  Such notification shall include:  (1) an explanation ofthe circumstances necessitating the substitution; (2) a complete resume of the proposed substitute; (3) an explanation as to why theproposed substitute is considered to have equal or better qualifications than the person being replaced; (4) payroll record of theproposed replacement;  and (5) any other information requested by the Contracting Officer to enable him/her to judge whether or notthe Contractor is maintaining the same high quality of personnel that provided the partial basis for award. (c) Key personnel are identified in an attachment in Section J. (End of Text)C-237-W001 ELECTRONIC COST REPORTING AND FINANCIAL TRACKING (eCRAFT) SYSTEM REPORTING(NA VSEA) (MAY 2022)(a) The Contractor agrees to upload the Contractor's Funds and Man-hour Expenditure Reports in the Electronic Cost Reporting andFinancial Tracking (eCRAFT) System and submit the Contract Status Report on the day and for the same timeframe the contractorsubmits an invoice into the Wide Area Workflow (WAWF) module on the Procurement Integrated Enterprise Environment (PIEE)system. Compliance with this requirement is a material requirement of this contract. Failure to comply with this requirement mayresult in contract termination.(b) The Contract Status Report indicates the progress of work and the status of the program and of all assigned tasks. It informs theGovernment of existing or potential problem areas. (c) The Contractor’ s Fund and Man-hour Expenditure Report reports contractor expenditures for labor, materials, travel,subcontractor usage, and other contract charges.(1) Access:  eCRAFT: Reports are uploaded through the eCRAFT System Periodic Report Utility (EPRU). The EPRU spreadsheetand user manual can be obtained at:  https://www.navsea.navy.mil/Home/Warfare-Centers/NUWC-Newport/Partnerships/Commercial-Contracts/Information-eCraft-/  under eCRAFT information. The link for eCRAFT report submissionis: https://www.pdrep.csd.disa.mil/pdrep_files/other/ecraft.htm.  If you have problems uploading reports, please see the FrequentlyAsked Questions at the site address above.(2) Submission and Acceptance/Rejection:  The contractor shall submit their reports on the same day and for the same timeframe thecontractor submits an invoice in WAWF. The amounts shall be the same. eCRAFT acceptance/rejection will be indicated by e-mailnotification from eCRAFT.(End of Text)
C-239-W001 ELECTRONIC AND INFORMATION TECHNOLOGY (EIT) ACCESSIBILITY STANDARDS/SECTION508 COMPLIANCE (NA VSEA) (OCT 2018)(a)  Requirements for accessibility based on Section 508 of the Rehabilitation Act of 1973 (29 U.S.C. 794d) are determined to berelevant for product(s)/service(s) procured under this solicitation.(b)  Each Electronic and Information Technology (EIT) item or service provided under this contract shall comply with the EITAccessibility Standards listed below:__X__ 36 C.F.R. § 1194.21 - Software applications and operating systems__X__ 36 C.F.R. § 1194.22 - Web-based and internet information and applications__X__ 36 C.F.R. § 1194.23 - Telecommunications products__X__ 36 C.F.R. § 1194.24 - Video and multimedia products__X__ 36 C.F.R. § 1194.25 - Self-contained, closed products__X__ 36 C.F.R. § 1194.26 - Desktop and portable computers__X__ 36 C.F.R. § 1194.31 - Functional Performance Criteria_____ 36 C.F.R. § 1194.41 - Information, Documentation, and Support(c) For more information on V oluntary Product Accessibility Template (VPAT) and Government Product/Service AccessibilityTemplate (GPAT) please refer to: http://www.buyaccessible.gov/ or http://www.section508.gov/content/sell/vpat.(d)  The Contractor shall comply with the VPAT or GPAT document submitted. If the Contracting Officer determines that any itemor service delivered under this contract does not comply with the EIT Accessibility Standards, the Contracting Officer will notify theContractor in writing accordingly.  If the Contractor fails to promptly correct or replace the nonconforming products or services withconforming products or services within the delivery schedule contained in the contract, the Government will have the rights andremedies contained in the basic contract.</t>
        </is>
      </c>
      <c r="C45" t="inlineStr">
        <is>
          <t>C.27</t>
        </is>
      </c>
      <c r="D45" t="n">
        <v>44</v>
      </c>
      <c r="E45" s="6" t="inlineStr">
        <is>
          <t>High</t>
        </is>
      </c>
      <c r="F45" t="inlineStr">
        <is>
          <t>Mandatory</t>
        </is>
      </c>
      <c r="G45" t="inlineStr"/>
      <c r="H45" t="inlineStr">
        <is>
          <t>Not Started</t>
        </is>
      </c>
      <c r="I45" t="inlineStr"/>
      <c r="J45" t="inlineStr"/>
      <c r="K45" t="inlineStr"/>
      <c r="L45" t="inlineStr"/>
      <c r="M45" t="inlineStr"/>
      <c r="N45" t="inlineStr"/>
      <c r="O45" t="inlineStr">
        <is>
          <t>Section J, attachment i</t>
        </is>
      </c>
      <c r="P45" t="inlineStr"/>
      <c r="Q45" t="inlineStr"/>
    </row>
    <row r="46">
      <c r="A46" t="inlineStr">
        <is>
          <t>C.27</t>
        </is>
      </c>
      <c r="B46" s="4" t="inlineStr">
        <is>
          <t>N0017826R30020003 - FINAL
Page 49 of 114
C-242-H001 EXPEDITING CONTRACT CLOSEOUT (NA VSEA) (OCT 2018)(a)  As part of the negotiated fixed price or total estimated amount of this contract, both the Government and the Contractor haveagreed to waive any entitlement that otherwise might accrue to either party in any residual dollar amount of $1,000 or less at thetime of final contract closeout.  The term "residual dollar amount" shall include all money that would otherwise be owed to eitherparty at the end of the contract, except that, amounts connected in any way with taxation, allegations of fraud and/or antitrustviolations shall be excluded.  For purposes of determining residual dollar amounts, offsets of money owed by one party againstmoney that would otherwise be paid by that party may be considered to the extent permitted by law.(b)  This agreement to waive entitlement to residual dollar amounts has been considered by both parties.  It is agreed that theadministrative costs for either party associated with collecting such small dollar amounts could exceed the amount to be recovered.C-242-H002 POST AWARD MEETNG (NA VSEA) (OCT 2018)(a)  A post-award meeting with the successful Offeror will be conducted within [ * ] days after award of the contract.  The meetingwill be held at the address below:Location/Address: [ * ](b)  The Contractor will be given [5] working days’ notice prior to the date of the meeting by the Contracting Officer.(c)  The requirement for a post-award meeting shall in no event constitute grounds for excusable delay by the Contractor inperformance of any provisions in the contract.(d)  The post-award meeting will include, but is not limited to, the establishment of work level points of contact, determining theadministration strategy, roles and responsibilities, and ensure prompt payment and close out.  Specific topics shall be mutuallyagreed to prior to the meeting.[ * ] To be specified at Task Order Award.(End of Text)C-242-H003 TECHNICAL INSTRUCTIONS (NA VSEA) (OCT 2018)(a)  Performance of the work hereunder may be subject to written technical instructions signed by the Contracting Officer and theContracting Officer's Representative specified in Section G of this contract.  As used herein, technical instructions are defined toinclude the following:        (1)  Directions to the Contractor which suggest pursuit of certain lines of inquiry, shift work emphasis, fill in details orotherwise serve to accomplish the contractual statement of work.        (2)  Guidelines to the Contractor which assist in the interpretation of drawings, specifications or technical portions of workdescription. (b)  Technical instructions must be within the general scope of work stated in the contract.  Technical instructions may not be usedto: (1) assign additional work under the contract; (2) direct a change as defined in the "CHANGES" clause of this contract; (3)increase or decrease the contract price or estimated contract amount (including fee), as applicable, the level of effort, or the timerequired for contract performance; or (4) change any of the terms, conditions or specifications of the contract. (c)  If, in the opinion of the Contractor, any technical instruction calls for effort outside the scope of the contract or is inconsistentwith this requirement, the Contractor shall notify the Contracting Officer in writing within ten (10) working days after the receipt ofany such instruction.  The Contractor shall not proceed with the work affected by the technical instruction unless and until theContractor is notified by the Contracting Officer that the technical instruction is within the scope of this contract. (d)  Nothing in the foregoing paragraph shall be construed to excuse the Contractor from performing that portion of the contractualwork statement which is not affected by the disputed technical instruction. (End of Text)C-243-H003 CONFIGURATION MANAGEMENT (NA VSEA) (APR 2024)(a)  Baseline Definition - All contractual documentation in effect at the time of contract award shall constitute the Contract Baseline,which shall be considered incorporated in the baseline documentation.(b)  General Requirement –             (1) The Contractor shall maintain a Configuration Control Program to assure that all detail level work being performedunder this contract is in compliance with appropriate baseline documentation.  The Contractor shall prepare a ConfigurationManagement Plan in accordance with the requirements of the contract. If required, the Contractor’ s Configuration Management Planshall be submitted through the appropriate Contract Data Requirements List (CDRL) for approval by the Government.</t>
        </is>
      </c>
      <c r="C46" t="inlineStr">
        <is>
          <t>C.27</t>
        </is>
      </c>
      <c r="D46" t="n">
        <v>44</v>
      </c>
      <c r="E46" s="6" t="inlineStr">
        <is>
          <t>High</t>
        </is>
      </c>
      <c r="F46" t="inlineStr">
        <is>
          <t>Mandatory</t>
        </is>
      </c>
      <c r="G46" t="inlineStr"/>
      <c r="H46" t="inlineStr">
        <is>
          <t>Not Started</t>
        </is>
      </c>
      <c r="I46" t="inlineStr"/>
      <c r="J46" t="inlineStr"/>
      <c r="K46" t="inlineStr"/>
      <c r="L46" t="inlineStr"/>
      <c r="M46" t="inlineStr"/>
      <c r="N46" t="inlineStr"/>
      <c r="O46" t="inlineStr">
        <is>
          <t>Section G</t>
        </is>
      </c>
      <c r="P46" t="inlineStr"/>
      <c r="Q46" t="inlineStr"/>
    </row>
    <row r="47">
      <c r="A47" t="inlineStr">
        <is>
          <t>C.27</t>
        </is>
      </c>
      <c r="B47" s="4" t="inlineStr">
        <is>
          <t>N0017826R30020003 - FINAL
Page 50 of 114
            (2) Whenever a situation arises wherein the Contractor cannot comply with a baseline document, or whenever intent of suchdocumentation is significantly changed by detail level documentation, the Contractor shall submit change documents to modify thebaseline to resolve the conflict or to allow non-compliance.  Whenever the cost of implementing a proposed change is less than thethreshold requiring certified cost or pricing data, the Contractor shall provide such detail of related costs as to allow the Governmentto determine an equitable adjustment for the change document submission.  Whenever the contract cost changes by an amountgreater than the threshold requiring certified cost or pricing data, the Contractor shall complete such cost and pricing data as theContracting Officer shall require detailing all related costs, and attach it to the change document.  Requirements for cost and pricingdata shall be determined by the gross amount of the change unless otherwise directed by the Contracting Officer.  Changedocumentation shall be submitted to the Contracting Officer in accordance with the appropriate CDRL, and as described inparagraphs (c) through (f) below.(c)  Engineering Change Proposals (ECPs) - ECPs shall be prepared in accordance with the approved configuration managementplan and the requirements of the contract.  DI-SESS-80639E approved 11 February 2020, EIA-649-1A dated 10 August 2020, andMIL-HDBK-61B dated 7 April 2020 apply.  An ECP shall be submitted whenever the detail level physical configuration, materialquality, operational or functional performance of equipment or installed systems will not be in compliance with baseline design-related documents (Specifications, Contract Drawings, etc.), and a change to the baseline document is considered an appropriatemeans of resolving a design-related issue.  The contractor shall develop documentation in sufficient detail to enable Governmentreview and evaluation of the merits of the proposed change, including cost and scheduling impact, ship class impact if applicable,and consequences if disapproved.  List all existing drawings and technical manuals impacted by the change, including a briefnarrative explanation of needed changes to incorporate the ECP if approved.  Provide weight and moment data incidental to thechange, if applicable.  The Contractor shall also prepare applicable baseline document insert sheets, with specific word changes orproposed rewrite, to facilitate baseline documentation changes.(d)  Non-Engineering Change Proposals (NECPs) – An NECP shall be submitted whenever necessary to document administrative,procedural, scheduling, or documentation changes that do not directly impact the physical configuration of the equipment.  TheNECP shall explain the nature of the problem, identify the applicable baseline document (i.e., Contract Data Requirement List(CDRL), Contract Clause, etc.) and provide a detailed explanation justifying the proposed course of action desired to resolve theproblem.  Insert sheets for applicable documents shall also be attached to facilitate change action in the event the NECP is approved.(e)  Deviations/Waivers - In the event that a baseline design-related document requirement cannot be met, and a change to thebaseline document is considered inappropriate, the Contractor shall submit a Request for Variance.    The explanation of "Need forDeviation/Waiver" in the DD1694 shall provide detailed justification and consequences of approval, to include technical detailsexplaining the degree of noncompliance and the effect on ship equipment or system operation. (f)  Equitable Adjustments for Change Documentation Preparations - For its effort expended in preparing ECPs, NECPs, andDeviations/Waivers, the Contractor shall receive equitable adjustment under the following circumstances:            (1) In the event the Contractor, on its own initiative, and without written request from the Contracting Officer, develops achange document that is later disapproved by the Government, the Contractor shall bear the cost of this effort.            (2) To avoid such loss, and at its option, the Contractor may submit a "preliminary" document that outlines intent, butwithout detailed supporting documentation and request the Contracting Officer's approval for expenditure of effort to complete thedetailed supporting documentation.  In the event the Contracting Officer denies this request, the Contractor will bear the cost ofdevelopment of the "preliminary" document, and shall make no further effort to complete detailed supporting documentation.            (3) In the event the Contracting Officer approves the Contractor's request to develop supporting documentation, theContractor shall be equitably compensated for its effort for both the "preliminary" and "final" documentation, regardless of whetheror not the change document is later approved.            (4) In the event the Contracting Officer requests in writing that the Contractor develop change documentation, the effortexpended by the Contractor in developing such documentation shall be subject to equitable adjustment, regardless of whether or notthe change document is later approved.            (5) In the event the Contractor, on its own initiative, and without written request from the Government, develops a changedocument that is later approved by the Contracting Officer, the cost of developing such documentation shall be subject to equitableadjustment.            (6) Failure to agree to such equitable adjustment in contract price shall constitute a dispute, and shall be adjudicated inaccordance with the requirements of the clause entitled "Disputes" (FAR 52.233-1).(g)  Any cost reduction proposal submitted pursuant to the clause entitled "Value Engineering" (FAR 52.248-1) shall be submitted asa Value Engineering Change Proposal (VECP).  The Contractor shall follow the VECP preparation requirements of FAR52.248-1(c) and any additional guidance provided by the Contracting Officer. (End of Text)</t>
        </is>
      </c>
      <c r="C47" t="inlineStr">
        <is>
          <t>C.27</t>
        </is>
      </c>
      <c r="D47" t="n">
        <v>44</v>
      </c>
      <c r="E47" s="6" t="inlineStr">
        <is>
          <t>High</t>
        </is>
      </c>
      <c r="F47" t="inlineStr">
        <is>
          <t>Mandatory</t>
        </is>
      </c>
      <c r="G47" t="inlineStr"/>
      <c r="H47" t="inlineStr">
        <is>
          <t>Not Started</t>
        </is>
      </c>
      <c r="I47" t="inlineStr"/>
      <c r="J47" t="inlineStr"/>
      <c r="K47" t="inlineStr"/>
      <c r="L47" t="inlineStr"/>
      <c r="M47" t="inlineStr"/>
      <c r="N47" t="inlineStr"/>
      <c r="O47" t="inlineStr">
        <is>
          <t>FAR 52.233-1, FAR 52.248-1</t>
        </is>
      </c>
      <c r="P47" t="inlineStr"/>
      <c r="Q47" t="inlineStr"/>
    </row>
    <row r="48">
      <c r="A48" t="inlineStr">
        <is>
          <t>C.27</t>
        </is>
      </c>
      <c r="B48" s="4" t="inlineStr">
        <is>
          <t>N0017826R30020003 - FINAL
Page 51 of 114
C-244-H002 SUBCONTRACTORS/CONSULTANTS (NA VSEA) (FEB 2023)In addition to the information required by FAR 52.244-2(e) of the contract, when consent to subcontract is required per FAR52.244-2, the contractor shall also include the following information in requests to add subcontractors or consultants duringperformance:(1)  Impact on subcontracting goals,(2)  Impact on providing support at the contracted value,(3)  IF SEAPORT TASK ORDER - The results of negotiations to incorporate fee rate caps no higher than the lower of (i)SeaPort-NxG fee rate caps for the prime contractor, or in the case where the proposed subcontractor is also a SeaPort-NxG prime,(ii) fee rate caps that are no higher than the subcontractor's prime SeaPort-NxG contract.C-245-H005 INFORMATION AND DATA FURNISHED BY THE GOVERNMENT--ALTERNATE I (NA VSEA) (MAY2019)(a)  Contract Specifications, Drawings and Data.  The Government will furnish, if not included as an attachment to the contract, anyunique contract specifications or other design or alteration data cited or referenced in Section C.(b)  Government Furnished Information (GFI).  GFI is defined as that information essential for the installation, test, operation, andinterface support of all Government Furnished Material identified in an attachment in Section J.  The Government shall furnish onlythe GFI identified in an attachment in Section J.  The GFI furnished to the Contractor need not be in any particular format.  Further,the Government reserves the right to revise the listing of GFI as follows:(1)  The Contracting Officer may at any time by written order:(i)  delete, supersede, or revise, in whole or in part, data identified in an attachment in Section J; or(ii)  add items of data or information to the attachment identified in Section J; or(iii)  establish or revise due dates for items of data or information in the attachment identified in Section J.(2)  If any action taken by the Contracting Officer pursuant to subparagraph (1) immediately above causes an increase or decrease inthe costs of, or the time required for, performance of any part of the work under this contract, the Contractor may be entitled to anequitable adjustment in the contract amount and delivery schedule in accordance with the procedures provided for in the"CHANGES" clause of this contract.(c)  Except for the Government information and data specified by paragraphs (a) and (b) above, the Government will not beobligated to furnish the Contractor any specification, standard, drawing, technical documentation, or other publication,notwithstanding anything to the contrary in the contract specifications, the GFI identified in an attachment in Section J, the clause ofthis contract entitled "Government Property" (FAR 52.245-1) or "Government Property Installation Operation Services" (FAR52.245-2), as applicable, or any other term or condition of this contract.  Such referenced documentation may be obtained:(1)  From the ASSIST database via the internet at https://assist.dla.mil/online/start/; or(2)  By submitting a request to theDepartment of Defense Single Stock Point (DoDSSP)Building 4, Section D700 Robbins AvenuePhiladelphia, Pennsylvania 19111-5094Telephone (215) 697-6396Facsimile (215) 697-9398Commercial specifications and standards, which may be referenced in the contract specification or any sub-tier specification orstandard, are not available from Government sources and should be obtained from the publishers.</t>
        </is>
      </c>
      <c r="C48" t="inlineStr">
        <is>
          <t>C.27</t>
        </is>
      </c>
      <c r="D48" t="n">
        <v>44</v>
      </c>
      <c r="E48" s="6" t="inlineStr">
        <is>
          <t>High</t>
        </is>
      </c>
      <c r="F48" t="inlineStr">
        <is>
          <t>Mandatory</t>
        </is>
      </c>
      <c r="G48" t="inlineStr"/>
      <c r="H48" t="inlineStr">
        <is>
          <t>Not Started</t>
        </is>
      </c>
      <c r="I48" t="inlineStr"/>
      <c r="J48" t="inlineStr"/>
      <c r="K48" t="inlineStr"/>
      <c r="L48" t="inlineStr"/>
      <c r="M48" t="inlineStr"/>
      <c r="N48" t="inlineStr"/>
      <c r="O48" t="inlineStr">
        <is>
          <t>Section C, Section J, Section D, attachment t, attachment i, FAR 52.244-2, FAR 52.245-1</t>
        </is>
      </c>
      <c r="P48" t="inlineStr"/>
      <c r="Q48" t="inlineStr"/>
    </row>
    <row r="49">
      <c r="A49" t="inlineStr">
        <is>
          <t>D.1</t>
        </is>
      </c>
      <c r="B49" s="4" t="inlineStr">
        <is>
          <t>N0017826R30020003 - FINAL
Page 52 of 114
Section D - Packaging and Marking
D.1 CLAUSES INCORPORATED BY FULL TEXT
D-211-H001 PACKAGING OF DATA (NA VSEA) (FEB 2022)    
Data to be delivered by Integrated Digital Environment (IDE) or other electronic media shall be as specified in the</t>
        </is>
      </c>
      <c r="C49" t="inlineStr">
        <is>
          <t>C.27</t>
        </is>
      </c>
      <c r="D49" t="n">
        <v>44</v>
      </c>
      <c r="E49" s="6" t="inlineStr">
        <is>
          <t>High</t>
        </is>
      </c>
      <c r="F49" t="inlineStr">
        <is>
          <t>Mandatory</t>
        </is>
      </c>
      <c r="G49" t="inlineStr"/>
      <c r="H49" t="inlineStr">
        <is>
          <t>Not Started</t>
        </is>
      </c>
      <c r="I49" t="inlineStr"/>
      <c r="J49" t="inlineStr"/>
      <c r="K49" t="inlineStr"/>
      <c r="L49" t="inlineStr"/>
      <c r="M49" t="inlineStr"/>
      <c r="N49" t="inlineStr"/>
      <c r="O49" t="inlineStr">
        <is>
          <t>Section D, D.1</t>
        </is>
      </c>
      <c r="P49" t="inlineStr"/>
      <c r="Q49" t="inlineStr"/>
    </row>
    <row r="50">
      <c r="A50" t="inlineStr">
        <is>
          <t>C.27</t>
        </is>
      </c>
      <c r="B50" s="4" t="inlineStr">
        <is>
          <t>All unclassified data to be shipped shall be prepared for shipment in accordance with best commercial practice.
Classified reports, data, and documentation shall be prepared for shipment in accordance with National Industrial
Security Program Operating Manual (NISPOM), 32 CFR Part 117.
D-211-H002 MARKING OF REPORTS (NA VSEA) (OCT 2018)
All reports delivered by the Contractor to the Government under this contract shall prominently show on the cover of
the report:</t>
        </is>
      </c>
      <c r="C50" t="inlineStr">
        <is>
          <t>C.27</t>
        </is>
      </c>
      <c r="D50" t="n">
        <v>44</v>
      </c>
      <c r="E50" s="6"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J.3</t>
        </is>
      </c>
      <c r="B51" s="4" t="inlineStr">
        <is>
          <t>N0017826R30020003 - FINAL
Page 53 of 114
Section E - Inspection and Acceptance
E. 1 QUALITY ASSURANCE SURVEILLANCE PLAN (QASP) See Attachment J.3
CLAUSES INCORPORATED BY FULL TEXT
E-246-H013 INSPECTION AND ACCEPTANCE OF DATA (NA VSEA) (OCT 2018)
Inspection and acceptance of all data shall be as specified on the attached Contract Data Requirements List(s), DD Form</t>
        </is>
      </c>
      <c r="C51" t="inlineStr">
        <is>
          <t>C.27</t>
        </is>
      </c>
      <c r="D51" t="n">
        <v>44</v>
      </c>
      <c r="E51" s="6" t="inlineStr">
        <is>
          <t>High</t>
        </is>
      </c>
      <c r="F51" t="inlineStr">
        <is>
          <t>Mandatory</t>
        </is>
      </c>
      <c r="G51" t="inlineStr"/>
      <c r="H51" t="inlineStr">
        <is>
          <t>Not Started</t>
        </is>
      </c>
      <c r="I51" t="inlineStr"/>
      <c r="J51" t="inlineStr"/>
      <c r="K51" t="inlineStr"/>
      <c r="L51" t="inlineStr"/>
      <c r="M51" t="inlineStr"/>
      <c r="N51" t="inlineStr"/>
      <c r="O51" t="inlineStr">
        <is>
          <t>Section E, Attachment J, J.3</t>
        </is>
      </c>
      <c r="P51" t="inlineStr"/>
      <c r="Q51" t="inlineStr"/>
    </row>
    <row r="52">
      <c r="A52" t="inlineStr">
        <is>
          <t>C.27</t>
        </is>
      </c>
      <c r="B52" s="4" t="inlineStr">
        <is>
          <t>E-246-H014 INSPECTION AND ACCEPTANCE OF ENGINEERING SERVICES (NA VSEA) (OCT 2018)
Item(s) 6000, 6050, 6100, 6150, 6200, 6250, 6300, 6350, 6400, 6450, 7000, 7100, 7200, 7300, 7400 - Inspection and
acceptance shall be made by the Contracting Officer’ s Representative (COR) or a designated representative of the
Government.
E-246-H023 QUALITY REQUIREMENTS FOR SOFTWARE DEVELOPMENT OR PRODUCTION
(NAVSEA) (JAN 2019)    
The contractor's software quality program shall be an integral part of the overall Quality Management System. Software
quality program controls shall be applicable to all project software that is developed, maintained, or modified within the
following categories:</t>
        </is>
      </c>
      <c r="C52" t="inlineStr">
        <is>
          <t>C.27</t>
        </is>
      </c>
      <c r="D52" t="n">
        <v>44</v>
      </c>
      <c r="E52" s="6" t="inlineStr">
        <is>
          <t>High</t>
        </is>
      </c>
      <c r="F52" t="inlineStr">
        <is>
          <t>Mandatory</t>
        </is>
      </c>
      <c r="G52" t="inlineStr"/>
      <c r="H52" t="inlineStr">
        <is>
          <t>Not Started</t>
        </is>
      </c>
      <c r="I52" t="inlineStr"/>
      <c r="J52" t="inlineStr"/>
      <c r="K52" t="inlineStr"/>
      <c r="L52" t="inlineStr"/>
      <c r="M52" t="inlineStr"/>
      <c r="N52" t="inlineStr"/>
      <c r="O52" t="inlineStr"/>
      <c r="P52" t="inlineStr"/>
      <c r="Q52" t="inlineStr"/>
    </row>
    <row r="53">
      <c r="A53" t="inlineStr">
        <is>
          <t>F.1</t>
        </is>
      </c>
      <c r="B53" s="4" t="inlineStr">
        <is>
          <t>N0017826R30020003 - FINAL
Page 54 of 114
Section F - Deliveries or Performance
F.1 PLACE OF PERFORMANCE
Services to be performed hereunder will be provided primarily at the Government's site and/or Contractor's facility in
Dahlgren, The locations are dependent on the task the Contractor is working. During performance of this Task Order,
the Contractor may be required to travel as part of the efforts listed in Section C. The representative travel locations
can be found in accordance with Section C.6.1 of the SOW.</t>
        </is>
      </c>
      <c r="C53" t="inlineStr">
        <is>
          <t>C.27</t>
        </is>
      </c>
      <c r="D53" t="n">
        <v>44</v>
      </c>
      <c r="E53" s="6" t="inlineStr">
        <is>
          <t>High</t>
        </is>
      </c>
      <c r="F53" t="inlineStr">
        <is>
          <t>Mandatory</t>
        </is>
      </c>
      <c r="G53" t="inlineStr"/>
      <c r="H53" t="inlineStr">
        <is>
          <t>Not Started</t>
        </is>
      </c>
      <c r="I53" t="inlineStr"/>
      <c r="J53" t="inlineStr"/>
      <c r="K53" t="inlineStr"/>
      <c r="L53" t="inlineStr"/>
      <c r="M53" t="inlineStr"/>
      <c r="N53" t="inlineStr"/>
      <c r="O53" t="inlineStr">
        <is>
          <t>Section F, Section C, Section C.6.1, F.1, C.6.1</t>
        </is>
      </c>
      <c r="P53" t="inlineStr"/>
      <c r="Q53" t="inlineStr"/>
    </row>
    <row r="54">
      <c r="A54" t="inlineStr">
        <is>
          <t>F.2</t>
        </is>
      </c>
      <c r="B54" s="4" t="inlineStr">
        <is>
          <t>F.2 PERIOD OF PERFORMANCE FOR NOT SEPARATELY PRICED CLINS
The Period of Performance for the Not Separately Priced Items in Section B shall be concurrent with the Labor
CLINs for the identified Base or Option Period in their CLIN descriptions.
CLAUSES INCORPORATED BY FULL TEXT
F-247-H001 DELIVERY OF DATA (NA VSEA) (OCT 2018)</t>
        </is>
      </c>
      <c r="C54" t="inlineStr">
        <is>
          <t>C.27</t>
        </is>
      </c>
      <c r="D54" t="n">
        <v>44</v>
      </c>
      <c r="E54" s="6" t="inlineStr">
        <is>
          <t>High</t>
        </is>
      </c>
      <c r="F54" t="inlineStr">
        <is>
          <t>Mandatory</t>
        </is>
      </c>
      <c r="G54" t="inlineStr"/>
      <c r="H54" t="inlineStr">
        <is>
          <t>Not Started</t>
        </is>
      </c>
      <c r="I54" t="inlineStr"/>
      <c r="J54" t="inlineStr"/>
      <c r="K54" t="inlineStr"/>
      <c r="L54" t="inlineStr"/>
      <c r="M54" t="inlineStr"/>
      <c r="N54" t="inlineStr"/>
      <c r="O54" t="inlineStr">
        <is>
          <t>Section B, F.2</t>
        </is>
      </c>
      <c r="P54" t="inlineStr"/>
      <c r="Q54" t="inlineStr"/>
    </row>
    <row r="55">
      <c r="A55" t="inlineStr">
        <is>
          <t>C.27</t>
        </is>
      </c>
      <c r="B55" s="4" t="inlineStr">
        <is>
          <t>All data to be furnished under this contract shall be delivered prepaid to the destination(s) and at the time(s) specified
on the Contract Data Requirements List(s), DD Form 1423.
The Period of Performance of the following Firm items are as follows:
6000 AA   08/27/2026 - 08/26/2027
7000 AA   08/27/2026 - 08/26/2027
The Period of Performance of the following Option items are as follows:
6050 AA   08/27/2026 - 08/26/2027
6100 AA   08/27/2027 - 08/26/2028
6150 AA   08/27/2027 - 08/26/2028
6200 AA   08/27/2028 - 08/26/2029
6250 AA   08/27/2028 - 08/26/2029
6300 AA   08/27/2029 - 08/26/2030
6350 AA   08/27/2029 - 08/26/2030
6400 AA   08/27/2030 - 08/26/2031
6450 AA   08/27/2030 - 08/26/2031
7100 AA   08/27/2027 - 08/26/2028</t>
        </is>
      </c>
      <c r="C55" t="inlineStr">
        <is>
          <t>C.27</t>
        </is>
      </c>
      <c r="D55" t="n">
        <v>44</v>
      </c>
      <c r="E55" s="6"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G.2</t>
        </is>
      </c>
      <c r="B56" s="4" t="inlineStr">
        <is>
          <t>Accounting for expenditures at the SLIN level is required.
G.2 SPECIAL INVOICE INSTRUCTIONS</t>
        </is>
      </c>
      <c r="C56" t="inlineStr">
        <is>
          <t>C.27</t>
        </is>
      </c>
      <c r="D56" t="n">
        <v>44</v>
      </c>
      <c r="E56" s="6" t="inlineStr">
        <is>
          <t>High</t>
        </is>
      </c>
      <c r="F56" t="inlineStr">
        <is>
          <t>Mandatory</t>
        </is>
      </c>
      <c r="G56" t="inlineStr"/>
      <c r="H56" t="inlineStr">
        <is>
          <t>Not Started</t>
        </is>
      </c>
      <c r="I56" t="inlineStr"/>
      <c r="J56" t="inlineStr"/>
      <c r="K56" t="inlineStr"/>
      <c r="L56" t="inlineStr"/>
      <c r="M56" t="inlineStr"/>
      <c r="N56" t="inlineStr"/>
      <c r="O56" t="inlineStr">
        <is>
          <t>G.2</t>
        </is>
      </c>
      <c r="P56" t="inlineStr"/>
      <c r="Q56" t="inlineStr"/>
    </row>
    <row r="57">
      <c r="A57" t="inlineStr">
        <is>
          <t>C.27</t>
        </is>
      </c>
      <c r="B57" s="4" t="inlineStr">
        <is>
          <t>Tracking and reporting shall be accomplished at the project/work area/WBS item. Each identified project/work
area/WBS shall be invoiced by its associated SLIN and ACRN.</t>
        </is>
      </c>
      <c r="C57" t="inlineStr">
        <is>
          <t>C.27</t>
        </is>
      </c>
      <c r="D57" t="n">
        <v>44</v>
      </c>
      <c r="E57" s="6" t="inlineStr">
        <is>
          <t>High</t>
        </is>
      </c>
      <c r="F57" t="inlineStr">
        <is>
          <t>Mandatory</t>
        </is>
      </c>
      <c r="G57" t="inlineStr"/>
      <c r="H57" t="inlineStr">
        <is>
          <t>Not Started</t>
        </is>
      </c>
      <c r="I57" t="inlineStr"/>
      <c r="J57" t="inlineStr"/>
      <c r="K57" t="inlineStr"/>
      <c r="L57" t="inlineStr"/>
      <c r="M57" t="inlineStr"/>
      <c r="N57" t="inlineStr"/>
      <c r="O57" t="inlineStr"/>
      <c r="P57" t="inlineStr"/>
      <c r="Q57" t="inlineStr"/>
    </row>
    <row r="58">
      <c r="A58" t="inlineStr">
        <is>
          <t>G.3</t>
        </is>
      </c>
      <c r="B58" s="4" t="inlineStr">
        <is>
          <t>If multiple ACRNs are associated with a single project/work area/WBS, the Contractor shall consult with the
Contracting Officer’ s Representative (COR) for additional invoicing instructions.
G.3 FUNDING PROFILE</t>
        </is>
      </c>
      <c r="C58" t="inlineStr">
        <is>
          <t>C.27</t>
        </is>
      </c>
      <c r="D58" t="n">
        <v>44</v>
      </c>
      <c r="E58" s="6" t="inlineStr">
        <is>
          <t>High</t>
        </is>
      </c>
      <c r="F58" t="inlineStr">
        <is>
          <t>Mandatory</t>
        </is>
      </c>
      <c r="G58" t="inlineStr"/>
      <c r="H58" t="inlineStr">
        <is>
          <t>Not Started</t>
        </is>
      </c>
      <c r="I58" t="inlineStr"/>
      <c r="J58" t="inlineStr"/>
      <c r="K58" t="inlineStr"/>
      <c r="L58" t="inlineStr"/>
      <c r="M58" t="inlineStr"/>
      <c r="N58" t="inlineStr"/>
      <c r="O58" t="inlineStr">
        <is>
          <t>G.3</t>
        </is>
      </c>
      <c r="P58" t="inlineStr"/>
      <c r="Q58" t="inlineStr"/>
    </row>
    <row r="59">
      <c r="A59" t="inlineStr">
        <is>
          <t>C.27</t>
        </is>
      </c>
      <c r="B59" s="4" t="inlineStr">
        <is>
          <t>It is estimated that these incremental funds will provide for the number of hours of labor stated below. The
following details funding to date:  
CLIN CPFF
Funds This
Action
Previous
Funding Total Funded
Balance
Unfunded
Funded Labor
Hours</t>
        </is>
      </c>
      <c r="C59" t="inlineStr">
        <is>
          <t>C.27</t>
        </is>
      </c>
      <c r="D59" t="n">
        <v>44</v>
      </c>
      <c r="E59" s="6"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C.27</t>
        </is>
      </c>
      <c r="B60" s="4" t="inlineStr">
        <is>
          <t>WAWF access. To access WAWF, the Contractor shall—</t>
        </is>
      </c>
      <c r="C60" t="inlineStr">
        <is>
          <t>C.27</t>
        </is>
      </c>
      <c r="D60" t="n">
        <v>44</v>
      </c>
      <c r="E60" s="6"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C.27</t>
        </is>
      </c>
      <c r="B61" s="4" t="inlineStr">
        <is>
          <t>WAWF training. The Contractor should follow the training instructions of the WAWF Web-Based Training
Course and use the Practice Training Site before submitting payment requests through WAWF. Both can be accessed
by selecting the “Web Based Training” link on the WAWF home page at https://wawf.eb.mil/</t>
        </is>
      </c>
      <c r="C61" t="inlineStr">
        <is>
          <t>C.27</t>
        </is>
      </c>
      <c r="D61" t="n">
        <v>44</v>
      </c>
      <c r="E61" s="7" t="inlineStr">
        <is>
          <t>Medium</t>
        </is>
      </c>
      <c r="F61" t="inlineStr">
        <is>
          <t>Highly Desirable</t>
        </is>
      </c>
      <c r="G61" t="inlineStr"/>
      <c r="H61" t="inlineStr">
        <is>
          <t>Not Started</t>
        </is>
      </c>
      <c r="I61" t="inlineStr"/>
      <c r="J61" t="inlineStr"/>
      <c r="K61" t="inlineStr"/>
      <c r="L61" t="inlineStr"/>
      <c r="M61" t="inlineStr"/>
      <c r="N61" t="inlineStr"/>
      <c r="O61" t="inlineStr"/>
      <c r="P61" t="inlineStr"/>
      <c r="Q61" t="inlineStr"/>
    </row>
    <row r="62">
      <c r="A62" t="inlineStr">
        <is>
          <t>C.27</t>
        </is>
      </c>
      <c r="B62" s="4" t="inlineStr">
        <is>
          <t>WAWF methods of document submission. Document submissions may be via web entry, Electronic Data
Interchange, or File Transfer Protocol.</t>
        </is>
      </c>
      <c r="C62" t="inlineStr">
        <is>
          <t>C.27</t>
        </is>
      </c>
      <c r="D62" t="n">
        <v>44</v>
      </c>
      <c r="E62" s="5" t="inlineStr">
        <is>
          <t>Low</t>
        </is>
      </c>
      <c r="F62" t="inlineStr">
        <is>
          <t>Desirable</t>
        </is>
      </c>
      <c r="G62" t="inlineStr"/>
      <c r="H62" t="inlineStr">
        <is>
          <t>Not Started</t>
        </is>
      </c>
      <c r="I62" t="inlineStr"/>
      <c r="J62" t="inlineStr"/>
      <c r="K62" t="inlineStr"/>
      <c r="L62" t="inlineStr"/>
      <c r="M62" t="inlineStr"/>
      <c r="N62" t="inlineStr"/>
      <c r="O62" t="inlineStr"/>
      <c r="P62" t="inlineStr"/>
      <c r="Q62" t="inlineStr"/>
    </row>
    <row r="63">
      <c r="A63" t="inlineStr">
        <is>
          <t>C.27</t>
        </is>
      </c>
      <c r="B63" s="4" t="inlineStr">
        <is>
          <t>WAWF payment instructions. The Contractor shall use the following information when submitting payment
requests and receiving reports in WAWF for this contract or task or delivery order:</t>
        </is>
      </c>
      <c r="C63" t="inlineStr">
        <is>
          <t>C.27</t>
        </is>
      </c>
      <c r="D63" t="n">
        <v>44</v>
      </c>
      <c r="E63" s="6" t="inlineStr">
        <is>
          <t>High</t>
        </is>
      </c>
      <c r="F63" t="inlineStr">
        <is>
          <t>Mandatory</t>
        </is>
      </c>
      <c r="G63" t="inlineStr"/>
      <c r="H63" t="inlineStr">
        <is>
          <t>Not Started</t>
        </is>
      </c>
      <c r="I63" t="inlineStr"/>
      <c r="J63" t="inlineStr"/>
      <c r="K63" t="inlineStr"/>
      <c r="L63" t="inlineStr"/>
      <c r="M63" t="inlineStr"/>
      <c r="N63" t="inlineStr"/>
      <c r="O63" t="inlineStr"/>
      <c r="P63" t="inlineStr"/>
      <c r="Q63" t="inlineStr"/>
    </row>
    <row r="64">
      <c r="A64" t="inlineStr">
        <is>
          <t>C.27</t>
        </is>
      </c>
      <c r="B64" s="4" t="inlineStr">
        <is>
          <t>Document type. The Contractor shall submit payment requests using the following document type(s):</t>
        </is>
      </c>
      <c r="C64" t="inlineStr">
        <is>
          <t>C.27</t>
        </is>
      </c>
      <c r="D64" t="n">
        <v>44</v>
      </c>
      <c r="E64" s="6" t="inlineStr">
        <is>
          <t>High</t>
        </is>
      </c>
      <c r="F64" t="inlineStr">
        <is>
          <t>Mandatory</t>
        </is>
      </c>
      <c r="G64" t="inlineStr"/>
      <c r="H64" t="inlineStr">
        <is>
          <t>Not Started</t>
        </is>
      </c>
      <c r="I64" t="inlineStr"/>
      <c r="J64" t="inlineStr"/>
      <c r="K64" t="inlineStr"/>
      <c r="L64" t="inlineStr"/>
      <c r="M64" t="inlineStr"/>
      <c r="N64" t="inlineStr"/>
      <c r="O64" t="inlineStr"/>
      <c r="P64" t="inlineStr"/>
      <c r="Q64" t="inlineStr"/>
    </row>
    <row r="65">
      <c r="A65" t="inlineStr">
        <is>
          <t>C.27</t>
        </is>
      </c>
      <c r="B65" s="4" t="inlineStr">
        <is>
          <t>[Note: The Contractor may use a WAWF “combo” document type to create some combinations of invoice and
receiving report in one step.]</t>
        </is>
      </c>
      <c r="C65" t="inlineStr">
        <is>
          <t>C.27</t>
        </is>
      </c>
      <c r="D65" t="n">
        <v>44</v>
      </c>
      <c r="E65" s="5" t="inlineStr">
        <is>
          <t>Low</t>
        </is>
      </c>
      <c r="F65" t="inlineStr">
        <is>
          <t>Desirable</t>
        </is>
      </c>
      <c r="G65" t="inlineStr"/>
      <c r="H65" t="inlineStr">
        <is>
          <t>Not Started</t>
        </is>
      </c>
      <c r="I65" t="inlineStr"/>
      <c r="J65" t="inlineStr"/>
      <c r="K65" t="inlineStr"/>
      <c r="L65" t="inlineStr"/>
      <c r="M65" t="inlineStr"/>
      <c r="N65" t="inlineStr"/>
      <c r="O65" t="inlineStr"/>
      <c r="P65" t="inlineStr"/>
      <c r="Q65" t="inlineStr"/>
    </row>
    <row r="66">
      <c r="A66" t="inlineStr">
        <is>
          <t>C.27</t>
        </is>
      </c>
      <c r="B66" s="4" t="inlineStr">
        <is>
          <t>Document routing. The Contractor shall use the information in the Routing Data Table below only to fill in
applicable fields in WAWF when creating payment requests and receiving reports in the system.  
Field Name in WAWF  Data to be entered in WAWF 
Pay Official DoDAAC **
Issue By DoDAAC N00178
Admin DoDAAC** **
Inspect By DoDAAC
N00178
Ship To Code Not Applicable
Ship From Code Not Applicable
Mark For Code Not Applicable
Service Approver (DoDAAC) N00178
Service Acceptor (DoDAAC)
N00178
Accept at Other DoDAAC Not Applicable
LPO DoDAAC Not Applicable
DCAA Auditor DoDAAC **
Other DoDAAC(s) Not Applicable
**To be completed at time of award</t>
        </is>
      </c>
      <c r="C66" t="inlineStr">
        <is>
          <t>C.27</t>
        </is>
      </c>
      <c r="D66" t="n">
        <v>44</v>
      </c>
      <c r="E66" s="6" t="inlineStr">
        <is>
          <t>High</t>
        </is>
      </c>
      <c r="F66" t="inlineStr">
        <is>
          <t>Mandatory</t>
        </is>
      </c>
      <c r="G66" t="inlineStr"/>
      <c r="H66" t="inlineStr">
        <is>
          <t>Not Started</t>
        </is>
      </c>
      <c r="I66" t="inlineStr"/>
      <c r="J66" t="inlineStr"/>
      <c r="K66" t="inlineStr"/>
      <c r="L66" t="inlineStr"/>
      <c r="M66" t="inlineStr"/>
      <c r="N66" t="inlineStr"/>
      <c r="O66" t="inlineStr"/>
      <c r="P66" t="inlineStr"/>
      <c r="Q66" t="inlineStr"/>
    </row>
    <row r="67">
      <c r="A67" t="inlineStr">
        <is>
          <t>C.27</t>
        </is>
      </c>
      <c r="B67" s="4" t="inlineStr">
        <is>
          <t>Payment request. The Contractor shall ensure a payment request includes documentation appropriate to the type
of payment request in accordance with the payment clause, contract financing clause, or Federal Acquisition</t>
        </is>
      </c>
      <c r="C67" t="inlineStr">
        <is>
          <t>C.27</t>
        </is>
      </c>
      <c r="D67" t="n">
        <v>44</v>
      </c>
      <c r="E67" s="6" t="inlineStr">
        <is>
          <t>High</t>
        </is>
      </c>
      <c r="F67" t="inlineStr">
        <is>
          <t>Mandatory</t>
        </is>
      </c>
      <c r="G67" t="inlineStr"/>
      <c r="H67" t="inlineStr">
        <is>
          <t>Not Started</t>
        </is>
      </c>
      <c r="I67" t="inlineStr"/>
      <c r="J67" t="inlineStr"/>
      <c r="K67" t="inlineStr"/>
      <c r="L67" t="inlineStr"/>
      <c r="M67" t="inlineStr"/>
      <c r="N67" t="inlineStr"/>
      <c r="O67" t="inlineStr"/>
      <c r="P67" t="inlineStr"/>
      <c r="Q67" t="inlineStr"/>
    </row>
    <row r="68">
      <c r="A68" t="inlineStr">
        <is>
          <t>C.27</t>
        </is>
      </c>
      <c r="B68" s="4" t="inlineStr">
        <is>
          <t>Receiving report. The Contractor shall ensure a receiving report meets the requirements of DFARS Appendix F.</t>
        </is>
      </c>
      <c r="C68" t="inlineStr">
        <is>
          <t>C.27</t>
        </is>
      </c>
      <c r="D68" t="n">
        <v>44</v>
      </c>
      <c r="E68" s="6" t="inlineStr">
        <is>
          <t>High</t>
        </is>
      </c>
      <c r="F68" t="inlineStr">
        <is>
          <t>Mandatory</t>
        </is>
      </c>
      <c r="G68" t="inlineStr"/>
      <c r="H68" t="inlineStr">
        <is>
          <t>Not Started</t>
        </is>
      </c>
      <c r="I68" t="inlineStr"/>
      <c r="J68" t="inlineStr"/>
      <c r="K68" t="inlineStr"/>
      <c r="L68" t="inlineStr"/>
      <c r="M68" t="inlineStr"/>
      <c r="N68" t="inlineStr"/>
      <c r="O68" t="inlineStr">
        <is>
          <t>Appendix F</t>
        </is>
      </c>
      <c r="P68" t="inlineStr"/>
      <c r="Q68" t="inlineStr"/>
    </row>
    <row r="69">
      <c r="A69" t="inlineStr">
        <is>
          <t>C.27</t>
        </is>
      </c>
      <c r="B69" s="4" t="inlineStr">
        <is>
          <t>The Contractor may obtain clarification regarding invoicing in WAWF from the following contracting activity’ s
WAWF point of contact. 
DLGR_NSWC_WAWF@NA VY .MIL</t>
        </is>
      </c>
      <c r="C69" t="inlineStr">
        <is>
          <t>C.27</t>
        </is>
      </c>
      <c r="D69" t="n">
        <v>44</v>
      </c>
      <c r="E69" s="5" t="inlineStr">
        <is>
          <t>Low</t>
        </is>
      </c>
      <c r="F69" t="inlineStr">
        <is>
          <t>Desirable</t>
        </is>
      </c>
      <c r="G69" t="inlineStr"/>
      <c r="H69" t="inlineStr">
        <is>
          <t>Not Started</t>
        </is>
      </c>
      <c r="I69" t="inlineStr"/>
      <c r="J69" t="inlineStr"/>
      <c r="K69" t="inlineStr"/>
      <c r="L69" t="inlineStr"/>
      <c r="M69" t="inlineStr"/>
      <c r="N69" t="inlineStr"/>
      <c r="O69" t="inlineStr"/>
      <c r="P69" t="inlineStr"/>
      <c r="Q69" t="inlineStr"/>
    </row>
    <row r="70">
      <c r="A70" t="inlineStr">
        <is>
          <t>C.27</t>
        </is>
      </c>
      <c r="B70" s="4" t="inlineStr">
        <is>
          <t>Contact the WAWF helpdesk at 866-618-5988, if assistance is needed.
G-216-H001 FIXED FEE WITHHOLD--FAR 52.216-8 CLARIFICATION (NA VSEA) (OCT 2018) 
The Government will withhold 15% of each fixed fee payment starting with the first invoice submitted until a total
of $100,000 of Fixed-Fee has been withheld.  Withheld amounts will be released in accordance with FAR 52.216-8,
Fixed-Fee.
G-232-H002 PAYMENT INSTRUCTIONS (NA VSEA) (FEB 2024) 
Payment office allocation methods can be found in the table at DFARS PGI 204.7108(b)(2) (https://www.acq.osd.mil
/dpap/dars/pgi/pgi_htm/current/PGI204_71.htm#payment_instructions).
G-232-H005 SUPPLEMENTAL INSTRUCTIONS REGARDING INVOICING (NA VSEA) (JAN 2019)</t>
        </is>
      </c>
      <c r="C70" t="inlineStr">
        <is>
          <t>C.27</t>
        </is>
      </c>
      <c r="D70" t="n">
        <v>44</v>
      </c>
      <c r="E70" s="5" t="inlineStr">
        <is>
          <t>Low</t>
        </is>
      </c>
      <c r="F70" t="inlineStr">
        <is>
          <t>Desirable</t>
        </is>
      </c>
      <c r="G70" t="inlineStr"/>
      <c r="H70" t="inlineStr">
        <is>
          <t>Not Started</t>
        </is>
      </c>
      <c r="I70" t="inlineStr"/>
      <c r="J70" t="inlineStr"/>
      <c r="K70" t="inlineStr"/>
      <c r="L70" t="inlineStr"/>
      <c r="M70" t="inlineStr"/>
      <c r="N70" t="inlineStr"/>
      <c r="O70" t="inlineStr">
        <is>
          <t>FAR 52.216-8</t>
        </is>
      </c>
      <c r="P70" t="inlineStr"/>
      <c r="Q70" t="inlineStr"/>
    </row>
    <row r="71">
      <c r="A71" t="inlineStr">
        <is>
          <t>C.27</t>
        </is>
      </c>
      <c r="B71" s="4" t="inlineStr">
        <is>
          <t>For other than Firm-Fixed-Priced contract line item numbers (CLINs), the Contractor agrees to segregate costs
incurred under this contract/Task Order (TO), as applicable, at the lowest level of performance, either at the sub line
item number (SLIN) or CLIN level, rather than at the total contract/TO level, and to submit invoices reflecting costs
incurred at that level. Supporting documentation in Wide Area Workflow (WAWF) for invoices shall include
summaries of work charged during the period covered as well as overall cumulative summaries by individual Labor
Categories, rates, and hours (both straight time and overtime) invoiced; as well as, a cost breakdown of other direct
costs (ODCs), materials, and travel, by technical instruction (TI), SLIN, or CLIN level. For other than
Firm-Fixed-Price subcontracts, Sub-contractors are also required to provide Labor Categories, rates, and hours (both
straight time and overtime) invoiced; as well as, a cost breakdown of ODCs, materials, and travel</t>
        </is>
      </c>
      <c r="C71" t="inlineStr">
        <is>
          <t>C.27</t>
        </is>
      </c>
      <c r="D71" t="n">
        <v>44</v>
      </c>
      <c r="E71" s="6"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C.27</t>
        </is>
      </c>
      <c r="B72" s="4" t="inlineStr">
        <is>
          <t>Supporting documentation may be encrypted before submission to the prime Contractor for WAWF invoice</t>
        </is>
      </c>
      <c r="C72" t="inlineStr">
        <is>
          <t>C.27</t>
        </is>
      </c>
      <c r="D72" t="n">
        <v>44</v>
      </c>
      <c r="E72" s="5" t="inlineStr">
        <is>
          <t>Low</t>
        </is>
      </c>
      <c r="F72" t="inlineStr">
        <is>
          <t>Desirable</t>
        </is>
      </c>
      <c r="G72" t="inlineStr"/>
      <c r="H72" t="inlineStr">
        <is>
          <t>Not Started</t>
        </is>
      </c>
      <c r="I72" t="inlineStr"/>
      <c r="J72" t="inlineStr"/>
      <c r="K72" t="inlineStr"/>
      <c r="L72" t="inlineStr"/>
      <c r="M72" t="inlineStr"/>
      <c r="N72" t="inlineStr"/>
      <c r="O72" t="inlineStr"/>
      <c r="P72" t="inlineStr"/>
      <c r="Q72" t="inlineStr"/>
    </row>
    <row r="73">
      <c r="A73" t="inlineStr">
        <is>
          <t>C.27</t>
        </is>
      </c>
      <c r="B73" s="4" t="inlineStr">
        <is>
          <t>Sub-contractors may email encryption code information directly to the Contracting Officer and
Contracting Officer Representative (COR). Should the Sub-contractor lack encryption capability, the Sub-contractor
may also email detailed supporting cost information directly to the Contracting Officer and COR; or other method as
agreed to by the Contracting Officer.</t>
        </is>
      </c>
      <c r="C73" t="inlineStr">
        <is>
          <t>C.27</t>
        </is>
      </c>
      <c r="D73" t="n">
        <v>44</v>
      </c>
      <c r="E73" s="7" t="inlineStr">
        <is>
          <t>Medium</t>
        </is>
      </c>
      <c r="F73" t="inlineStr">
        <is>
          <t>Highly Desirable</t>
        </is>
      </c>
      <c r="G73" t="inlineStr"/>
      <c r="H73" t="inlineStr">
        <is>
          <t>Not Started</t>
        </is>
      </c>
      <c r="I73" t="inlineStr"/>
      <c r="J73" t="inlineStr"/>
      <c r="K73" t="inlineStr"/>
      <c r="L73" t="inlineStr"/>
      <c r="M73" t="inlineStr"/>
      <c r="N73" t="inlineStr"/>
      <c r="O73" t="inlineStr"/>
      <c r="P73" t="inlineStr"/>
      <c r="Q73" t="inlineStr"/>
    </row>
    <row r="74">
      <c r="A74" t="inlineStr">
        <is>
          <t>C.27</t>
        </is>
      </c>
      <c r="B74" s="4" t="inlineStr">
        <is>
          <t>Contractors submitting payment requests and receiving reports to WAWF using either Electronic Data
Interchange (EDI) or Secure File Transfer Protocol (SFTP) shall separately send an email notification to the COR
and Contracting Officer on the same date they submit the invoice in WAWF.  No payments shall be due if the
Contractor does not provide the COR and Contracting Officer email notification as required herein. 
G-242-H001 GOVERNMENT CONTRACT ADMINISTRATION POINTS-OF-CONTACT AND
RESPONSIBILITIES (NA VSEA) (OCT 2023)</t>
        </is>
      </c>
      <c r="C74" t="inlineStr">
        <is>
          <t>C.27</t>
        </is>
      </c>
      <c r="D74" t="n">
        <v>44</v>
      </c>
      <c r="E74" s="6" t="inlineStr">
        <is>
          <t>High</t>
        </is>
      </c>
      <c r="F74" t="inlineStr">
        <is>
          <t>Mandatory</t>
        </is>
      </c>
      <c r="G74" t="inlineStr"/>
      <c r="H74" t="inlineStr">
        <is>
          <t>Not Started</t>
        </is>
      </c>
      <c r="I74" t="inlineStr"/>
      <c r="J74" t="inlineStr"/>
      <c r="K74" t="inlineStr"/>
      <c r="L74" t="inlineStr"/>
      <c r="M74" t="inlineStr"/>
      <c r="N74" t="inlineStr"/>
      <c r="O74" t="inlineStr"/>
      <c r="P74" t="inlineStr"/>
      <c r="Q74" t="inlineStr"/>
    </row>
    <row r="75">
      <c r="A75" t="inlineStr">
        <is>
          <t>C.27</t>
        </is>
      </c>
      <c r="B75" s="4" t="inlineStr">
        <is>
          <t>N0017826R30020003 - FINAL
Page 60 of 114
Contractor shall not comply with any order, direction or request of Government personnel - that would constitute a
change - unless it is issued in writing and signed by the Contracting Officer or is pursuant to specific authority
otherwise included as part of this contract. If, in the opinion of the contractor, an effort outside the existing scope of
this contract is requested, the contractor shall promptly comply with the Notification of Changes clause of this</t>
        </is>
      </c>
      <c r="C75" t="inlineStr">
        <is>
          <t>C.27</t>
        </is>
      </c>
      <c r="D75" t="n">
        <v>44</v>
      </c>
      <c r="E75" s="6"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C.27</t>
        </is>
      </c>
      <c r="B76" s="4" t="inlineStr">
        <is>
          <t>The federal Government observes public Holidays that have been established under 5 U.S.C. 6103. The actual
date of observance for each of the holidays, for a specific calendar year, may be obtained from the OPM website at
OPM.GOV or by using the following direct link: https://www.opm.gov/policy-data-oversight/pay-leave/federal-
holidays/.</t>
        </is>
      </c>
      <c r="C76" t="inlineStr">
        <is>
          <t>C.27</t>
        </is>
      </c>
      <c r="D76" t="n">
        <v>44</v>
      </c>
      <c r="E76" s="5" t="inlineStr">
        <is>
          <t>Low</t>
        </is>
      </c>
      <c r="F76" t="inlineStr">
        <is>
          <t>Desirable</t>
        </is>
      </c>
      <c r="G76" t="inlineStr"/>
      <c r="H76" t="inlineStr">
        <is>
          <t>Not Started</t>
        </is>
      </c>
      <c r="I76" t="inlineStr"/>
      <c r="J76" t="inlineStr"/>
      <c r="K76" t="inlineStr"/>
      <c r="L76" t="inlineStr"/>
      <c r="M76" t="inlineStr"/>
      <c r="N76" t="inlineStr"/>
      <c r="O76" t="inlineStr"/>
      <c r="P76" t="inlineStr"/>
      <c r="Q76" t="inlineStr"/>
    </row>
    <row r="77">
      <c r="A77" t="inlineStr">
        <is>
          <t>C.27</t>
        </is>
      </c>
      <c r="B77" s="4" t="inlineStr">
        <is>
          <t>Delayed Opening, Early Dismissal and Closure of Government Facilities.  When a Government facility has a
delayed opening, is closed or Federal employees are dismissed early (due to severe weather, security threat, security
exercise, or a facility related problem) that prevents personnel from working, onsite Contractor personnel regularly
assigned to work at that facility shall follow the same reporting and/or departure directions given to Government</t>
        </is>
      </c>
      <c r="C77" t="inlineStr">
        <is>
          <t>C.27</t>
        </is>
      </c>
      <c r="D77" t="n">
        <v>44</v>
      </c>
      <c r="E77" s="6" t="inlineStr">
        <is>
          <t>High</t>
        </is>
      </c>
      <c r="F77" t="inlineStr">
        <is>
          <t>Mandatory</t>
        </is>
      </c>
      <c r="G77" t="inlineStr"/>
      <c r="H77" t="inlineStr">
        <is>
          <t>Not Started</t>
        </is>
      </c>
      <c r="I77" t="inlineStr"/>
      <c r="J77" t="inlineStr"/>
      <c r="K77" t="inlineStr"/>
      <c r="L77" t="inlineStr"/>
      <c r="M77" t="inlineStr"/>
      <c r="N77" t="inlineStr"/>
      <c r="O77" t="inlineStr"/>
      <c r="P77" t="inlineStr"/>
      <c r="Q77" t="inlineStr"/>
    </row>
    <row r="78">
      <c r="A78" t="inlineStr">
        <is>
          <t>C.27</t>
        </is>
      </c>
      <c r="B78" s="4" t="inlineStr">
        <is>
          <t>The Contractor shall not direct charge to the contract for such time off, but shall follow parent company
policies regarding taking leave (administrative or other). Non-essential Contractor personnel, who are not required to
remain at or report to the facility, shall follow their parent company policy regarding whether they should go/stay
home or report to another company facility. Subsequent to an early dismissal, delayed opening, or during periods of
inclement weather, onsite Contractors should monitor the OPM website as well as radio and television
announcements before departing for work to determine if the facility is closed or operating on a delayed arrival basis.</t>
        </is>
      </c>
      <c r="C78" t="inlineStr">
        <is>
          <t>C.27</t>
        </is>
      </c>
      <c r="D78" t="n">
        <v>44</v>
      </c>
      <c r="E78" s="6" t="inlineStr">
        <is>
          <t>High</t>
        </is>
      </c>
      <c r="F78" t="inlineStr">
        <is>
          <t>Mandatory</t>
        </is>
      </c>
      <c r="G78" t="inlineStr"/>
      <c r="H78" t="inlineStr">
        <is>
          <t>Not Started</t>
        </is>
      </c>
      <c r="I78" t="inlineStr"/>
      <c r="J78" t="inlineStr"/>
      <c r="K78" t="inlineStr"/>
      <c r="L78" t="inlineStr"/>
      <c r="M78" t="inlineStr"/>
      <c r="N78" t="inlineStr"/>
      <c r="O78" t="inlineStr"/>
      <c r="P78" t="inlineStr"/>
      <c r="Q78" t="inlineStr"/>
    </row>
    <row r="79">
      <c r="A79" t="inlineStr">
        <is>
          <t>C.27</t>
        </is>
      </c>
      <c r="B79" s="4" t="inlineStr">
        <is>
          <t>N0017826R30020003 - FINAL
Page 63 of 114
weather, a security threat, or a facility related problem), on site Contractors shall continue working established work
hours or take leave in accordance with parent company policy. Those Contractor employees who take leave shall not
direct charge the non-working hours to the contract.  Contractors are responsible for predetermining and disclosing
their charging practices for early dismissal, delayed openings, or closings in accordance with the FAR, applicable
cost accounting standards, and the company’ s established policy and procedures. Contractors shall follow their
disclosed charging practices during the contract Period of Performance, and shall not follow any verbal directions to
the contrary. The Contracting Officer will make the determination of cost allowability for time lost due to facility
closure in accordance with FAR, applicable Cost Accounting Standards, and the Contractor's established accounting
policy and procedures.</t>
        </is>
      </c>
      <c r="C79" t="inlineStr">
        <is>
          <t>C.27</t>
        </is>
      </c>
      <c r="D79" t="n">
        <v>44</v>
      </c>
      <c r="E79" s="6" t="inlineStr">
        <is>
          <t>High</t>
        </is>
      </c>
      <c r="F79" t="inlineStr">
        <is>
          <t>Mandatory</t>
        </is>
      </c>
      <c r="G79" t="inlineStr"/>
      <c r="H79" t="inlineStr">
        <is>
          <t>Not Started</t>
        </is>
      </c>
      <c r="I79" t="inlineStr"/>
      <c r="J79" t="inlineStr"/>
      <c r="K79" t="inlineStr"/>
      <c r="L79" t="inlineStr"/>
      <c r="M79" t="inlineStr"/>
      <c r="N79" t="inlineStr"/>
      <c r="O79" t="inlineStr"/>
      <c r="P79" t="inlineStr"/>
      <c r="Q79" t="inlineStr"/>
    </row>
    <row r="80">
      <c r="A80" t="inlineStr">
        <is>
          <t>C.27</t>
        </is>
      </c>
      <c r="B80" s="4" t="inlineStr">
        <is>
          <t>All deliveries to the Receiving Officer, NSWCDD, shall be made Monday through Friday from 0700 to 1430,
local time.  Deliveries will not be accepted after 1600.  No deliveries will be accepted on federal government</t>
        </is>
      </c>
      <c r="C80" t="inlineStr">
        <is>
          <t>C.27</t>
        </is>
      </c>
      <c r="D80" t="n">
        <v>44</v>
      </c>
      <c r="E80" s="6" t="inlineStr">
        <is>
          <t>High</t>
        </is>
      </c>
      <c r="F80" t="inlineStr">
        <is>
          <t>Mandatory</t>
        </is>
      </c>
      <c r="G80" t="inlineStr"/>
      <c r="H80" t="inlineStr">
        <is>
          <t>Not Started</t>
        </is>
      </c>
      <c r="I80" t="inlineStr"/>
      <c r="J80" t="inlineStr"/>
      <c r="K80" t="inlineStr"/>
      <c r="L80" t="inlineStr"/>
      <c r="M80" t="inlineStr"/>
      <c r="N80" t="inlineStr"/>
      <c r="O80" t="inlineStr"/>
      <c r="P80" t="inlineStr"/>
      <c r="Q80" t="inlineStr"/>
    </row>
    <row r="81">
      <c r="A81" t="inlineStr">
        <is>
          <t>C.27</t>
        </is>
      </c>
      <c r="B81" s="4" t="inlineStr">
        <is>
          <t>The Contractor agrees that, if after award, it discovers an actual or potential organizational conflict of interest,
it shall make immediate and full disclosure in writing to the Contracting Officer. The notification shall include
a description of the actual or potential organizational conflict of interest, a description of the action which
the Contractor has taken or proposes to take to avoid, mitigate, or neutralize the conflict, and any other
relevant information that would assist the Contracting Officer in making a determination on this matter.
Notwithstanding this notification, the Government may terminate the contract for the convenience of the
Government if determined to be in the best interest of the Government.</t>
        </is>
      </c>
      <c r="C81" t="inlineStr">
        <is>
          <t>C.27</t>
        </is>
      </c>
      <c r="D81" t="n">
        <v>44</v>
      </c>
      <c r="E81" s="6" t="inlineStr">
        <is>
          <t>High</t>
        </is>
      </c>
      <c r="F81" t="inlineStr">
        <is>
          <t>Mandatory</t>
        </is>
      </c>
      <c r="G81" t="inlineStr"/>
      <c r="H81" t="inlineStr">
        <is>
          <t>Not Started</t>
        </is>
      </c>
      <c r="I81" t="inlineStr"/>
      <c r="J81" t="inlineStr"/>
      <c r="K81" t="inlineStr"/>
      <c r="L81" t="inlineStr"/>
      <c r="M81" t="inlineStr"/>
      <c r="N81" t="inlineStr"/>
      <c r="O81" t="inlineStr"/>
      <c r="P81" t="inlineStr"/>
      <c r="Q81" t="inlineStr"/>
    </row>
    <row r="82">
      <c r="A82" t="inlineStr">
        <is>
          <t>C.27</t>
        </is>
      </c>
      <c r="B82" s="4" t="inlineStr">
        <is>
          <t>Notwithstanding paragraph (c) above, if the Contractor was aware, or should have been aware, of
an organizational conflict of interest prior to the award of this contract or becomes, or should become, aware of
an organizational conflict of interest after award of this contract and does not make an immediate and full disclosure
in writing to the Contracting Officer, the Government may terminate this contract for default.</t>
        </is>
      </c>
      <c r="C82" t="inlineStr">
        <is>
          <t>C.27</t>
        </is>
      </c>
      <c r="D82" t="n">
        <v>44</v>
      </c>
      <c r="E82" s="7" t="inlineStr">
        <is>
          <t>Medium</t>
        </is>
      </c>
      <c r="F82" t="inlineStr">
        <is>
          <t>Highly Desirable</t>
        </is>
      </c>
      <c r="G82" t="inlineStr"/>
      <c r="H82" t="inlineStr">
        <is>
          <t>Not Started</t>
        </is>
      </c>
      <c r="I82" t="inlineStr"/>
      <c r="J82" t="inlineStr"/>
      <c r="K82" t="inlineStr"/>
      <c r="L82" t="inlineStr"/>
      <c r="M82" t="inlineStr"/>
      <c r="N82" t="inlineStr"/>
      <c r="O82" t="inlineStr"/>
      <c r="P82" t="inlineStr"/>
      <c r="Q82" t="inlineStr"/>
    </row>
    <row r="83">
      <c r="A83" t="inlineStr">
        <is>
          <t>C.27</t>
        </is>
      </c>
      <c r="B83" s="4" t="inlineStr">
        <is>
          <t>If the Contractor fails to take action required by this requirement, or required by the Contracting Officer
upon receipt of the Contractor’ s disclosure required by paragraph (c), the Government may terminate this contract
for default.</t>
        </is>
      </c>
      <c r="C83" t="inlineStr">
        <is>
          <t>C.27</t>
        </is>
      </c>
      <c r="D83" t="n">
        <v>44</v>
      </c>
      <c r="E83" s="5" t="inlineStr">
        <is>
          <t>Low</t>
        </is>
      </c>
      <c r="F83" t="inlineStr">
        <is>
          <t>Desirable</t>
        </is>
      </c>
      <c r="G83" t="inlineStr"/>
      <c r="H83" t="inlineStr">
        <is>
          <t>Not Started</t>
        </is>
      </c>
      <c r="I83" t="inlineStr"/>
      <c r="J83" t="inlineStr"/>
      <c r="K83" t="inlineStr"/>
      <c r="L83" t="inlineStr"/>
      <c r="M83" t="inlineStr"/>
      <c r="N83" t="inlineStr"/>
      <c r="O83" t="inlineStr"/>
      <c r="P83" t="inlineStr"/>
      <c r="Q83" t="inlineStr"/>
    </row>
    <row r="84">
      <c r="A84" t="inlineStr">
        <is>
          <t>C.27</t>
        </is>
      </c>
      <c r="B84" s="4" t="inlineStr">
        <is>
          <t>The Contracting Officer's decision as to the existence or nonexistence of an actual or potential
organizational conflict of interest shall be final.</t>
        </is>
      </c>
      <c r="C84" t="inlineStr">
        <is>
          <t>C.27</t>
        </is>
      </c>
      <c r="D84" t="n">
        <v>44</v>
      </c>
      <c r="E84" s="6" t="inlineStr">
        <is>
          <t>High</t>
        </is>
      </c>
      <c r="F84" t="inlineStr">
        <is>
          <t>Mandatory</t>
        </is>
      </c>
      <c r="G84" t="inlineStr"/>
      <c r="H84" t="inlineStr">
        <is>
          <t>Not Started</t>
        </is>
      </c>
      <c r="I84" t="inlineStr"/>
      <c r="J84" t="inlineStr"/>
      <c r="K84" t="inlineStr"/>
      <c r="L84" t="inlineStr"/>
      <c r="M84" t="inlineStr"/>
      <c r="N84" t="inlineStr"/>
      <c r="O84" t="inlineStr"/>
      <c r="P84" t="inlineStr"/>
      <c r="Q84" t="inlineStr"/>
    </row>
    <row r="85">
      <c r="A85" t="inlineStr">
        <is>
          <t>C.27</t>
        </is>
      </c>
      <c r="B85" s="4" t="inlineStr">
        <is>
          <t>The Contractor shall promptly notify the Contracting Officer, in writing, if it has been tasked to evaluate or
advise the Government concerning its own products or activities, those of its subcontractors, those of one of
its prime contractors (to which the contractor is a subcontractor), or those of a competitor in order to ensure
proper safeguards exist to guarantee objectivity and to protect the Government's interest.</t>
        </is>
      </c>
      <c r="C85" t="inlineStr">
        <is>
          <t>C.27</t>
        </is>
      </c>
      <c r="D85" t="n">
        <v>44</v>
      </c>
      <c r="E85" s="6" t="inlineStr">
        <is>
          <t>High</t>
        </is>
      </c>
      <c r="F85" t="inlineStr">
        <is>
          <t>Mandatory</t>
        </is>
      </c>
      <c r="G85" t="inlineStr"/>
      <c r="H85" t="inlineStr">
        <is>
          <t>Not Started</t>
        </is>
      </c>
      <c r="I85" t="inlineStr"/>
      <c r="J85" t="inlineStr"/>
      <c r="K85" t="inlineStr"/>
      <c r="L85" t="inlineStr"/>
      <c r="M85" t="inlineStr"/>
      <c r="N85" t="inlineStr"/>
      <c r="O85" t="inlineStr"/>
      <c r="P85" t="inlineStr"/>
      <c r="Q85" t="inlineStr"/>
    </row>
    <row r="86">
      <c r="A86" t="inlineStr">
        <is>
          <t>C.27</t>
        </is>
      </c>
      <c r="B86" s="4" t="inlineStr">
        <is>
          <t>The Contractor shall include this requirement in subcontracts of any tier which involve access to information
or situations/conditions covered by the preceding paragraphs, substituting "subcontractor" for "contractor"
where appropriate.</t>
        </is>
      </c>
      <c r="C86" t="inlineStr">
        <is>
          <t>C.27</t>
        </is>
      </c>
      <c r="D86" t="n">
        <v>44</v>
      </c>
      <c r="E86" s="6" t="inlineStr">
        <is>
          <t>High</t>
        </is>
      </c>
      <c r="F86" t="inlineStr">
        <is>
          <t>Mandatory</t>
        </is>
      </c>
      <c r="G86" t="inlineStr"/>
      <c r="H86" t="inlineStr">
        <is>
          <t>Not Started</t>
        </is>
      </c>
      <c r="I86" t="inlineStr"/>
      <c r="J86" t="inlineStr"/>
      <c r="K86" t="inlineStr"/>
      <c r="L86" t="inlineStr"/>
      <c r="M86" t="inlineStr"/>
      <c r="N86" t="inlineStr"/>
      <c r="O86" t="inlineStr"/>
      <c r="P86" t="inlineStr"/>
      <c r="Q86" t="inlineStr"/>
    </row>
    <row r="87">
      <c r="A87" t="inlineStr">
        <is>
          <t>C.27</t>
        </is>
      </c>
      <c r="B87" s="4" t="inlineStr">
        <is>
          <t>The rights and remedies described herein shall not be exclusive and are in addition to other rights and
remedies provided by law or elsewhere included in this contract.</t>
        </is>
      </c>
      <c r="C87" t="inlineStr">
        <is>
          <t>C.27</t>
        </is>
      </c>
      <c r="D87" t="n">
        <v>44</v>
      </c>
      <c r="E87" s="6" t="inlineStr">
        <is>
          <t>High</t>
        </is>
      </c>
      <c r="F87" t="inlineStr">
        <is>
          <t>Mandatory</t>
        </is>
      </c>
      <c r="G87" t="inlineStr"/>
      <c r="H87" t="inlineStr">
        <is>
          <t>Not Started</t>
        </is>
      </c>
      <c r="I87" t="inlineStr"/>
      <c r="J87" t="inlineStr"/>
      <c r="K87" t="inlineStr"/>
      <c r="L87" t="inlineStr"/>
      <c r="M87" t="inlineStr"/>
      <c r="N87" t="inlineStr"/>
      <c r="O87" t="inlineStr"/>
      <c r="P87" t="inlineStr"/>
      <c r="Q87" t="inlineStr"/>
    </row>
    <row r="88">
      <c r="A88" t="inlineStr">
        <is>
          <t>C.27</t>
        </is>
      </c>
      <c r="B88" s="4" t="inlineStr">
        <is>
          <t>It is recognized that the effort to be performed by the Contractor under this contract may create a potential
organizational conflict of interest on the instant contract or on a future acquisition. In order to avoid this potential
conflict of interest, and at the same time to avoid prejudicing the best interest of the Government, the right of the
Contractor to participate in future procurement of equipment or services that are the subject of any work under this
contract shall be limited in accordance with FAR 9.5.</t>
        </is>
      </c>
      <c r="C88" t="inlineStr">
        <is>
          <t>C.27</t>
        </is>
      </c>
      <c r="D88" t="n">
        <v>44</v>
      </c>
      <c r="E88" s="6" t="inlineStr">
        <is>
          <t>High</t>
        </is>
      </c>
      <c r="F88" t="inlineStr">
        <is>
          <t>Mandatory</t>
        </is>
      </c>
      <c r="G88" t="inlineStr"/>
      <c r="H88" t="inlineStr">
        <is>
          <t>Not Started</t>
        </is>
      </c>
      <c r="I88" t="inlineStr"/>
      <c r="J88" t="inlineStr"/>
      <c r="K88" t="inlineStr"/>
      <c r="L88" t="inlineStr"/>
      <c r="M88" t="inlineStr"/>
      <c r="N88" t="inlineStr"/>
      <c r="O88" t="inlineStr">
        <is>
          <t>FAR 9.5</t>
        </is>
      </c>
      <c r="P88" t="inlineStr"/>
      <c r="Q88" t="inlineStr"/>
    </row>
    <row r="89">
      <c r="A89" t="inlineStr">
        <is>
          <t>C.27</t>
        </is>
      </c>
      <c r="B89" s="4" t="inlineStr">
        <is>
          <t>The Contractor agrees that to prevent the existence of conflicting roles and unfair competitive advantage, during
the performance of this contract and for a period of three years after completion of performance of this contract, the
Contractor, any affiliate, subcontractor, consultant, or employee of the Contractor, any joint venture, any entity into
or with which it may subsequently merge or affiliate, or any other successor or assign of the Contractor, shall not
furnish to the United States Government, either as a prime contractor or as a subcontractor, or as a consultant to a
prime contractor or subcontractor, any system, component or services which is the subject of the work to be
performed under this contract, unless an exception under FAR 9.505 exists. This exclusion also does not apply to any
work covered by FAR 9.505-2 (a)(3) or (b)(3) or recompetition for those systems, components or services furnished
pursuant to this contract.</t>
        </is>
      </c>
      <c r="C89" t="inlineStr">
        <is>
          <t>C.27</t>
        </is>
      </c>
      <c r="D89" t="n">
        <v>44</v>
      </c>
      <c r="E89" s="6" t="inlineStr">
        <is>
          <t>High</t>
        </is>
      </c>
      <c r="F89" t="inlineStr">
        <is>
          <t>Mandatory</t>
        </is>
      </c>
      <c r="G89" t="inlineStr"/>
      <c r="H89" t="inlineStr">
        <is>
          <t>Not Started</t>
        </is>
      </c>
      <c r="I89" t="inlineStr"/>
      <c r="J89" t="inlineStr"/>
      <c r="K89" t="inlineStr"/>
      <c r="L89" t="inlineStr"/>
      <c r="M89" t="inlineStr"/>
      <c r="N89" t="inlineStr"/>
      <c r="O89" t="inlineStr">
        <is>
          <t>FAR 9.505, FAR 9.505-2</t>
        </is>
      </c>
      <c r="P89" t="inlineStr"/>
      <c r="Q89" t="inlineStr"/>
    </row>
    <row r="90">
      <c r="A90" t="inlineStr">
        <is>
          <t>C.27</t>
        </is>
      </c>
      <c r="B90" s="4" t="inlineStr">
        <is>
          <t>Nothing in this requirement is intended to prohibit or preclude the Contractor from marketing or selling to
the United States Government its product lines in existence on the effective date of this contract; nor, shall this
requirement preclude the Contractor from participating in any research and development or delivering any design
development model or prototype of any such equipment. Additionally, sale of catalog or standard commercial items
are exempt from this requirement.</t>
        </is>
      </c>
      <c r="C90" t="inlineStr">
        <is>
          <t>C.27</t>
        </is>
      </c>
      <c r="D90" t="n">
        <v>44</v>
      </c>
      <c r="E90" s="6" t="inlineStr">
        <is>
          <t>High</t>
        </is>
      </c>
      <c r="F90" t="inlineStr">
        <is>
          <t>Mandatory</t>
        </is>
      </c>
      <c r="G90" t="inlineStr"/>
      <c r="H90" t="inlineStr">
        <is>
          <t>Not Started</t>
        </is>
      </c>
      <c r="I90" t="inlineStr"/>
      <c r="J90" t="inlineStr"/>
      <c r="K90" t="inlineStr"/>
      <c r="L90" t="inlineStr"/>
      <c r="M90" t="inlineStr"/>
      <c r="N90" t="inlineStr"/>
      <c r="O90" t="inlineStr"/>
      <c r="P90" t="inlineStr"/>
      <c r="Q90" t="inlineStr"/>
    </row>
    <row r="91">
      <c r="A91" t="inlineStr">
        <is>
          <t>C.27</t>
        </is>
      </c>
      <c r="B91" s="4" t="inlineStr">
        <is>
          <t>The Contractor shall include this requirement in subcontracts of any tier which involve access to information or
situations/conditions covered by the preceding paragraphs, substituting "subcontractor" for "contractor" where</t>
        </is>
      </c>
      <c r="C91" t="inlineStr">
        <is>
          <t>C.27</t>
        </is>
      </c>
      <c r="D91" t="n">
        <v>44</v>
      </c>
      <c r="E91" s="6" t="inlineStr">
        <is>
          <t>High</t>
        </is>
      </c>
      <c r="F91" t="inlineStr">
        <is>
          <t>Mandatory</t>
        </is>
      </c>
      <c r="G91" t="inlineStr"/>
      <c r="H91" t="inlineStr">
        <is>
          <t>Not Started</t>
        </is>
      </c>
      <c r="I91" t="inlineStr"/>
      <c r="J91" t="inlineStr"/>
      <c r="K91" t="inlineStr"/>
      <c r="L91" t="inlineStr"/>
      <c r="M91" t="inlineStr"/>
      <c r="N91" t="inlineStr"/>
      <c r="O91" t="inlineStr"/>
      <c r="P91" t="inlineStr"/>
      <c r="Q91" t="inlineStr"/>
    </row>
    <row r="92">
      <c r="A92" t="inlineStr">
        <is>
          <t>C.27</t>
        </is>
      </c>
      <c r="B92" s="4" t="inlineStr">
        <is>
          <t>N0017826R30020003 - FINAL
Page 66 of 114
compensation for such excess work. All other effort is defined as compensated effort. If no effort is indicated in the
first sentence of this paragraph, uncompensated effort performed by the Contractor shall not be counted in
fulfillment of the level of effort obligations under this contract.</t>
        </is>
      </c>
      <c r="C92" t="inlineStr">
        <is>
          <t>C.27</t>
        </is>
      </c>
      <c r="D92" t="n">
        <v>44</v>
      </c>
      <c r="E92" s="6" t="inlineStr">
        <is>
          <t>High</t>
        </is>
      </c>
      <c r="F92" t="inlineStr">
        <is>
          <t>Mandatory</t>
        </is>
      </c>
      <c r="G92" t="inlineStr"/>
      <c r="H92" t="inlineStr">
        <is>
          <t>Not Started</t>
        </is>
      </c>
      <c r="I92" t="inlineStr"/>
      <c r="J92" t="inlineStr"/>
      <c r="K92" t="inlineStr"/>
      <c r="L92" t="inlineStr"/>
      <c r="M92" t="inlineStr"/>
      <c r="N92" t="inlineStr"/>
      <c r="O92" t="inlineStr"/>
      <c r="P92" t="inlineStr"/>
      <c r="Q92" t="inlineStr"/>
    </row>
    <row r="93">
      <c r="A93" t="inlineStr">
        <is>
          <t>C.27</t>
        </is>
      </c>
      <c r="B93" s="4" t="inlineStr">
        <is>
          <t>Effort performed in fulfilling the total level of effort obligations specified in Section B shall only include effort
performed in direct support of this contract and shall not include time and effort expended on such things as local
travel to and from an employee's usual work location, uncompensated effort while on travel status, truncated lunch
periods, work (actual or inferred) at an employee's residence or other non-work locations (except as provided in
paragraph (i) below), or other time and effort which does not have a specific and direct contribution to the tasks
described in Sections B and C.</t>
        </is>
      </c>
      <c r="C93" t="inlineStr">
        <is>
          <t>C.27</t>
        </is>
      </c>
      <c r="D93" t="n">
        <v>44</v>
      </c>
      <c r="E93" s="6" t="inlineStr">
        <is>
          <t>High</t>
        </is>
      </c>
      <c r="F93" t="inlineStr">
        <is>
          <t>Mandatory</t>
        </is>
      </c>
      <c r="G93" t="inlineStr"/>
      <c r="H93" t="inlineStr">
        <is>
          <t>Not Started</t>
        </is>
      </c>
      <c r="I93" t="inlineStr"/>
      <c r="J93" t="inlineStr"/>
      <c r="K93" t="inlineStr"/>
      <c r="L93" t="inlineStr"/>
      <c r="M93" t="inlineStr"/>
      <c r="N93" t="inlineStr"/>
      <c r="O93" t="inlineStr">
        <is>
          <t>Section B</t>
        </is>
      </c>
      <c r="P93" t="inlineStr"/>
      <c r="Q93" t="inlineStr"/>
    </row>
    <row r="94">
      <c r="A94" t="inlineStr">
        <is>
          <t>C.27</t>
        </is>
      </c>
      <c r="B94" s="4" t="inlineStr">
        <is>
          <t>The level of effort for this contract shall be expended at an average rate of approximately ______(Offeror to
fill-in) hours per week. It is understood and agreed that the rate of man-hours per week may fluctuate in pursuit of
the technical objective, provided such fluctuation does not result in the use of the total man-hours of effort prior to
the expiration of the term hereof, except as provided in the following paragraphs.</t>
        </is>
      </c>
      <c r="C94" t="inlineStr">
        <is>
          <t>C.27</t>
        </is>
      </c>
      <c r="D94" t="n">
        <v>44</v>
      </c>
      <c r="E94" s="6" t="inlineStr">
        <is>
          <t>High</t>
        </is>
      </c>
      <c r="F94" t="inlineStr">
        <is>
          <t>Mandatory</t>
        </is>
      </c>
      <c r="G94" t="inlineStr"/>
      <c r="H94" t="inlineStr">
        <is>
          <t>Not Started</t>
        </is>
      </c>
      <c r="I94" t="inlineStr"/>
      <c r="J94" t="inlineStr"/>
      <c r="K94" t="inlineStr"/>
      <c r="L94" t="inlineStr"/>
      <c r="M94" t="inlineStr"/>
      <c r="N94" t="inlineStr"/>
      <c r="O94" t="inlineStr"/>
      <c r="P94" t="inlineStr"/>
      <c r="Q94" t="inlineStr"/>
    </row>
    <row r="95">
      <c r="A95" t="inlineStr">
        <is>
          <t>C.27</t>
        </is>
      </c>
      <c r="B95" s="4" t="inlineStr">
        <is>
          <t>If, during the term hereof, the Contractor finds it necessary to accelerate the expenditure of direct labor to such an
extent that the total man-hours of effort specified in Section B would be used prior to the expiration of the term, the
Contractor shall notify the Contracting Officer in writing setting forth the acceleration required; the probable benefits
which would result; an offer to undertake the acceleration at no increase in the estimated cost or fee; and an offer for
the additional man-hours to cover the remainder of the term to include a proposed level of effort, cost breakdown,
and proposed fee, for continuation of the work until expiration of the term. The offer shall acknowledge that the
additional man-hours proposed will be subject to the terms and conditions of this contract and any additions or
changes required by then current law, regulations, or directives, and that the offer, with a written notice of acceptance
by the Contracting Officer, shall constitute a binding contract. The Contractor shall not accelerate any effort until
receipt of a signed contract modification by the Contracting Officer. Any agreement to accelerate will be formalized
by contract modification.</t>
        </is>
      </c>
      <c r="C95" t="inlineStr">
        <is>
          <t>C.27</t>
        </is>
      </c>
      <c r="D95" t="n">
        <v>44</v>
      </c>
      <c r="E95" s="6" t="inlineStr">
        <is>
          <t>High</t>
        </is>
      </c>
      <c r="F95" t="inlineStr">
        <is>
          <t>Mandatory</t>
        </is>
      </c>
      <c r="G95" t="inlineStr"/>
      <c r="H95" t="inlineStr">
        <is>
          <t>Not Started</t>
        </is>
      </c>
      <c r="I95" t="inlineStr"/>
      <c r="J95" t="inlineStr"/>
      <c r="K95" t="inlineStr"/>
      <c r="L95" t="inlineStr"/>
      <c r="M95" t="inlineStr"/>
      <c r="N95" t="inlineStr"/>
      <c r="O95" t="inlineStr">
        <is>
          <t>Section B</t>
        </is>
      </c>
      <c r="P95" t="inlineStr"/>
      <c r="Q95" t="inlineStr"/>
    </row>
    <row r="96">
      <c r="A96" t="inlineStr">
        <is>
          <t>C.27</t>
        </is>
      </c>
      <c r="B96" s="4" t="inlineStr">
        <is>
          <t>The Contracting Officer may, by written order, direct the Contractor to accelerate the expenditure of direct labor
such that the total man-hours of effort specified in Section B would be used prior to the expiration of the term. This
order shall specify the acceleration required and the resulting revised term. The Contractor shall acknowledge this
order within five days of receipt.</t>
        </is>
      </c>
      <c r="C96" t="inlineStr">
        <is>
          <t>C.27</t>
        </is>
      </c>
      <c r="D96" t="n">
        <v>44</v>
      </c>
      <c r="E96" s="6" t="inlineStr">
        <is>
          <t>High</t>
        </is>
      </c>
      <c r="F96" t="inlineStr">
        <is>
          <t>Mandatory</t>
        </is>
      </c>
      <c r="G96" t="inlineStr"/>
      <c r="H96" t="inlineStr">
        <is>
          <t>Not Started</t>
        </is>
      </c>
      <c r="I96" t="inlineStr"/>
      <c r="J96" t="inlineStr"/>
      <c r="K96" t="inlineStr"/>
      <c r="L96" t="inlineStr"/>
      <c r="M96" t="inlineStr"/>
      <c r="N96" t="inlineStr"/>
      <c r="O96" t="inlineStr">
        <is>
          <t>Section B</t>
        </is>
      </c>
      <c r="P96" t="inlineStr"/>
      <c r="Q96" t="inlineStr"/>
    </row>
    <row r="97">
      <c r="A97" t="inlineStr">
        <is>
          <t>C.27</t>
        </is>
      </c>
      <c r="B97" s="4" t="inlineStr">
        <is>
          <t>The Contractor shall provide and maintain an accounting system, determined adequate by the Administrative
Contracting Officer, which collects costs incurred and effort (compensated and uncompensated, if any) provided in
fulfillment of the level of effort obligations of this contract. The Contractor shall indicate on each invoice the total
level of effort claimed during the period covered by the invoice, separately identifying compensated effort and
uncompensated effort, if any.</t>
        </is>
      </c>
      <c r="C97" t="inlineStr">
        <is>
          <t>C.27</t>
        </is>
      </c>
      <c r="D97" t="n">
        <v>44</v>
      </c>
      <c r="E97" s="6" t="inlineStr">
        <is>
          <t>High</t>
        </is>
      </c>
      <c r="F97" t="inlineStr">
        <is>
          <t>Mandatory</t>
        </is>
      </c>
      <c r="G97" t="inlineStr"/>
      <c r="H97" t="inlineStr">
        <is>
          <t>Not Started</t>
        </is>
      </c>
      <c r="I97" t="inlineStr"/>
      <c r="J97" t="inlineStr"/>
      <c r="K97" t="inlineStr"/>
      <c r="L97" t="inlineStr"/>
      <c r="M97" t="inlineStr"/>
      <c r="N97" t="inlineStr"/>
      <c r="O97" t="inlineStr"/>
      <c r="P97" t="inlineStr"/>
      <c r="Q97" t="inlineStr"/>
    </row>
    <row r="98">
      <c r="A98" t="inlineStr">
        <is>
          <t>C.27</t>
        </is>
      </c>
      <c r="B98" s="4" t="inlineStr">
        <is>
          <t>Within 45 days after completion of the work under each separately identified period of performance hereunder,
the Contractor shall submit the following information in writing to the 
Contracting Officer with copies to the cognizant Contract Administration Office and to the Defense Contract Audit
Agency office to which vouchers are submitted: (1) the total number of man-hours of direct labor expended during
the applicable period that separately identifies compensated and uncompensated hours; (2) a breakdown of this
compensated total showing the number of man-hours expended in each direct labor classification and associated
direct and indirect costs; (3) a breakdown of other costs incurred; and (4) the Contractor's estimate of the total
allowable cost incurred under the contract for the period. Additionally, in the case of a cost underrun the Contractor
shall submit the amount by which the estimated cost of this contract may be reduced to recover excess funds. All
submissions shall include subcontractor information.</t>
        </is>
      </c>
      <c r="C98" t="inlineStr">
        <is>
          <t>C.27</t>
        </is>
      </c>
      <c r="D98" t="n">
        <v>44</v>
      </c>
      <c r="E98" s="6" t="inlineStr">
        <is>
          <t>High</t>
        </is>
      </c>
      <c r="F98" t="inlineStr">
        <is>
          <t>Mandatory</t>
        </is>
      </c>
      <c r="G98" t="inlineStr"/>
      <c r="H98" t="inlineStr">
        <is>
          <t>Not Started</t>
        </is>
      </c>
      <c r="I98" t="inlineStr"/>
      <c r="J98" t="inlineStr"/>
      <c r="K98" t="inlineStr"/>
      <c r="L98" t="inlineStr"/>
      <c r="M98" t="inlineStr"/>
      <c r="N98" t="inlineStr"/>
      <c r="O98" t="inlineStr"/>
      <c r="P98" t="inlineStr"/>
      <c r="Q98" t="inlineStr"/>
    </row>
    <row r="99">
      <c r="A99" t="inlineStr">
        <is>
          <t>C.27</t>
        </is>
      </c>
      <c r="B99" s="4" t="inlineStr">
        <is>
          <t>Unless the Contracting Officer determines that alternative worksite arrangements are detrimental to contract
performance, the Contractor may perform up to 40% of the hours at an alternative worksite, provided the Contractor
has a company-approved alternative worksite plan. The primary worksite is the traditional “main office” worksite.
An alternative worksite means an employee’ s residence or a telecommuting center. A telecommuting center is a
geographically convenient office setting as an alternative to an employee’ s main office. The Government reserves the
right to review the Contractor’ s alternative worksite plan. In the event performance becomes unacceptable, the
Contractor will be prohibited from counting the hours performed at the alternative worksite in fulfilling the total
level of effort obligations of the contract. Regardless of work location, all contract terms and conditions, including
security requirements and labor laws, remain in effect. The Government shall not incur any additional cost nor
provide additional equipment for contract performance as a result of the Contractor’ s election to implement an
alternative worksite plan.</t>
        </is>
      </c>
      <c r="C99" t="inlineStr">
        <is>
          <t>C.27</t>
        </is>
      </c>
      <c r="D99" t="n">
        <v>44</v>
      </c>
      <c r="E99" s="6" t="inlineStr">
        <is>
          <t>High</t>
        </is>
      </c>
      <c r="F99" t="inlineStr">
        <is>
          <t>Mandatory</t>
        </is>
      </c>
      <c r="G99" t="inlineStr"/>
      <c r="H99" t="inlineStr">
        <is>
          <t>Not Started</t>
        </is>
      </c>
      <c r="I99" t="inlineStr"/>
      <c r="J99" t="inlineStr"/>
      <c r="K99" t="inlineStr"/>
      <c r="L99" t="inlineStr"/>
      <c r="M99" t="inlineStr"/>
      <c r="N99" t="inlineStr"/>
      <c r="O99" t="inlineStr"/>
      <c r="P99" t="inlineStr"/>
      <c r="Q99" t="inlineStr"/>
    </row>
    <row r="100">
      <c r="A100" t="inlineStr">
        <is>
          <t>C.27</t>
        </is>
      </c>
      <c r="B100" s="4" t="inlineStr">
        <is>
          <t>Notwithstanding any of the provisions in the above paragraphs and subject to the Limitation of Funds or
Limitation of Cost clauses, as applicable, the period of performance may be extended at the discretion of the
Contracting Officer, and the estimated cost may be increased in order to permit the Contractor to provide all of the
man-hours listed in Section B. The contractor shall continue to be paid fee for each man-hour performed in
accordance with the terms of the contract.
H-223-N001 INFORMATION ON EXPOSURE TO HAZARDOUS MATERIAL (NA VSEA) (JUL 2024)
Per 29 CFR 1910.1200, Hazard Communication, you, as a contractor employer with employees working at a
Government facility, are hereby informed of the hazardous materials used at the Government facility which your
employees may be exposed to while working here and also to suggest appropriate protective measures.  Your own
responsibilities as an employer, if any, are given in 29 CFR 1910.1200.</t>
        </is>
      </c>
      <c r="C100" t="inlineStr">
        <is>
          <t>C.27</t>
        </is>
      </c>
      <c r="D100" t="n">
        <v>44</v>
      </c>
      <c r="E100" s="6" t="inlineStr">
        <is>
          <t>High</t>
        </is>
      </c>
      <c r="F100" t="inlineStr">
        <is>
          <t>Mandatory</t>
        </is>
      </c>
      <c r="G100" t="inlineStr"/>
      <c r="H100" t="inlineStr">
        <is>
          <t>Not Started</t>
        </is>
      </c>
      <c r="I100" t="inlineStr"/>
      <c r="J100" t="inlineStr"/>
      <c r="K100" t="inlineStr"/>
      <c r="L100" t="inlineStr"/>
      <c r="M100" t="inlineStr"/>
      <c r="N100" t="inlineStr"/>
      <c r="O100" t="inlineStr">
        <is>
          <t>Section B</t>
        </is>
      </c>
      <c r="P100" t="inlineStr"/>
      <c r="Q100" t="inlineStr"/>
    </row>
    <row r="101">
      <c r="A101" t="inlineStr">
        <is>
          <t>C.27</t>
        </is>
      </c>
      <c r="B101" s="4" t="inlineStr">
        <is>
          <t>Hazardous materials your employees may be exposed to.  Hazardous materials are materials which are cancer
causing agents, toxic or highly toxic agents, reproductive toxins, irritants, corrosives, sensitizers, liver toxins, kidney
toxins, agents which act on the blood forming system, and agents which damage the lungs, skins, eyes or mucous</t>
        </is>
      </c>
      <c r="C101" t="inlineStr">
        <is>
          <t>C.27</t>
        </is>
      </c>
      <c r="D101" t="n">
        <v>44</v>
      </c>
      <c r="E101" s="5" t="inlineStr">
        <is>
          <t>Low</t>
        </is>
      </c>
      <c r="F101" t="inlineStr">
        <is>
          <t>Desirable</t>
        </is>
      </c>
      <c r="G101" t="inlineStr"/>
      <c r="H101" t="inlineStr">
        <is>
          <t>Not Started</t>
        </is>
      </c>
      <c r="I101" t="inlineStr"/>
      <c r="J101" t="inlineStr"/>
      <c r="K101" t="inlineStr"/>
      <c r="L101" t="inlineStr"/>
      <c r="M101" t="inlineStr"/>
      <c r="N101" t="inlineStr"/>
      <c r="O101" t="inlineStr"/>
      <c r="P101" t="inlineStr"/>
      <c r="Q101" t="inlineStr"/>
    </row>
    <row r="102">
      <c r="A102" t="inlineStr">
        <is>
          <t>C.27</t>
        </is>
      </c>
      <c r="B102" s="4" t="inlineStr">
        <is>
          <t>There are many potentially hazardous chemicals present at the Government facility which, unless
controlled properly, could present a safety and health problem.  The presence of many potentially hazardous
materials may be apparent from the manufacturer’ s warning label on the hazardous material containers.  The
presence of many potentially hazardous materials may also be apparent due to their physical characteristics, such as
the visual appearance of abrasive blasting dust or the distinctive smell of many solvents. These hazardous materials
range in type and quantity.  Typical hazardous materials include, but are not limited to:</t>
        </is>
      </c>
      <c r="C102" t="inlineStr">
        <is>
          <t>C.27</t>
        </is>
      </c>
      <c r="D102" t="n">
        <v>44</v>
      </c>
      <c r="E102" s="5" t="inlineStr">
        <is>
          <t>Low</t>
        </is>
      </c>
      <c r="F102" t="inlineStr">
        <is>
          <t>Desirable</t>
        </is>
      </c>
      <c r="G102" t="inlineStr"/>
      <c r="H102" t="inlineStr">
        <is>
          <t>Not Started</t>
        </is>
      </c>
      <c r="I102" t="inlineStr"/>
      <c r="J102" t="inlineStr"/>
      <c r="K102" t="inlineStr"/>
      <c r="L102" t="inlineStr"/>
      <c r="M102" t="inlineStr"/>
      <c r="N102" t="inlineStr"/>
      <c r="O102" t="inlineStr"/>
      <c r="P102" t="inlineStr"/>
      <c r="Q102" t="inlineStr"/>
    </row>
    <row r="103">
      <c r="A103" t="inlineStr">
        <is>
          <t>C.27</t>
        </is>
      </c>
      <c r="B103" s="4" t="inlineStr">
        <is>
          <t>Depending on the material involved, materials such as these can present physical hazards and or health hazards.</t>
        </is>
      </c>
      <c r="C103" t="inlineStr">
        <is>
          <t>C.27</t>
        </is>
      </c>
      <c r="D103" t="n">
        <v>44</v>
      </c>
      <c r="E103" s="5" t="inlineStr">
        <is>
          <t>Low</t>
        </is>
      </c>
      <c r="F103" t="inlineStr">
        <is>
          <t>Desirable</t>
        </is>
      </c>
      <c r="G103" t="inlineStr"/>
      <c r="H103" t="inlineStr">
        <is>
          <t>Not Started</t>
        </is>
      </c>
      <c r="I103" t="inlineStr"/>
      <c r="J103" t="inlineStr"/>
      <c r="K103" t="inlineStr"/>
      <c r="L103" t="inlineStr"/>
      <c r="M103" t="inlineStr"/>
      <c r="N103" t="inlineStr"/>
      <c r="O103" t="inlineStr"/>
      <c r="P103" t="inlineStr"/>
      <c r="Q103" t="inlineStr"/>
    </row>
    <row r="104">
      <c r="A104" t="inlineStr">
        <is>
          <t>C.27</t>
        </is>
      </c>
      <c r="B104" s="4" t="inlineStr">
        <is>
          <t>Labeling of Hazardous Material.  Containers of potentially hazardous chemicals bear manufacturer’ s labeling,
which identifies the chemical and it manufacturer, and provides appropriate hazard warnings.  In addition, some
materials may be labeled with the National Protection Association (NFPA) 704 label.  This label uses a system of
color coded symbols and numbers to convey the potential hazard of the material.  The contractor should obtain
information from NFPA concerning the interpretation of the 704 label.</t>
        </is>
      </c>
      <c r="C104" t="inlineStr">
        <is>
          <t>C.27</t>
        </is>
      </c>
      <c r="D104" t="n">
        <v>44</v>
      </c>
      <c r="E104" s="7" t="inlineStr">
        <is>
          <t>Medium</t>
        </is>
      </c>
      <c r="F104" t="inlineStr">
        <is>
          <t>Highly Desirable</t>
        </is>
      </c>
      <c r="G104" t="inlineStr"/>
      <c r="H104" t="inlineStr">
        <is>
          <t>Not Started</t>
        </is>
      </c>
      <c r="I104" t="inlineStr"/>
      <c r="J104" t="inlineStr"/>
      <c r="K104" t="inlineStr"/>
      <c r="L104" t="inlineStr"/>
      <c r="M104" t="inlineStr"/>
      <c r="N104" t="inlineStr"/>
      <c r="O104" t="inlineStr"/>
      <c r="P104" t="inlineStr"/>
      <c r="Q104" t="inlineStr"/>
    </row>
    <row r="105">
      <c r="A105" t="inlineStr">
        <is>
          <t>C.27</t>
        </is>
      </c>
      <c r="B105" s="4" t="inlineStr">
        <is>
          <t>Safety Data Sheets (SDS).  The Safety Office maintains copies of manufacturers’ SDS for potentially hazardous
chemicals/materials that are known to be present in the Government facility.  The contractor may, upon request to the
Safety Office, review SDS for any specific materials to which contractor employees may be exposed while
performing work in the Government facility.  This information may be reviewed in the Safety Office.</t>
        </is>
      </c>
      <c r="C105" t="inlineStr">
        <is>
          <t>C.27</t>
        </is>
      </c>
      <c r="D105" t="n">
        <v>44</v>
      </c>
      <c r="E105" s="5" t="inlineStr">
        <is>
          <t>Low</t>
        </is>
      </c>
      <c r="F105" t="inlineStr">
        <is>
          <t>Desirable</t>
        </is>
      </c>
      <c r="G105" t="inlineStr"/>
      <c r="H105" t="inlineStr">
        <is>
          <t>Not Started</t>
        </is>
      </c>
      <c r="I105" t="inlineStr"/>
      <c r="J105" t="inlineStr"/>
      <c r="K105" t="inlineStr"/>
      <c r="L105" t="inlineStr"/>
      <c r="M105" t="inlineStr"/>
      <c r="N105" t="inlineStr"/>
      <c r="O105" t="inlineStr"/>
      <c r="P105" t="inlineStr"/>
      <c r="Q105" t="inlineStr"/>
    </row>
    <row r="106">
      <c r="A106" t="inlineStr">
        <is>
          <t>C.27</t>
        </is>
      </c>
      <c r="B106" s="4" t="inlineStr">
        <is>
          <t>Appropriate Protective Measures.  Exposure to potentially hazardous material may occur from inhalation,
ingestion or skin contact with the material: therefore, the following precautions should be taken:</t>
        </is>
      </c>
      <c r="C106" t="inlineStr">
        <is>
          <t>C.27</t>
        </is>
      </c>
      <c r="D106" t="n">
        <v>44</v>
      </c>
      <c r="E106" s="7" t="inlineStr">
        <is>
          <t>Medium</t>
        </is>
      </c>
      <c r="F106" t="inlineStr">
        <is>
          <t>Highly Desirable</t>
        </is>
      </c>
      <c r="G106" t="inlineStr"/>
      <c r="H106" t="inlineStr">
        <is>
          <t>Not Started</t>
        </is>
      </c>
      <c r="I106" t="inlineStr"/>
      <c r="J106" t="inlineStr"/>
      <c r="K106" t="inlineStr"/>
      <c r="L106" t="inlineStr"/>
      <c r="M106" t="inlineStr"/>
      <c r="N106" t="inlineStr"/>
      <c r="O106" t="inlineStr"/>
      <c r="P106" t="inlineStr"/>
      <c r="Q106" t="inlineStr"/>
    </row>
    <row r="107">
      <c r="A107" t="inlineStr">
        <is>
          <t>C.27</t>
        </is>
      </c>
      <c r="B107" s="4" t="inlineStr">
        <is>
          <t>N0017826R30020003 - FINAL
Page 69 of 114
CLAUSE TITLE DATE
52.204-8 ANNUAL REPRESENTATIONS AND CERTIFICATIONS
(DEVIATION 2025- O0004) MAR 2025
52.204-18 COMMERCIAL AND GOVERNMENT ENTITY CODE
MAINTENANCE  AUG 2020
52.204-21 BASIC SAFEGUARDING OF COVERED CONTRACTOR
INFORMATION SYSTEMS NOV 2021
52.204-23
PROHIBITION ON CONTRACTING FOR HARDWARE, SOFTWARE,
AND SERVICES DEVELOPED OR PROVIDED BY KAPERSKY LAB
COVERED ENTITIES 
DEC 2023
52.204-27 PROHIBITION ON A BYTEDANCE COVERED APPLICATION JUN 2023
52.210-1 MARKET RESEARCH NOV 2021
52.219-6 NOTICE OF TOTAL SMALL BUSINESS SET-ASIDE NOV 2020
52.219-14 LIMITATIONS ON SUBCONTRACTING (DEVIATION 2021-O0008) SEP 2021
52.222-40 NOTIFICATION OF EMPLOYEE RIGHTS UNDER THE NATIONAL
LABOR RELATIONS ACT DEC 2010
52.222-50 COMBATTING TRAFFICKING IN PERSONS NOV 2021
52.223-5 POLLUTION PREVENTION AND RIGHT-TO-KNOW INFORMATION MAY 2024
52.223-10 WASTE REDUCTION PROGRAM (DEVIATION 2025-O0004) MAR 2025
52.223-23 SUSTAINABLE PRODUCTS AND SERVICES (DEVIATION
2025-O0004) MAR 2025
52.224-3 PRIV ACY TRAINING JAN 2017
52.226-7 DRUG-FREE WORKPLACE MAY 2024
52.226-8 ENCOURAGING CONTRACTOR POLICIES TO BAN TEXT
MESSAGING WHILE DRIVING  MAY 2024
52.232-39 UNENFORCEABILITY OF UNAUTHORIZED OBLIGATIONS JUN 2013
52.232-40 PROVIDING ACCELARATED PAYMENTS TO SMALL BUSINESS
SUBCONTRACTORS MAR 2023
52.237-2 PROTECTION OF GOVERNMENT BUILDINGS, EQUIPMENT AND
VEGETATION APR 1984
52.242-5 PAYMENTS TO SMALL BUSINESS SUBCONTRACTORS JAN 2017
52.244-6 SUBCONTRACTS FOR COMMERCIAL PRODUCTS AND
COMMERCIAL SERVICES (DEVIATION 2025-O0003) MAR 2025
52.245-1 GOVERNMENT PROPERTY SEP 2021
Section I - Contract Clauses
CLAUSES INCORPORATED BY REFERENCE</t>
        </is>
      </c>
      <c r="C107" t="inlineStr">
        <is>
          <t>C.27</t>
        </is>
      </c>
      <c r="D107" t="n">
        <v>44</v>
      </c>
      <c r="E107" s="5" t="inlineStr">
        <is>
          <t>Low</t>
        </is>
      </c>
      <c r="F107" t="inlineStr">
        <is>
          <t>Desirable</t>
        </is>
      </c>
      <c r="G107" t="inlineStr"/>
      <c r="H107" t="inlineStr">
        <is>
          <t>Not Started</t>
        </is>
      </c>
      <c r="I107" t="inlineStr"/>
      <c r="J107" t="inlineStr"/>
      <c r="K107" t="inlineStr"/>
      <c r="L107" t="inlineStr"/>
      <c r="M107" t="inlineStr"/>
      <c r="N107" t="inlineStr"/>
      <c r="O107" t="inlineStr">
        <is>
          <t>Section I</t>
        </is>
      </c>
      <c r="P107" t="inlineStr"/>
      <c r="Q107" t="inlineStr"/>
    </row>
    <row r="108">
      <c r="A108" t="inlineStr">
        <is>
          <t>C.27</t>
        </is>
      </c>
      <c r="B108" s="4" t="inlineStr">
        <is>
          <t>N0017826R30020003 - FINAL
Page 70 of 114
52.245-9 USE AND CHARGES APR 2012
252.203-7004 DISPLAY OF HOTLINE POSTERS JAN 2023
252.204-7002 PAYMENT FOR CONTRACT LINE OR SUBLINE ITEMS NOT
SEPARATELY PRICED APR 2020
252.204-7012 SAFEGUARDING COVERED DEFENCE INFORMATION AND
CYBER INCIDENT REPORTING (DEVIATION 2024-O0013, REV I) MAY 2024
252.204-7018 PROHIBITION ON THE A VQUISITION OF COVERED DEFENSE
TELECOMMUNICATIONS EQUIPMENT OR SERVICES JAN 2023
252.204-7020 NIST SP 800-171 DOD ASSESSMENT REQUIREMENTS NOV 2023
252.204-7021 CYBERSECURITY MATURITY MODEL CERTIFICATION
REQUIREMENTS  JAN 2023
252.204-7022 EXPEDITING CONTRACT CLOSEOUT MAY 2021
252.222-7002 COMPLIANCE WITH LOCAL LABOR LAWS (OVERSEAS) JUN 1997
252.223-7006 PROHIBITION ON STORAGE, TREATMENT, AND DISPOSAL OF
TOXIC OR HAZARDOUS MATERIALS-BASIC SEP 2014
252.225-7043 ANTITERRORISM/FORCE PROTECTION POLICY FOR DEFENSE
CONTRACTORS OUTSIDE THE UNITED STATES JUN 2015
252.225-7056 PROHIBITION REGARDING BUSINESS OPERATIONS WITH THE
MADURO REGIME JAN 2023
252.225-7060 PROHIBITION ON CERTAIN PROCUREMENTS FROM THE XINJIANG UYGHUR
AUTONOMOUS REGION JUN 2023
252.225-7967 PROHIBITION REGARDING RUSSIAN FOSSIL FUEL BUSINESS
OPERATIONS (DEVIATION 2024-O0006, REVISION 1) FEB 2024
252.225-7972 PROHIBITION ON THE PROCUREMENT OF FOREIGN-MADE
UNMANNED AIRCRAFT SYSTEMS (DEVIATION 2024-O0014) AUG 2024
252.226-7003 DRUG-FREE WORKFORCE AUG 2024
252.232-7008 ASSIGNMENT OF CLAIMS (OVERSEAS) JUN 1997
252.237-7023 CONTINUATION OF ESSENTIAL CONTRACTOR SERVICES OCT 2010
252.239-7000 PROTECTION AGAINST COMPROMISING EMANATIONS OCT 2019
252.239-7001 INFORMATION ASSURANCE CONTRACTOR TRAINING AND
CERTIFICATION JAN 2008
252.239-7016 TELECOMMUNICATIONS SECURITY EQUIPMENT, DEVICES, TECHNIQUES,
AND SERVICES DEC 1991
252.242-7006 ACCOUNTING SYSTEM ADMINISTRATION JAN 2025
252.245-7003 CONTRACTOR PROPERTY MANAGEMENT SYSTEM
ADMINISTRATION JAN 2025
252.245-7005 MANAGEMENT AND REPORTING OF GOVERNMENT PROPERTY JAN 2024
252.246-7007 CONTRACTOR COUNTERFEIT ELECTRONIC PART DETECTION
AND A VOIDANCE SYSTEM JAN 2023
252.246-7008 SOURCES OF ELECTRONIC PARTS JAN 2023</t>
        </is>
      </c>
      <c r="C108" t="inlineStr">
        <is>
          <t>C.27</t>
        </is>
      </c>
      <c r="D108" t="n">
        <v>44</v>
      </c>
      <c r="E108" s="5" t="inlineStr">
        <is>
          <t>Low</t>
        </is>
      </c>
      <c r="F108" t="inlineStr">
        <is>
          <t>Desirable</t>
        </is>
      </c>
      <c r="G108" t="inlineStr"/>
      <c r="H108" t="inlineStr">
        <is>
          <t>Not Started</t>
        </is>
      </c>
      <c r="I108" t="inlineStr"/>
      <c r="J108" t="inlineStr"/>
      <c r="K108" t="inlineStr"/>
      <c r="L108" t="inlineStr"/>
      <c r="M108" t="inlineStr"/>
      <c r="N108" t="inlineStr"/>
      <c r="O108" t="inlineStr"/>
      <c r="P108" t="inlineStr"/>
      <c r="Q108" t="inlineStr"/>
    </row>
    <row r="109">
      <c r="A109" t="inlineStr">
        <is>
          <t>C.27</t>
        </is>
      </c>
      <c r="B109" s="4" t="inlineStr">
        <is>
          <t>Note:  Regarding 52.244-2 – SUBCONTRACTS (JUN 2020), Sub-contracting arrangement with any firm not
included in the Contractor's basic MAC Contract must be submitted to the basic MAC Contracting Officer for
approval.</t>
        </is>
      </c>
      <c r="C109" t="inlineStr">
        <is>
          <t>C.27</t>
        </is>
      </c>
      <c r="D109" t="n">
        <v>44</v>
      </c>
      <c r="E109" s="6" t="inlineStr">
        <is>
          <t>High</t>
        </is>
      </c>
      <c r="F109" t="inlineStr">
        <is>
          <t>Mandatory</t>
        </is>
      </c>
      <c r="G109" t="inlineStr"/>
      <c r="H109" t="inlineStr">
        <is>
          <t>Not Started</t>
        </is>
      </c>
      <c r="I109" t="inlineStr"/>
      <c r="J109" t="inlineStr"/>
      <c r="K109" t="inlineStr"/>
      <c r="L109" t="inlineStr"/>
      <c r="M109" t="inlineStr"/>
      <c r="N109" t="inlineStr"/>
      <c r="O109" t="inlineStr"/>
      <c r="P109" t="inlineStr"/>
      <c r="Q109" t="inlineStr"/>
    </row>
    <row r="110">
      <c r="A110" t="inlineStr">
        <is>
          <t>C.27</t>
        </is>
      </c>
      <c r="B110" s="4"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individual representations and certifications
in the solicitation. The Offeror shall indicate which option applies by checking one of the following boxes:</t>
        </is>
      </c>
      <c r="C110" t="inlineStr">
        <is>
          <t>C.27</t>
        </is>
      </c>
      <c r="D110" t="n">
        <v>44</v>
      </c>
      <c r="E110" s="6" t="inlineStr">
        <is>
          <t>High</t>
        </is>
      </c>
      <c r="F110" t="inlineStr">
        <is>
          <t>Mandatory</t>
        </is>
      </c>
      <c r="G110" t="inlineStr"/>
      <c r="H110" t="inlineStr">
        <is>
          <t>Not Started</t>
        </is>
      </c>
      <c r="I110" t="inlineStr"/>
      <c r="J110" t="inlineStr"/>
      <c r="K110" t="inlineStr"/>
      <c r="L110" t="inlineStr"/>
      <c r="M110" t="inlineStr"/>
      <c r="N110" t="inlineStr"/>
      <c r="O110" t="inlineStr"/>
      <c r="P110" t="inlineStr"/>
      <c r="Q110" t="inlineStr"/>
    </row>
    <row r="111">
      <c r="A111" t="inlineStr">
        <is>
          <t>C.27</t>
        </is>
      </c>
      <c r="B111" s="4" t="inlineStr">
        <is>
          <t>52.209-5, Certification Regarding Responsibility Matters. This provision applies to solicitations where
the contract value is expected to exceed the simplified acquisition threshold.</t>
        </is>
      </c>
      <c r="C111" t="inlineStr">
        <is>
          <t>C.27</t>
        </is>
      </c>
      <c r="D111" t="n">
        <v>44</v>
      </c>
      <c r="E111" s="7" t="inlineStr">
        <is>
          <t>Medium</t>
        </is>
      </c>
      <c r="F111" t="inlineStr">
        <is>
          <t>Highly Desirable</t>
        </is>
      </c>
      <c r="G111" t="inlineStr"/>
      <c r="H111" t="inlineStr">
        <is>
          <t>Not Started</t>
        </is>
      </c>
      <c r="I111" t="inlineStr"/>
      <c r="J111" t="inlineStr"/>
      <c r="K111" t="inlineStr"/>
      <c r="L111" t="inlineStr"/>
      <c r="M111" t="inlineStr"/>
      <c r="N111" t="inlineStr"/>
      <c r="O111" t="inlineStr"/>
      <c r="P111" t="inlineStr"/>
      <c r="Q111" t="inlineStr"/>
    </row>
    <row r="112">
      <c r="A112" t="inlineStr">
        <is>
          <t>C.27</t>
        </is>
      </c>
      <c r="B112" s="4" t="inlineStr">
        <is>
          <t>The Contractor shall comply with agency personal identity verification procedures identified in the contract that
implement Homeland Security Presidential Directive-12 (HSPD-12), Office of Management and Budget (OMB)
guidance M-05-24 and Federal Information Processing Standards Publication (FIPS PUB) Number 201.</t>
        </is>
      </c>
      <c r="C112" t="inlineStr">
        <is>
          <t>C.27</t>
        </is>
      </c>
      <c r="D112" t="n">
        <v>44</v>
      </c>
      <c r="E112" s="6" t="inlineStr">
        <is>
          <t>High</t>
        </is>
      </c>
      <c r="F112" t="inlineStr">
        <is>
          <t>Mandatory</t>
        </is>
      </c>
      <c r="G112" t="inlineStr"/>
      <c r="H112" t="inlineStr">
        <is>
          <t>Not Started</t>
        </is>
      </c>
      <c r="I112" t="inlineStr"/>
      <c r="J112" t="inlineStr"/>
      <c r="K112" t="inlineStr"/>
      <c r="L112" t="inlineStr"/>
      <c r="M112" t="inlineStr"/>
      <c r="N112" t="inlineStr"/>
      <c r="O112" t="inlineStr"/>
      <c r="P112" t="inlineStr"/>
      <c r="Q112" t="inlineStr"/>
    </row>
    <row r="113">
      <c r="A113" t="inlineStr">
        <is>
          <t>C.27</t>
        </is>
      </c>
      <c r="B113" s="4" t="inlineStr">
        <is>
          <t>The Contractor shall account for all forms of Government-provided identification issued to the Contractor
employees in connection with performance under this contract. The Contractor shall return such identification to the
issuing agency at the earliest of any of the following, unless otherwise determined by the Government:</t>
        </is>
      </c>
      <c r="C113" t="inlineStr">
        <is>
          <t>C.27</t>
        </is>
      </c>
      <c r="D113" t="n">
        <v>44</v>
      </c>
      <c r="E113" s="6" t="inlineStr">
        <is>
          <t>High</t>
        </is>
      </c>
      <c r="F113" t="inlineStr">
        <is>
          <t>Mandatory</t>
        </is>
      </c>
      <c r="G113" t="inlineStr"/>
      <c r="H113" t="inlineStr">
        <is>
          <t>Not Started</t>
        </is>
      </c>
      <c r="I113" t="inlineStr"/>
      <c r="J113" t="inlineStr"/>
      <c r="K113" t="inlineStr"/>
      <c r="L113" t="inlineStr"/>
      <c r="M113" t="inlineStr"/>
      <c r="N113" t="inlineStr"/>
      <c r="O113" t="inlineStr"/>
      <c r="P113" t="inlineStr"/>
      <c r="Q113" t="inlineStr"/>
    </row>
    <row r="114">
      <c r="A114" t="inlineStr">
        <is>
          <t>C.27</t>
        </is>
      </c>
      <c r="B114" s="4" t="inlineStr">
        <is>
          <t>The Contracting Officer may delay final payment under a contract if the Contractor fails to comply with these</t>
        </is>
      </c>
      <c r="C114" t="inlineStr">
        <is>
          <t>C.27</t>
        </is>
      </c>
      <c r="D114" t="n">
        <v>44</v>
      </c>
      <c r="E114" s="5" t="inlineStr">
        <is>
          <t>Low</t>
        </is>
      </c>
      <c r="F114" t="inlineStr">
        <is>
          <t>Desirable</t>
        </is>
      </c>
      <c r="G114" t="inlineStr"/>
      <c r="H114" t="inlineStr">
        <is>
          <t>Not Started</t>
        </is>
      </c>
      <c r="I114" t="inlineStr"/>
      <c r="J114" t="inlineStr"/>
      <c r="K114" t="inlineStr"/>
      <c r="L114" t="inlineStr"/>
      <c r="M114" t="inlineStr"/>
      <c r="N114" t="inlineStr"/>
      <c r="O114" t="inlineStr"/>
      <c r="P114" t="inlineStr"/>
      <c r="Q114" t="inlineStr"/>
    </row>
    <row r="115">
      <c r="A115" t="inlineStr">
        <is>
          <t>C.27</t>
        </is>
      </c>
      <c r="B115" s="4" t="inlineStr">
        <is>
          <t>The Contractor shall insert the substance of this clause, including this paragraph (d), in all subcontracts when the
subcontractor’ s employees are required to have routine physical access to a Federally-controlled facility and/or
routine access to a Federally-controlled information system. It shall be the responsibility of the prime Contractor to
return such identification to the issuing agency in accordance with the terms set forth in paragraph (b) of this section,
unless otherwise approved in writing by the Contracting Officer.
(End of clause)
52.204-25 PROHIBITION ON CONTRACTING FOR CERTAIN TELECOMMUNICATIONS AND VIDEO
SURVEILLANCE SERVICES OR EQUIPMENT (NOV 2021)</t>
        </is>
      </c>
      <c r="C115" t="inlineStr">
        <is>
          <t>C.27</t>
        </is>
      </c>
      <c r="D115" t="n">
        <v>44</v>
      </c>
      <c r="E115" s="6" t="inlineStr">
        <is>
          <t>High</t>
        </is>
      </c>
      <c r="F115" t="inlineStr">
        <is>
          <t>Mandatory</t>
        </is>
      </c>
      <c r="G115" t="inlineStr"/>
      <c r="H115" t="inlineStr">
        <is>
          <t>Not Started</t>
        </is>
      </c>
      <c r="I115" t="inlineStr"/>
      <c r="J115" t="inlineStr"/>
      <c r="K115" t="inlineStr"/>
      <c r="L115" t="inlineStr"/>
      <c r="M115" t="inlineStr"/>
      <c r="N115" t="inlineStr"/>
      <c r="O115" t="inlineStr"/>
      <c r="P115" t="inlineStr"/>
      <c r="Q115" t="inlineStr"/>
    </row>
    <row r="116">
      <c r="A116" t="inlineStr">
        <is>
          <t>C.27</t>
        </is>
      </c>
      <c r="B116" s="4" t="inlineStr">
        <is>
          <t>Definitions. As used in this clause—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foreign country means The People’ s Republic of China.
Covered telecommunications equipment or services means–</t>
        </is>
      </c>
      <c r="C116" t="inlineStr">
        <is>
          <t>C.27</t>
        </is>
      </c>
      <c r="D116" t="n">
        <v>44</v>
      </c>
      <c r="E116" s="5" t="inlineStr">
        <is>
          <t>Low</t>
        </is>
      </c>
      <c r="F116" t="inlineStr">
        <is>
          <t>Desirable</t>
        </is>
      </c>
      <c r="G116" t="inlineStr"/>
      <c r="H116" t="inlineStr">
        <is>
          <t>Not Started</t>
        </is>
      </c>
      <c r="I116" t="inlineStr"/>
      <c r="J116" t="inlineStr"/>
      <c r="K116" t="inlineStr"/>
      <c r="L116" t="inlineStr"/>
      <c r="M116" t="inlineStr"/>
      <c r="N116" t="inlineStr"/>
      <c r="O116" t="inlineStr"/>
      <c r="P116" t="inlineStr"/>
      <c r="Q116" t="inlineStr"/>
    </row>
    <row r="117">
      <c r="A117" t="inlineStr">
        <is>
          <t>C.27</t>
        </is>
      </c>
      <c r="B117" s="4" t="inlineStr">
        <is>
          <t>Reporting requirement. (1) In the event the Contractor identifies covered telecommunications equipment or
services used as a substantial or essential component of any system, or as critical technology as part of any system,
during contract performance, or the Contractor is notified of such by a subcontractor at any tier or by any other
source, the Contractor shall report the information in paragraph (d)(2) of this clause to the Contracting Officer,
unless elsewhere in this contract are established procedures for reporting the information; in the case of the
Department of Defense, the Contractor shall report to the website at https://dibnet.dod.mil.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t>
        </is>
      </c>
      <c r="C117" t="inlineStr">
        <is>
          <t>C.27</t>
        </is>
      </c>
      <c r="D117" t="n">
        <v>44</v>
      </c>
      <c r="E117" s="6" t="inlineStr">
        <is>
          <t>High</t>
        </is>
      </c>
      <c r="F117" t="inlineStr">
        <is>
          <t>Mandatory</t>
        </is>
      </c>
      <c r="G117" t="inlineStr"/>
      <c r="H117" t="inlineStr">
        <is>
          <t>Not Started</t>
        </is>
      </c>
      <c r="I117" t="inlineStr"/>
      <c r="J117" t="inlineStr"/>
      <c r="K117" t="inlineStr"/>
      <c r="L117" t="inlineStr"/>
      <c r="M117" t="inlineStr"/>
      <c r="N117" t="inlineStr"/>
      <c r="O117" t="inlineStr"/>
      <c r="P117" t="inlineStr"/>
      <c r="Q117" t="inlineStr"/>
    </row>
    <row r="118">
      <c r="A118" t="inlineStr">
        <is>
          <t>C.27</t>
        </is>
      </c>
      <c r="B118" s="4" t="inlineStr">
        <is>
          <t>The Contractor shall report the following information pursuant to paragraph (d)(1) of this clause</t>
        </is>
      </c>
      <c r="C118" t="inlineStr">
        <is>
          <t>C.27</t>
        </is>
      </c>
      <c r="D118" t="n">
        <v>44</v>
      </c>
      <c r="E118" s="6" t="inlineStr">
        <is>
          <t>High</t>
        </is>
      </c>
      <c r="F118" t="inlineStr">
        <is>
          <t>Mandatory</t>
        </is>
      </c>
      <c r="G118" t="inlineStr"/>
      <c r="H118" t="inlineStr">
        <is>
          <t>Not Started</t>
        </is>
      </c>
      <c r="I118" t="inlineStr"/>
      <c r="J118" t="inlineStr"/>
      <c r="K118" t="inlineStr"/>
      <c r="L118" t="inlineStr"/>
      <c r="M118" t="inlineStr"/>
      <c r="N118" t="inlineStr"/>
      <c r="O118" t="inlineStr"/>
      <c r="P118" t="inlineStr"/>
      <c r="Q118" t="inlineStr"/>
    </row>
    <row r="119">
      <c r="A119" t="inlineStr">
        <is>
          <t>C.27</t>
        </is>
      </c>
      <c r="B119" s="4" t="inlineStr">
        <is>
          <t>Within 10 business days of submitting the information in paragraph (d)(2)(i) of this clause: any further available
information about mitigation actions undertaken or recommended. In addition, the Contractor shall describe the
efforts it undertook to prevent use or submission of covered telecommunications equipment or services, and any
additional efforts that will be incorporated to prevent future use or submission of covered telecommunications
equipment or services.</t>
        </is>
      </c>
      <c r="C119" t="inlineStr">
        <is>
          <t>C.27</t>
        </is>
      </c>
      <c r="D119" t="n">
        <v>44</v>
      </c>
      <c r="E119" s="6" t="inlineStr">
        <is>
          <t>High</t>
        </is>
      </c>
      <c r="F119" t="inlineStr">
        <is>
          <t>Mandatory</t>
        </is>
      </c>
      <c r="G119" t="inlineStr"/>
      <c r="H119" t="inlineStr">
        <is>
          <t>Not Started</t>
        </is>
      </c>
      <c r="I119" t="inlineStr"/>
      <c r="J119" t="inlineStr"/>
      <c r="K119" t="inlineStr"/>
      <c r="L119" t="inlineStr"/>
      <c r="M119" t="inlineStr"/>
      <c r="N119" t="inlineStr"/>
      <c r="O119" t="inlineStr"/>
      <c r="P119" t="inlineStr"/>
      <c r="Q119" t="inlineStr"/>
    </row>
    <row r="120">
      <c r="A120" t="inlineStr">
        <is>
          <t>C.27</t>
        </is>
      </c>
      <c r="B120" s="4" t="inlineStr">
        <is>
          <t>Subcontracts. The Contractor shall insert the substance of this clause, including this paragraph (e) and excluding
paragraph (b)(2), in all subcontracts and other contractual instruments, including subcontracts for the acquisition of
commercial products or commercial services.
(End of clause)
52.216-32 TASK-ORDER AND DELIVERY-ORDER OMBUDSMAN (SEPT 2019)</t>
        </is>
      </c>
      <c r="C120" t="inlineStr">
        <is>
          <t>C.27</t>
        </is>
      </c>
      <c r="D120" t="n">
        <v>44</v>
      </c>
      <c r="E120" s="6" t="inlineStr">
        <is>
          <t>High</t>
        </is>
      </c>
      <c r="F120" t="inlineStr">
        <is>
          <t>Mandatory</t>
        </is>
      </c>
      <c r="G120" t="inlineStr"/>
      <c r="H120" t="inlineStr">
        <is>
          <t>Not Started</t>
        </is>
      </c>
      <c r="I120" t="inlineStr"/>
      <c r="J120" t="inlineStr"/>
      <c r="K120" t="inlineStr"/>
      <c r="L120" t="inlineStr"/>
      <c r="M120" t="inlineStr"/>
      <c r="N120" t="inlineStr"/>
      <c r="O120" t="inlineStr"/>
      <c r="P120" t="inlineStr"/>
      <c r="Q120" t="inlineStr"/>
    </row>
    <row r="121">
      <c r="A121" t="inlineStr">
        <is>
          <t>C.27</t>
        </is>
      </c>
      <c r="B121" s="4" t="inlineStr">
        <is>
          <t>In accordance with 41 U.S.C. 4106(g),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t>
        </is>
      </c>
      <c r="C121" t="inlineStr">
        <is>
          <t>C.27</t>
        </is>
      </c>
      <c r="D121" t="n">
        <v>44</v>
      </c>
      <c r="E121" s="6" t="inlineStr">
        <is>
          <t>High</t>
        </is>
      </c>
      <c r="F121" t="inlineStr">
        <is>
          <t>Mandatory</t>
        </is>
      </c>
      <c r="G121" t="inlineStr"/>
      <c r="H121" t="inlineStr">
        <is>
          <t>Not Started</t>
        </is>
      </c>
      <c r="I121" t="inlineStr"/>
      <c r="J121" t="inlineStr"/>
      <c r="K121" t="inlineStr"/>
      <c r="L121" t="inlineStr"/>
      <c r="M121" t="inlineStr"/>
      <c r="N121" t="inlineStr"/>
      <c r="O121" t="inlineStr"/>
      <c r="P121" t="inlineStr"/>
      <c r="Q121" t="inlineStr"/>
    </row>
    <row r="122">
      <c r="A122" t="inlineStr">
        <is>
          <t>C.27</t>
        </is>
      </c>
      <c r="B122" s="4" t="inlineStr">
        <is>
          <t>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
52.217-9 OPTION TO EXTEND THE TERM OF THE CONTRACT (MAR 2000) (NA VSEA V ARIATION I)
(OCT 2018)</t>
        </is>
      </c>
      <c r="C122" t="inlineStr">
        <is>
          <t>C.27</t>
        </is>
      </c>
      <c r="D122" t="n">
        <v>44</v>
      </c>
      <c r="E122" s="5" t="inlineStr">
        <is>
          <t>Low</t>
        </is>
      </c>
      <c r="F122" t="inlineStr">
        <is>
          <t>Desirable</t>
        </is>
      </c>
      <c r="G122" t="inlineStr"/>
      <c r="H122" t="inlineStr">
        <is>
          <t>Not Started</t>
        </is>
      </c>
      <c r="I122" t="inlineStr"/>
      <c r="J122" t="inlineStr"/>
      <c r="K122" t="inlineStr"/>
      <c r="L122" t="inlineStr"/>
      <c r="M122" t="inlineStr"/>
      <c r="N122" t="inlineStr"/>
      <c r="O122" t="inlineStr"/>
      <c r="P122" t="inlineStr"/>
      <c r="Q122" t="inlineStr"/>
    </row>
    <row r="123">
      <c r="A123" t="inlineStr">
        <is>
          <t>C.27</t>
        </is>
      </c>
      <c r="B123" s="4" t="inlineStr">
        <is>
          <t>The Government may extend the term of this Contract by written notice(s) to the Contractor within the periods
specified below. If more than one option exists, the Government has the right to unilaterally exercise any such option
whether or not it has exercised other options. 
CLINs LATEST OPTION EXERCISE DATE
6050, 6100, 7100, 8100 No later than twelve (12) months after the Task Order PoP start</t>
        </is>
      </c>
      <c r="C123" t="inlineStr">
        <is>
          <t>C.27</t>
        </is>
      </c>
      <c r="D123" t="n">
        <v>44</v>
      </c>
      <c r="E123" s="5" t="inlineStr">
        <is>
          <t>Low</t>
        </is>
      </c>
      <c r="F123" t="inlineStr">
        <is>
          <t>Desirable</t>
        </is>
      </c>
      <c r="G123" t="inlineStr"/>
      <c r="H123" t="inlineStr">
        <is>
          <t>Not Started</t>
        </is>
      </c>
      <c r="I123" t="inlineStr"/>
      <c r="J123" t="inlineStr"/>
      <c r="K123" t="inlineStr"/>
      <c r="L123" t="inlineStr"/>
      <c r="M123" t="inlineStr"/>
      <c r="N123" t="inlineStr"/>
      <c r="O123" t="inlineStr"/>
      <c r="P123" t="inlineStr"/>
      <c r="Q123" t="inlineStr"/>
    </row>
    <row r="124">
      <c r="A124" t="inlineStr">
        <is>
          <t>C.27</t>
        </is>
      </c>
      <c r="B124" s="4" t="inlineStr">
        <is>
          <t>If the Government exercises this option, the extended Task Order shall be considered to include this option</t>
        </is>
      </c>
      <c r="C124" t="inlineStr">
        <is>
          <t>C.27</t>
        </is>
      </c>
      <c r="D124" t="n">
        <v>44</v>
      </c>
      <c r="E124" s="6" t="inlineStr">
        <is>
          <t>High</t>
        </is>
      </c>
      <c r="F124" t="inlineStr">
        <is>
          <t>Mandatory</t>
        </is>
      </c>
      <c r="G124" t="inlineStr"/>
      <c r="H124" t="inlineStr">
        <is>
          <t>Not Started</t>
        </is>
      </c>
      <c r="I124" t="inlineStr"/>
      <c r="J124" t="inlineStr"/>
      <c r="K124" t="inlineStr"/>
      <c r="L124" t="inlineStr"/>
      <c r="M124" t="inlineStr"/>
      <c r="N124" t="inlineStr"/>
      <c r="O124" t="inlineStr"/>
      <c r="P124" t="inlineStr"/>
      <c r="Q124" t="inlineStr"/>
    </row>
    <row r="125">
      <c r="A125" t="inlineStr">
        <is>
          <t>C.27</t>
        </is>
      </c>
      <c r="B125" s="4" t="inlineStr">
        <is>
          <t>The total duration of this Contract, including the exercise of any option(s) under this clause, shall not exceed five</t>
        </is>
      </c>
      <c r="C125" t="inlineStr">
        <is>
          <t>C.27</t>
        </is>
      </c>
      <c r="D125" t="n">
        <v>44</v>
      </c>
      <c r="E125" s="6" t="inlineStr">
        <is>
          <t>High</t>
        </is>
      </c>
      <c r="F125" t="inlineStr">
        <is>
          <t>Mandatory</t>
        </is>
      </c>
      <c r="G125" t="inlineStr"/>
      <c r="H125" t="inlineStr">
        <is>
          <t>Not Started</t>
        </is>
      </c>
      <c r="I125" t="inlineStr"/>
      <c r="J125" t="inlineStr"/>
      <c r="K125" t="inlineStr"/>
      <c r="L125" t="inlineStr"/>
      <c r="M125" t="inlineStr"/>
      <c r="N125" t="inlineStr"/>
      <c r="O125" t="inlineStr"/>
      <c r="P125" t="inlineStr"/>
      <c r="Q125" t="inlineStr"/>
    </row>
    <row r="126">
      <c r="A126" t="inlineStr">
        <is>
          <t>C.27</t>
        </is>
      </c>
      <c r="B126" s="4" t="inlineStr">
        <is>
          <t>years, however, in accordance with Paragraph (j) of the requirement of this Contract entitled "Level of Effort –
Alternate I", if the total man-hours delineated in Paragraph (a) of the Level of Effort requirement, have not been
expended within the period specified above, the Government may require the Contractor to continue to perform the
work until the total number of man-hours specified in Paragraph (a) of the aforementioned requirement have been</t>
        </is>
      </c>
      <c r="C126" t="inlineStr">
        <is>
          <t>C.27</t>
        </is>
      </c>
      <c r="D126" t="n">
        <v>44</v>
      </c>
      <c r="E126" s="5" t="inlineStr">
        <is>
          <t>Low</t>
        </is>
      </c>
      <c r="F126" t="inlineStr">
        <is>
          <t>Desirable</t>
        </is>
      </c>
      <c r="G126" t="inlineStr"/>
      <c r="H126" t="inlineStr">
        <is>
          <t>Not Started</t>
        </is>
      </c>
      <c r="I126" t="inlineStr"/>
      <c r="J126" t="inlineStr"/>
      <c r="K126" t="inlineStr"/>
      <c r="L126" t="inlineStr"/>
      <c r="M126" t="inlineStr"/>
      <c r="N126" t="inlineStr"/>
      <c r="O126" t="inlineStr"/>
      <c r="P126" t="inlineStr"/>
      <c r="Q126" t="inlineStr"/>
    </row>
    <row r="127">
      <c r="A127" t="inlineStr">
        <is>
          <t>C.27</t>
        </is>
      </c>
      <c r="B127" s="4" t="inlineStr">
        <is>
          <t>Any request for estimated overtime premiums that exceeds the amount specified above shall include all estimated
overtime for contract completion and shall –</t>
        </is>
      </c>
      <c r="C127" t="inlineStr">
        <is>
          <t>C.27</t>
        </is>
      </c>
      <c r="D127" t="n">
        <v>44</v>
      </c>
      <c r="E127" s="6" t="inlineStr">
        <is>
          <t>High</t>
        </is>
      </c>
      <c r="F127" t="inlineStr">
        <is>
          <t>Mandatory</t>
        </is>
      </c>
      <c r="G127" t="inlineStr"/>
      <c r="H127" t="inlineStr">
        <is>
          <t>Not Started</t>
        </is>
      </c>
      <c r="I127" t="inlineStr"/>
      <c r="J127" t="inlineStr"/>
      <c r="K127" t="inlineStr"/>
      <c r="L127" t="inlineStr"/>
      <c r="M127" t="inlineStr"/>
      <c r="N127" t="inlineStr"/>
      <c r="O127" t="inlineStr"/>
      <c r="P127" t="inlineStr"/>
      <c r="Q127" t="inlineStr"/>
    </row>
    <row r="128">
      <c r="A128" t="inlineStr">
        <is>
          <t>C.27</t>
        </is>
      </c>
      <c r="B128" s="4" t="inlineStr">
        <is>
          <t>Definitions.
"Contracting Officer," as used in this clause, does not include any representative of the Contracting Officer.
"Specifically Authorized Representative (SAR)," as used in this clause, means any person the Contracting Officer
has so designated by written notice (a copy of which shall be provided to the Contractor) which shall refer to this
subparagraph and shall be issued to the designated representative before the SAR exercises such authority.</t>
        </is>
      </c>
      <c r="C128" t="inlineStr">
        <is>
          <t>C.27</t>
        </is>
      </c>
      <c r="D128" t="n">
        <v>44</v>
      </c>
      <c r="E128" s="6" t="inlineStr">
        <is>
          <t>High</t>
        </is>
      </c>
      <c r="F128" t="inlineStr">
        <is>
          <t>Mandatory</t>
        </is>
      </c>
      <c r="G128" t="inlineStr"/>
      <c r="H128" t="inlineStr">
        <is>
          <t>Not Started</t>
        </is>
      </c>
      <c r="I128" t="inlineStr"/>
      <c r="J128" t="inlineStr"/>
      <c r="K128" t="inlineStr"/>
      <c r="L128" t="inlineStr"/>
      <c r="M128" t="inlineStr"/>
      <c r="N128" t="inlineStr"/>
      <c r="O128" t="inlineStr"/>
      <c r="P128" t="inlineStr"/>
      <c r="Q128" t="inlineStr"/>
    </row>
    <row r="129">
      <c r="A129" t="inlineStr">
        <is>
          <t>C.27</t>
        </is>
      </c>
      <c r="B129" s="4" t="inlineStr">
        <is>
          <t>Notice. The primary purpose of this clause is to obtain prompt reporting of Government conduct that the
Contractor considers to constitute a change to this contract. Except for changes identified as such in writing and
signed by the Contracting Officer, the Contractor shall notify the Administrative Contracting Officer in writing,
within 14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t>
        </is>
      </c>
      <c r="C129" t="inlineStr">
        <is>
          <t>C.27</t>
        </is>
      </c>
      <c r="D129" t="n">
        <v>44</v>
      </c>
      <c r="E129" s="6" t="inlineStr">
        <is>
          <t>High</t>
        </is>
      </c>
      <c r="F129" t="inlineStr">
        <is>
          <t>Mandatory</t>
        </is>
      </c>
      <c r="G129" t="inlineStr"/>
      <c r="H129" t="inlineStr">
        <is>
          <t>Not Started</t>
        </is>
      </c>
      <c r="I129" t="inlineStr"/>
      <c r="J129" t="inlineStr"/>
      <c r="K129" t="inlineStr"/>
      <c r="L129" t="inlineStr"/>
      <c r="M129" t="inlineStr"/>
      <c r="N129" t="inlineStr"/>
      <c r="O129" t="inlineStr"/>
      <c r="P129" t="inlineStr"/>
      <c r="Q129" t="inlineStr"/>
    </row>
    <row r="130">
      <c r="A130" t="inlineStr">
        <is>
          <t>C.27</t>
        </is>
      </c>
      <c r="B130" s="4" t="inlineStr">
        <is>
          <t>The particular elements of contract performance for which the Contractor may seek an equitable adjustment</t>
        </is>
      </c>
      <c r="C130" t="inlineStr">
        <is>
          <t>C.27</t>
        </is>
      </c>
      <c r="D130" t="n">
        <v>44</v>
      </c>
      <c r="E130" s="5" t="inlineStr">
        <is>
          <t>Low</t>
        </is>
      </c>
      <c r="F130" t="inlineStr">
        <is>
          <t>Desirable</t>
        </is>
      </c>
      <c r="G130" t="inlineStr"/>
      <c r="H130" t="inlineStr">
        <is>
          <t>Not Started</t>
        </is>
      </c>
      <c r="I130" t="inlineStr"/>
      <c r="J130" t="inlineStr"/>
      <c r="K130" t="inlineStr"/>
      <c r="L130" t="inlineStr"/>
      <c r="M130" t="inlineStr"/>
      <c r="N130" t="inlineStr"/>
      <c r="O130" t="inlineStr"/>
      <c r="P130" t="inlineStr"/>
      <c r="Q130" t="inlineStr"/>
    </row>
    <row r="131">
      <c r="A131" t="inlineStr">
        <is>
          <t>C.27</t>
        </is>
      </c>
      <c r="B131" s="4" t="inlineStr">
        <is>
          <t>What line items have been or may be affected by the alleged change;</t>
        </is>
      </c>
      <c r="C131" t="inlineStr">
        <is>
          <t>C.27</t>
        </is>
      </c>
      <c r="D131" t="n">
        <v>44</v>
      </c>
      <c r="E131" s="5" t="inlineStr">
        <is>
          <t>Low</t>
        </is>
      </c>
      <c r="F131" t="inlineStr">
        <is>
          <t>Desirable</t>
        </is>
      </c>
      <c r="G131" t="inlineStr"/>
      <c r="H131" t="inlineStr">
        <is>
          <t>Not Started</t>
        </is>
      </c>
      <c r="I131" t="inlineStr"/>
      <c r="J131" t="inlineStr"/>
      <c r="K131" t="inlineStr"/>
      <c r="L131" t="inlineStr"/>
      <c r="M131" t="inlineStr"/>
      <c r="N131" t="inlineStr"/>
      <c r="O131" t="inlineStr"/>
      <c r="P131" t="inlineStr"/>
      <c r="Q131" t="inlineStr"/>
    </row>
    <row r="132">
      <c r="A132" t="inlineStr">
        <is>
          <t>C.27</t>
        </is>
      </c>
      <c r="B132" s="4" t="inlineStr">
        <is>
          <t>What labor or materials or both have been or may be added, deleted, or wasted by the alleged change;</t>
        </is>
      </c>
      <c r="C132" t="inlineStr">
        <is>
          <t>C.27</t>
        </is>
      </c>
      <c r="D132" t="n">
        <v>44</v>
      </c>
      <c r="E132" s="5" t="inlineStr">
        <is>
          <t>Low</t>
        </is>
      </c>
      <c r="F132" t="inlineStr">
        <is>
          <t>Desirable</t>
        </is>
      </c>
      <c r="G132" t="inlineStr"/>
      <c r="H132" t="inlineStr">
        <is>
          <t>Not Started</t>
        </is>
      </c>
      <c r="I132" t="inlineStr"/>
      <c r="J132" t="inlineStr"/>
      <c r="K132" t="inlineStr"/>
      <c r="L132" t="inlineStr"/>
      <c r="M132" t="inlineStr"/>
      <c r="N132" t="inlineStr"/>
      <c r="O132" t="inlineStr"/>
      <c r="P132" t="inlineStr"/>
      <c r="Q132" t="inlineStr"/>
    </row>
    <row r="133">
      <c r="A133" t="inlineStr">
        <is>
          <t>C.27</t>
        </is>
      </c>
      <c r="B133" s="4" t="inlineStr">
        <is>
          <t>To the extent practicable, what delay and disruption in the manner and sequence of performance and effect on
continued performance have been or may be caused by the alleged change;</t>
        </is>
      </c>
      <c r="C133" t="inlineStr">
        <is>
          <t>C.27</t>
        </is>
      </c>
      <c r="D133" t="n">
        <v>44</v>
      </c>
      <c r="E133" s="5" t="inlineStr">
        <is>
          <t>Low</t>
        </is>
      </c>
      <c r="F133" t="inlineStr">
        <is>
          <t>Desirable</t>
        </is>
      </c>
      <c r="G133" t="inlineStr"/>
      <c r="H133" t="inlineStr">
        <is>
          <t>Not Started</t>
        </is>
      </c>
      <c r="I133" t="inlineStr"/>
      <c r="J133" t="inlineStr"/>
      <c r="K133" t="inlineStr"/>
      <c r="L133" t="inlineStr"/>
      <c r="M133" t="inlineStr"/>
      <c r="N133" t="inlineStr"/>
      <c r="O133" t="inlineStr"/>
      <c r="P133" t="inlineStr"/>
      <c r="Q133" t="inlineStr"/>
    </row>
    <row r="134">
      <c r="A134" t="inlineStr">
        <is>
          <t>C.27</t>
        </is>
      </c>
      <c r="B134" s="4" t="inlineStr">
        <is>
          <t>The Contractor's estimate of the time by which the Government must respond to the Contractor's notice to
minimize cost, delay or disruption of performance.</t>
        </is>
      </c>
      <c r="C134" t="inlineStr">
        <is>
          <t>C.27</t>
        </is>
      </c>
      <c r="D134" t="n">
        <v>44</v>
      </c>
      <c r="E134" s="6" t="inlineStr">
        <is>
          <t>High</t>
        </is>
      </c>
      <c r="F134" t="inlineStr">
        <is>
          <t>Mandatory</t>
        </is>
      </c>
      <c r="G134" t="inlineStr"/>
      <c r="H134" t="inlineStr">
        <is>
          <t>Not Started</t>
        </is>
      </c>
      <c r="I134" t="inlineStr"/>
      <c r="J134" t="inlineStr"/>
      <c r="K134" t="inlineStr"/>
      <c r="L134" t="inlineStr"/>
      <c r="M134" t="inlineStr"/>
      <c r="N134" t="inlineStr"/>
      <c r="O134" t="inlineStr"/>
      <c r="P134" t="inlineStr"/>
      <c r="Q134" t="inlineStr"/>
    </row>
    <row r="135">
      <c r="A135" t="inlineStr">
        <is>
          <t>C.27</t>
        </is>
      </c>
      <c r="B135" s="4" t="inlineStr">
        <is>
          <t>Continued performance. Following submission of the notice required by (b) above,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(b) above, notice
shall be given in the manner provided. All directions, communications, interpretations, orders and similar actions of
the SAR shall be reduced to writing and copies furnished to the Contractor and to the Contracting Officer. The
Contracting Officer shall countermand any action which exceeds the authority of the SAR.</t>
        </is>
      </c>
      <c r="C135" t="inlineStr">
        <is>
          <t>C.27</t>
        </is>
      </c>
      <c r="D135" t="n">
        <v>44</v>
      </c>
      <c r="E135" s="6" t="inlineStr">
        <is>
          <t>High</t>
        </is>
      </c>
      <c r="F135" t="inlineStr">
        <is>
          <t>Mandatory</t>
        </is>
      </c>
      <c r="G135" t="inlineStr"/>
      <c r="H135" t="inlineStr">
        <is>
          <t>Not Started</t>
        </is>
      </c>
      <c r="I135" t="inlineStr"/>
      <c r="J135" t="inlineStr"/>
      <c r="K135" t="inlineStr"/>
      <c r="L135" t="inlineStr"/>
      <c r="M135" t="inlineStr"/>
      <c r="N135" t="inlineStr"/>
      <c r="O135" t="inlineStr"/>
      <c r="P135" t="inlineStr"/>
      <c r="Q135" t="inlineStr"/>
    </row>
    <row r="136">
      <c r="A136" t="inlineStr">
        <is>
          <t>C.27</t>
        </is>
      </c>
      <c r="B136" s="4" t="inlineStr">
        <is>
          <t>Government response. The Contracting Officer shall promptly, within 14 calendar days after receipt of notice,
respond to the notice in writing. In responding, the Contracting Officer shall either--</t>
        </is>
      </c>
      <c r="C136" t="inlineStr">
        <is>
          <t>C.27</t>
        </is>
      </c>
      <c r="D136" t="n">
        <v>44</v>
      </c>
      <c r="E136" s="6" t="inlineStr">
        <is>
          <t>High</t>
        </is>
      </c>
      <c r="F136" t="inlineStr">
        <is>
          <t>Mandatory</t>
        </is>
      </c>
      <c r="G136" t="inlineStr"/>
      <c r="H136" t="inlineStr">
        <is>
          <t>Not Started</t>
        </is>
      </c>
      <c r="I136" t="inlineStr"/>
      <c r="J136" t="inlineStr"/>
      <c r="K136" t="inlineStr"/>
      <c r="L136" t="inlineStr"/>
      <c r="M136" t="inlineStr"/>
      <c r="N136" t="inlineStr"/>
      <c r="O136" t="inlineStr"/>
      <c r="P136" t="inlineStr"/>
      <c r="Q136" t="inlineStr"/>
    </row>
    <row r="137">
      <c r="A137" t="inlineStr">
        <is>
          <t>C.27</t>
        </is>
      </c>
      <c r="B137" s="4" t="inlineStr">
        <is>
          <t>In the event the Contractor's notice information is inadequate to make a decision under (1), (2), or (3) above,
advise the Contractor what additional information is required, and establish the date by which it should be furnished
and the date thereafter by which the Government will respond.</t>
        </is>
      </c>
      <c r="C137" t="inlineStr">
        <is>
          <t>C.27</t>
        </is>
      </c>
      <c r="D137" t="n">
        <v>44</v>
      </c>
      <c r="E137" s="6" t="inlineStr">
        <is>
          <t>High</t>
        </is>
      </c>
      <c r="F137" t="inlineStr">
        <is>
          <t>Mandatory</t>
        </is>
      </c>
      <c r="G137" t="inlineStr"/>
      <c r="H137" t="inlineStr">
        <is>
          <t>Not Started</t>
        </is>
      </c>
      <c r="I137" t="inlineStr"/>
      <c r="J137" t="inlineStr"/>
      <c r="K137" t="inlineStr"/>
      <c r="L137" t="inlineStr"/>
      <c r="M137" t="inlineStr"/>
      <c r="N137" t="inlineStr"/>
      <c r="O137" t="inlineStr"/>
      <c r="P137" t="inlineStr"/>
      <c r="Q137" t="inlineStr"/>
    </row>
    <row r="138">
      <c r="A138" t="inlineStr">
        <is>
          <t>C.27</t>
        </is>
      </c>
      <c r="B138" s="4" t="inlineStr">
        <is>
          <t>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t>
        </is>
      </c>
      <c r="C138" t="inlineStr">
        <is>
          <t>C.27</t>
        </is>
      </c>
      <c r="D138" t="n">
        <v>44</v>
      </c>
      <c r="E138" s="6" t="inlineStr">
        <is>
          <t>High</t>
        </is>
      </c>
      <c r="F138" t="inlineStr">
        <is>
          <t>Mandatory</t>
        </is>
      </c>
      <c r="G138" t="inlineStr"/>
      <c r="H138" t="inlineStr">
        <is>
          <t>Not Started</t>
        </is>
      </c>
      <c r="I138" t="inlineStr"/>
      <c r="J138" t="inlineStr"/>
      <c r="K138" t="inlineStr"/>
      <c r="L138" t="inlineStr"/>
      <c r="M138" t="inlineStr"/>
      <c r="N138" t="inlineStr"/>
      <c r="O138" t="inlineStr"/>
      <c r="P138" t="inlineStr"/>
      <c r="Q138" t="inlineStr"/>
    </row>
    <row r="139">
      <c r="A139" t="inlineStr">
        <is>
          <t>C.27</t>
        </is>
      </c>
      <c r="B139" s="4" t="inlineStr">
        <is>
          <t>In such other provisions of the contract as may be affected.</t>
        </is>
      </c>
      <c r="C139" t="inlineStr">
        <is>
          <t>C.27</t>
        </is>
      </c>
      <c r="D139" t="n">
        <v>44</v>
      </c>
      <c r="E139" s="5" t="inlineStr">
        <is>
          <t>Low</t>
        </is>
      </c>
      <c r="F139" t="inlineStr">
        <is>
          <t>Desirable</t>
        </is>
      </c>
      <c r="G139" t="inlineStr"/>
      <c r="H139" t="inlineStr">
        <is>
          <t>Not Started</t>
        </is>
      </c>
      <c r="I139" t="inlineStr"/>
      <c r="J139" t="inlineStr"/>
      <c r="K139" t="inlineStr"/>
      <c r="L139" t="inlineStr"/>
      <c r="M139" t="inlineStr"/>
      <c r="N139" t="inlineStr"/>
      <c r="O139" t="inlineStr"/>
      <c r="P139" t="inlineStr"/>
      <c r="Q139" t="inlineStr"/>
    </row>
    <row r="140">
      <c r="A140" t="inlineStr">
        <is>
          <t>C.27</t>
        </is>
      </c>
      <c r="B140" s="4" t="inlineStr">
        <is>
          <t>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t>
        </is>
      </c>
      <c r="C140" t="inlineStr">
        <is>
          <t>C.27</t>
        </is>
      </c>
      <c r="D140" t="n">
        <v>44</v>
      </c>
      <c r="E140" s="6" t="inlineStr">
        <is>
          <t>High</t>
        </is>
      </c>
      <c r="F140" t="inlineStr">
        <is>
          <t>Mandatory</t>
        </is>
      </c>
      <c r="G140" t="inlineStr"/>
      <c r="H140" t="inlineStr">
        <is>
          <t>Not Started</t>
        </is>
      </c>
      <c r="I140" t="inlineStr"/>
      <c r="J140" t="inlineStr"/>
      <c r="K140" t="inlineStr"/>
      <c r="L140" t="inlineStr"/>
      <c r="M140" t="inlineStr"/>
      <c r="N140" t="inlineStr"/>
      <c r="O140" t="inlineStr"/>
      <c r="P140" t="inlineStr"/>
      <c r="Q140" t="inlineStr"/>
    </row>
    <row r="141">
      <c r="A141" t="inlineStr">
        <is>
          <t>C.27</t>
        </is>
      </c>
      <c r="B141" s="4" t="inlineStr">
        <is>
          <t>N0017826R30020003 - FINAL
Page 80 of 114
disposition of the property. The equitable adjustment shall not include increased costs or time extensions for delay
resulting from the Contractor's failure to provide notice or to continue performance as provided, respectively, in (b)
and (c) above.
Note: The phrases “contract price” and “cost” wherever they appear in the clause, may be appropriately modified to
apply to cost-reimbursement or incentive contracts, or to combinations thereof.
52.244-2 SUBCONTRACTS (JUNE 2020)</t>
        </is>
      </c>
      <c r="C141" t="inlineStr">
        <is>
          <t>C.27</t>
        </is>
      </c>
      <c r="D141" t="n">
        <v>44</v>
      </c>
      <c r="E141" s="6" t="inlineStr">
        <is>
          <t>High</t>
        </is>
      </c>
      <c r="F141" t="inlineStr">
        <is>
          <t>Mandatory</t>
        </is>
      </c>
      <c r="G141" t="inlineStr"/>
      <c r="H141" t="inlineStr">
        <is>
          <t>Not Started</t>
        </is>
      </c>
      <c r="I141" t="inlineStr"/>
      <c r="J141" t="inlineStr"/>
      <c r="K141" t="inlineStr"/>
      <c r="L141" t="inlineStr"/>
      <c r="M141" t="inlineStr"/>
      <c r="N141" t="inlineStr"/>
      <c r="O141" t="inlineStr"/>
      <c r="P141" t="inlineStr"/>
      <c r="Q141" t="inlineStr"/>
    </row>
    <row r="142">
      <c r="A142" t="inlineStr">
        <is>
          <t>C.27</t>
        </is>
      </c>
      <c r="B142" s="4" t="inlineStr">
        <is>
          <t>When this clause is included in a fixed-price type contract, consent to subcontract is required only on unpriced
contract actions (including unpriced modifications or unpriced delivery orders), and only if required in accordance
with paragraph (c) or (d) of this clause.</t>
        </is>
      </c>
      <c r="C142" t="inlineStr">
        <is>
          <t>C.27</t>
        </is>
      </c>
      <c r="D142" t="n">
        <v>44</v>
      </c>
      <c r="E142" s="6" t="inlineStr">
        <is>
          <t>High</t>
        </is>
      </c>
      <c r="F142" t="inlineStr">
        <is>
          <t>Mandatory</t>
        </is>
      </c>
      <c r="G142" t="inlineStr"/>
      <c r="H142" t="inlineStr">
        <is>
          <t>Not Started</t>
        </is>
      </c>
      <c r="I142" t="inlineStr"/>
      <c r="J142" t="inlineStr"/>
      <c r="K142" t="inlineStr"/>
      <c r="L142" t="inlineStr"/>
      <c r="M142" t="inlineStr"/>
      <c r="N142" t="inlineStr"/>
      <c r="O142" t="inlineStr"/>
      <c r="P142" t="inlineStr"/>
      <c r="Q142" t="inlineStr"/>
    </row>
    <row r="143">
      <c r="A143" t="inlineStr">
        <is>
          <t>C.27</t>
        </is>
      </c>
      <c r="B143" s="4" t="inlineStr">
        <is>
          <t>If the Contractor does not have an approved purchasing system, consent to subcontract is required for any
subcontract that-</t>
        </is>
      </c>
      <c r="C143" t="inlineStr">
        <is>
          <t>C.27</t>
        </is>
      </c>
      <c r="D143" t="n">
        <v>44</v>
      </c>
      <c r="E143" s="6" t="inlineStr">
        <is>
          <t>High</t>
        </is>
      </c>
      <c r="F143" t="inlineStr">
        <is>
          <t>Mandatory</t>
        </is>
      </c>
      <c r="G143" t="inlineStr"/>
      <c r="H143" t="inlineStr">
        <is>
          <t>Not Started</t>
        </is>
      </c>
      <c r="I143" t="inlineStr"/>
      <c r="J143" t="inlineStr"/>
      <c r="K143" t="inlineStr"/>
      <c r="L143" t="inlineStr"/>
      <c r="M143" t="inlineStr"/>
      <c r="N143" t="inlineStr"/>
      <c r="O143" t="inlineStr"/>
      <c r="P143" t="inlineStr"/>
      <c r="Q143" t="inlineStr"/>
    </row>
    <row r="144">
      <c r="A144" t="inlineStr">
        <is>
          <t>C.27</t>
        </is>
      </c>
      <c r="B144" s="4" t="inlineStr">
        <is>
          <t>If the Contractor has an approved purchasing system, the Contractor nevertheless shall obtain the Contracting
Officer’ s written consent before placing the following subcontracts:
All Subcontracts Regardless of Type</t>
        </is>
      </c>
      <c r="C144" t="inlineStr">
        <is>
          <t>C.27</t>
        </is>
      </c>
      <c r="D144" t="n">
        <v>44</v>
      </c>
      <c r="E144" s="6" t="inlineStr">
        <is>
          <t>High</t>
        </is>
      </c>
      <c r="F144" t="inlineStr">
        <is>
          <t>Mandatory</t>
        </is>
      </c>
      <c r="G144" t="inlineStr"/>
      <c r="H144" t="inlineStr">
        <is>
          <t>Not Started</t>
        </is>
      </c>
      <c r="I144" t="inlineStr"/>
      <c r="J144" t="inlineStr"/>
      <c r="K144" t="inlineStr"/>
      <c r="L144" t="inlineStr"/>
      <c r="M144" t="inlineStr"/>
      <c r="N144" t="inlineStr"/>
      <c r="O144" t="inlineStr"/>
      <c r="P144" t="inlineStr"/>
      <c r="Q144" t="inlineStr"/>
    </row>
    <row r="145">
      <c r="A145" t="inlineStr">
        <is>
          <t>C.27</t>
        </is>
      </c>
      <c r="B145" s="4" t="inlineStr">
        <is>
          <t>The Contractor shall notify the Contracting Officer reasonably in advance of placing any subcontract or
modification thereof for which consent is required under paragraph (b), (c), or (d) of this clause, including the
following information:</t>
        </is>
      </c>
      <c r="C145" t="inlineStr">
        <is>
          <t>C.27</t>
        </is>
      </c>
      <c r="D145" t="n">
        <v>44</v>
      </c>
      <c r="E145" s="6" t="inlineStr">
        <is>
          <t>High</t>
        </is>
      </c>
      <c r="F145" t="inlineStr">
        <is>
          <t>Mandatory</t>
        </is>
      </c>
      <c r="G145" t="inlineStr"/>
      <c r="H145" t="inlineStr">
        <is>
          <t>Not Started</t>
        </is>
      </c>
      <c r="I145" t="inlineStr"/>
      <c r="J145" t="inlineStr"/>
      <c r="K145" t="inlineStr"/>
      <c r="L145" t="inlineStr"/>
      <c r="M145" t="inlineStr"/>
      <c r="N145" t="inlineStr"/>
      <c r="O145" t="inlineStr"/>
      <c r="P145" t="inlineStr"/>
      <c r="Q145" t="inlineStr"/>
    </row>
    <row r="146">
      <c r="A146" t="inlineStr">
        <is>
          <t>C.27</t>
        </is>
      </c>
      <c r="B146" s="4" t="inlineStr">
        <is>
          <t>The subcontractor’ s Disclosure Statement or Certificate relating to Cost Accounting Standards when such data
are required by other provisions of this contract.</t>
        </is>
      </c>
      <c r="C146" t="inlineStr">
        <is>
          <t>C.27</t>
        </is>
      </c>
      <c r="D146" t="n">
        <v>44</v>
      </c>
      <c r="E146" s="6" t="inlineStr">
        <is>
          <t>High</t>
        </is>
      </c>
      <c r="F146" t="inlineStr">
        <is>
          <t>Mandatory</t>
        </is>
      </c>
      <c r="G146" t="inlineStr"/>
      <c r="H146" t="inlineStr">
        <is>
          <t>Not Started</t>
        </is>
      </c>
      <c r="I146" t="inlineStr"/>
      <c r="J146" t="inlineStr"/>
      <c r="K146" t="inlineStr"/>
      <c r="L146" t="inlineStr"/>
      <c r="M146" t="inlineStr"/>
      <c r="N146" t="inlineStr"/>
      <c r="O146" t="inlineStr"/>
      <c r="P146" t="inlineStr"/>
      <c r="Q146" t="inlineStr"/>
    </row>
    <row r="147">
      <c r="A147" t="inlineStr">
        <is>
          <t>C.27</t>
        </is>
      </c>
      <c r="B147" s="4" t="inlineStr">
        <is>
          <t>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 s certified cost or pricing data in
determining the price objective and in negotiating the final price;
(E) The extent to which it was recognized in the negotiation that the subcontractor’ s certified cost or pricing data
were not accurate, complete, or current; the action taken by the Contractor and the subcontractor; and the effect of
any such defective data on the total price negotiated;
(F) The reasons for any significant difference between the Contractor’ 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t>
        </is>
      </c>
      <c r="C147" t="inlineStr">
        <is>
          <t>C.27</t>
        </is>
      </c>
      <c r="D147" t="n">
        <v>44</v>
      </c>
      <c r="E147" s="6" t="inlineStr">
        <is>
          <t>High</t>
        </is>
      </c>
      <c r="F147" t="inlineStr">
        <is>
          <t>Mandatory</t>
        </is>
      </c>
      <c r="G147" t="inlineStr"/>
      <c r="H147" t="inlineStr">
        <is>
          <t>Not Started</t>
        </is>
      </c>
      <c r="I147" t="inlineStr"/>
      <c r="J147" t="inlineStr"/>
      <c r="K147" t="inlineStr"/>
      <c r="L147" t="inlineStr"/>
      <c r="M147" t="inlineStr"/>
      <c r="N147" t="inlineStr"/>
      <c r="O147" t="inlineStr"/>
      <c r="P147" t="inlineStr"/>
      <c r="Q147" t="inlineStr"/>
    </row>
    <row r="148">
      <c r="A148" t="inlineStr">
        <is>
          <t>C.27</t>
        </is>
      </c>
      <c r="B148" s="4" t="inlineStr">
        <is>
          <t>If the Contractor has an approved purchasing system and consent is not required under paragraph (c), or (d) of
this clause, the Contractor nevertheless shall notify the Contracting Officer reasonably in advance of entering into
any (i) cost-plus-fixed-fee subcontract, or (ii) fixed-price subcontract that exceeds either the simplified acquisition
threshold, as defined in FAR 2.101 on the date of subcontract award, or 5 percent of the total estimated cost of this</t>
        </is>
      </c>
      <c r="C148" t="inlineStr">
        <is>
          <t>C.27</t>
        </is>
      </c>
      <c r="D148" t="n">
        <v>44</v>
      </c>
      <c r="E148" s="6" t="inlineStr">
        <is>
          <t>High</t>
        </is>
      </c>
      <c r="F148" t="inlineStr">
        <is>
          <t>Mandatory</t>
        </is>
      </c>
      <c r="G148" t="inlineStr"/>
      <c r="H148" t="inlineStr">
        <is>
          <t>Not Started</t>
        </is>
      </c>
      <c r="I148" t="inlineStr"/>
      <c r="J148" t="inlineStr"/>
      <c r="K148" t="inlineStr"/>
      <c r="L148" t="inlineStr"/>
      <c r="M148" t="inlineStr"/>
      <c r="N148" t="inlineStr"/>
      <c r="O148" t="inlineStr">
        <is>
          <t>FAR 2.101</t>
        </is>
      </c>
      <c r="P148" t="inlineStr"/>
      <c r="Q148" t="inlineStr"/>
    </row>
    <row r="149">
      <c r="A149" t="inlineStr">
        <is>
          <t>C.27</t>
        </is>
      </c>
      <c r="B149" s="4" t="inlineStr">
        <is>
          <t>The notification shall include the information required by paragraphs (e)(1)(i) through (iv) of this clause.</t>
        </is>
      </c>
      <c r="C149" t="inlineStr">
        <is>
          <t>C.27</t>
        </is>
      </c>
      <c r="D149" t="n">
        <v>44</v>
      </c>
      <c r="E149" s="6" t="inlineStr">
        <is>
          <t>High</t>
        </is>
      </c>
      <c r="F149" t="inlineStr">
        <is>
          <t>Mandatory</t>
        </is>
      </c>
      <c r="G149" t="inlineStr"/>
      <c r="H149" t="inlineStr">
        <is>
          <t>Not Started</t>
        </is>
      </c>
      <c r="I149" t="inlineStr"/>
      <c r="J149" t="inlineStr"/>
      <c r="K149" t="inlineStr"/>
      <c r="L149" t="inlineStr"/>
      <c r="M149" t="inlineStr"/>
      <c r="N149" t="inlineStr"/>
      <c r="O149" t="inlineStr"/>
      <c r="P149" t="inlineStr"/>
      <c r="Q149" t="inlineStr"/>
    </row>
    <row r="150">
      <c r="A150" t="inlineStr">
        <is>
          <t>C.27</t>
        </is>
      </c>
      <c r="B150" s="4" t="inlineStr">
        <is>
          <t>Unless the consent or approval specifically provides otherwise, neither consent by the Contracting Officer to any
subcontract nor approval of the Contractor’ s purchasing system shall constitute a determination-</t>
        </is>
      </c>
      <c r="C150" t="inlineStr">
        <is>
          <t>C.27</t>
        </is>
      </c>
      <c r="D150" t="n">
        <v>44</v>
      </c>
      <c r="E150" s="6" t="inlineStr">
        <is>
          <t>High</t>
        </is>
      </c>
      <c r="F150" t="inlineStr">
        <is>
          <t>Mandatory</t>
        </is>
      </c>
      <c r="G150" t="inlineStr"/>
      <c r="H150" t="inlineStr">
        <is>
          <t>Not Started</t>
        </is>
      </c>
      <c r="I150" t="inlineStr"/>
      <c r="J150" t="inlineStr"/>
      <c r="K150" t="inlineStr"/>
      <c r="L150" t="inlineStr"/>
      <c r="M150" t="inlineStr"/>
      <c r="N150" t="inlineStr"/>
      <c r="O150" t="inlineStr"/>
      <c r="P150" t="inlineStr"/>
      <c r="Q150" t="inlineStr"/>
    </row>
    <row r="151">
      <c r="A151" t="inlineStr">
        <is>
          <t>C.27</t>
        </is>
      </c>
      <c r="B151" s="4" t="inlineStr">
        <is>
          <t>No subcontract or modification thereof placed under this contract shall provide for payment on a cost-plus-
a-percentage-of-cost basis, and any fee payable under cost-reimbursement type subcontracts shall not exceed the fee
limitations in FAR 15.404-4(c)(4)(i).</t>
        </is>
      </c>
      <c r="C151" t="inlineStr">
        <is>
          <t>C.27</t>
        </is>
      </c>
      <c r="D151" t="n">
        <v>44</v>
      </c>
      <c r="E151" s="6" t="inlineStr">
        <is>
          <t>High</t>
        </is>
      </c>
      <c r="F151" t="inlineStr">
        <is>
          <t>Mandatory</t>
        </is>
      </c>
      <c r="G151" t="inlineStr"/>
      <c r="H151" t="inlineStr">
        <is>
          <t>Not Started</t>
        </is>
      </c>
      <c r="I151" t="inlineStr"/>
      <c r="J151" t="inlineStr"/>
      <c r="K151" t="inlineStr"/>
      <c r="L151" t="inlineStr"/>
      <c r="M151" t="inlineStr"/>
      <c r="N151" t="inlineStr"/>
      <c r="O151" t="inlineStr">
        <is>
          <t>FAR 15.404-4</t>
        </is>
      </c>
      <c r="P151" t="inlineStr"/>
      <c r="Q151" t="inlineStr"/>
    </row>
    <row r="152">
      <c r="A152" t="inlineStr">
        <is>
          <t>C.27</t>
        </is>
      </c>
      <c r="B152" s="4" t="inlineStr">
        <is>
          <t>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t>
        </is>
      </c>
      <c r="C152" t="inlineStr">
        <is>
          <t>C.27</t>
        </is>
      </c>
      <c r="D152" t="n">
        <v>44</v>
      </c>
      <c r="E152" s="6" t="inlineStr">
        <is>
          <t>High</t>
        </is>
      </c>
      <c r="F152" t="inlineStr">
        <is>
          <t>Mandatory</t>
        </is>
      </c>
      <c r="G152" t="inlineStr"/>
      <c r="H152" t="inlineStr">
        <is>
          <t>Not Started</t>
        </is>
      </c>
      <c r="I152" t="inlineStr"/>
      <c r="J152" t="inlineStr"/>
      <c r="K152" t="inlineStr"/>
      <c r="L152" t="inlineStr"/>
      <c r="M152" t="inlineStr"/>
      <c r="N152" t="inlineStr"/>
      <c r="O152" t="inlineStr"/>
      <c r="P152" t="inlineStr"/>
      <c r="Q152" t="inlineStr"/>
    </row>
    <row r="153">
      <c r="A153" t="inlineStr">
        <is>
          <t>C.27</t>
        </is>
      </c>
      <c r="B153" s="4" t="inlineStr">
        <is>
          <t>N0017826R30020003 - FINAL
Page 82 of 114
TBD at time of award. 
252.204-7012 SAFEGUARDING COVERED DEFENSE INFORMATION AND CYBER INCIDENT
REPORTING (MAY 2024)</t>
        </is>
      </c>
      <c r="C153" t="inlineStr">
        <is>
          <t>C.27</t>
        </is>
      </c>
      <c r="D153" t="n">
        <v>44</v>
      </c>
      <c r="E153" s="5" t="inlineStr">
        <is>
          <t>Low</t>
        </is>
      </c>
      <c r="F153" t="inlineStr">
        <is>
          <t>Desirable</t>
        </is>
      </c>
      <c r="G153" t="inlineStr"/>
      <c r="H153" t="inlineStr">
        <is>
          <t>Not Started</t>
        </is>
      </c>
      <c r="I153" t="inlineStr"/>
      <c r="J153" t="inlineStr"/>
      <c r="K153" t="inlineStr"/>
      <c r="L153" t="inlineStr"/>
      <c r="M153" t="inlineStr"/>
      <c r="N153" t="inlineStr"/>
      <c r="O153" t="inlineStr"/>
      <c r="P153" t="inlineStr"/>
      <c r="Q153" t="inlineStr"/>
    </row>
    <row r="154">
      <c r="A154" t="inlineStr">
        <is>
          <t>C.27</t>
        </is>
      </c>
      <c r="B154" s="4" t="inlineStr">
        <is>
          <t>Definitions. As used in this clause—
“Adequate security” means protective measures that are commensurate with the consequences and probability of
loss, misuse, or unauthorized access to, or modification of information.
“Compromise” means disclosure of information to unauthorized persons, or a violation of the security policy of a
system, in which unauthorized intentional or unintentional disclosure, modification, destruction, or loss of an object,
or the copying of information to unauthorized media may have occurred.
“Contractor attributional/proprietary information” means information that identifies the contractor(s), whether
directly or indirectly, by the grouping of information that can be traced back to the contractor(s) (e.g., program
description, facility locations), personally identifiable information, as well as trade secrets, commercial or financial
information, or other commercially sensitive information that is not customarily shared outside of the company.
“Controlled technical information” means technical information with military or space application that is subject to
controls on the access, use, reproduction, modification, performance, display, release, disclosure, or dissemination.
Controlled technical information would meet the criteria, if disseminated, for distribution statements B through F
using the criteria set forth in DoD Instruction 5230.24, Distribution Statements on Technical Documents. The term
does not include information that is lawfully publicly available without restrictions.
“Covered contractor information system” means an unclassified information system that is owned, or operated by or
for, a contractor and that processes, stores, or transmits covered defense information.
“Covered defense information” means unclassified controlled technical information or other information, as
described in the Controlled Unclassified Information (CUI) Registry at http://www.archives.gov/cui/registry
/category-list.html, that requires safeguarding or dissemination controls pursuant to and consistent with law,
regulations, and Governmentwide policies, and is—</t>
        </is>
      </c>
      <c r="C154" t="inlineStr">
        <is>
          <t>C.27</t>
        </is>
      </c>
      <c r="D154" t="n">
        <v>44</v>
      </c>
      <c r="E154" s="5" t="inlineStr">
        <is>
          <t>Low</t>
        </is>
      </c>
      <c r="F154" t="inlineStr">
        <is>
          <t>Desirable</t>
        </is>
      </c>
      <c r="G154" t="inlineStr"/>
      <c r="H154" t="inlineStr">
        <is>
          <t>Not Started</t>
        </is>
      </c>
      <c r="I154" t="inlineStr"/>
      <c r="J154" t="inlineStr"/>
      <c r="K154" t="inlineStr"/>
      <c r="L154" t="inlineStr"/>
      <c r="M154" t="inlineStr"/>
      <c r="N154" t="inlineStr"/>
      <c r="O154" t="inlineStr"/>
      <c r="P154" t="inlineStr"/>
      <c r="Q154" t="inlineStr"/>
    </row>
    <row r="155">
      <c r="A155" t="inlineStr">
        <is>
          <t>C.27</t>
        </is>
      </c>
      <c r="B155" s="4" t="inlineStr">
        <is>
          <t>Adequate security. The Contractor shall provide adequate security on all covered contractor information systems.
To provide adequate security, the Contractor shall implement, at a minimum, the following information security
protections:</t>
        </is>
      </c>
      <c r="C155" t="inlineStr">
        <is>
          <t>C.27</t>
        </is>
      </c>
      <c r="D155" t="n">
        <v>44</v>
      </c>
      <c r="E155" s="6" t="inlineStr">
        <is>
          <t>High</t>
        </is>
      </c>
      <c r="F155" t="inlineStr">
        <is>
          <t>Mandatory</t>
        </is>
      </c>
      <c r="G155" t="inlineStr"/>
      <c r="H155" t="inlineStr">
        <is>
          <t>Not Started</t>
        </is>
      </c>
      <c r="I155" t="inlineStr"/>
      <c r="J155" t="inlineStr"/>
      <c r="K155" t="inlineStr"/>
      <c r="L155" t="inlineStr"/>
      <c r="M155" t="inlineStr"/>
      <c r="N155" t="inlineStr"/>
      <c r="O155" t="inlineStr"/>
      <c r="P155" t="inlineStr"/>
      <c r="Q155" t="inlineStr"/>
    </row>
    <row r="156">
      <c r="A156" t="inlineStr">
        <is>
          <t>C.27</t>
        </is>
      </c>
      <c r="B156" s="4" t="inlineStr">
        <is>
          <t>Cloud computing services shall be subject to the security requirements specified in the clause 252.239-7010 ,
Cloud Computing Services, of this contract.</t>
        </is>
      </c>
      <c r="C156" t="inlineStr">
        <is>
          <t>C.27</t>
        </is>
      </c>
      <c r="D156" t="n">
        <v>44</v>
      </c>
      <c r="E156" s="6" t="inlineStr">
        <is>
          <t>High</t>
        </is>
      </c>
      <c r="F156" t="inlineStr">
        <is>
          <t>Mandatory</t>
        </is>
      </c>
      <c r="G156" t="inlineStr"/>
      <c r="H156" t="inlineStr">
        <is>
          <t>Not Started</t>
        </is>
      </c>
      <c r="I156" t="inlineStr"/>
      <c r="J156" t="inlineStr"/>
      <c r="K156" t="inlineStr"/>
      <c r="L156" t="inlineStr"/>
      <c r="M156" t="inlineStr"/>
      <c r="N156" t="inlineStr"/>
      <c r="O156" t="inlineStr"/>
      <c r="P156" t="inlineStr"/>
      <c r="Q156" t="inlineStr"/>
    </row>
    <row r="157">
      <c r="A157" t="inlineStr">
        <is>
          <t>C.27</t>
        </is>
      </c>
      <c r="B157" s="4" t="inlineStr">
        <is>
          <t>Any other such IT service or system (i.e., other than cloud computing) shall be subject to the security
requirements specified elsewhere in this contract.</t>
        </is>
      </c>
      <c r="C157" t="inlineStr">
        <is>
          <t>C.27</t>
        </is>
      </c>
      <c r="D157" t="n">
        <v>44</v>
      </c>
      <c r="E157" s="6" t="inlineStr">
        <is>
          <t>High</t>
        </is>
      </c>
      <c r="F157" t="inlineStr">
        <is>
          <t>Mandatory</t>
        </is>
      </c>
      <c r="G157" t="inlineStr"/>
      <c r="H157" t="inlineStr">
        <is>
          <t>Not Started</t>
        </is>
      </c>
      <c r="I157" t="inlineStr"/>
      <c r="J157" t="inlineStr"/>
      <c r="K157" t="inlineStr"/>
      <c r="L157" t="inlineStr"/>
      <c r="M157" t="inlineStr"/>
      <c r="N157" t="inlineStr"/>
      <c r="O157" t="inlineStr"/>
      <c r="P157" t="inlineStr"/>
      <c r="Q157" t="inlineStr"/>
    </row>
    <row r="158">
      <c r="A158" t="inlineStr">
        <is>
          <t>C.27</t>
        </is>
      </c>
      <c r="B158" s="4" t="inlineStr">
        <is>
          <t>Except as provided in paragraph (b)(2)(ii) of this clause, the covered contractor information system shall be
subject to the security requirements in National Institute of Standards and Technology (NIST) Special Publication
(SP) 800-171, “Protecting Controlled Unclassified Information in Nonfederal Information Systems and
Organizations” (available via the internet at https://csrc.nist.gov/publications/sp800) in effect at the time the
solicitation is issued or as authorized by the Contracting Officer.
(ii)(A) The Contractor shall implement NIST SP 800-171, as soon as practical, but not later than December 31, 2017.
For all contracts awarded prior to October 1, 2017, the Contractor shall notify the DoD Chief Information Officer
(CIO), via email at osd.dibcsia@mail.mil, within 30 days of contract award, of any security requirements specified
by NIST SP 800-171 not implemented at the time of contract award.
(B) The Contractor shall submit requests to vary from NIST SP 800-171 in writing to the Contracting Officer, for
consideration by the DoD CIO. The Contractor need not implement any security requirement adjudicated by an
authorized representative of the DoD CIO to be nonapplicable or to have an alternative, but equally effective,
security measure that may be implemented in its place.
(C) If the DoD CIO has previously adjudicated the contractor’ s requests indicating that a requirement is not
applicable or that an alternative security measure is equally effective, a copy of that approval shall be provided to the</t>
        </is>
      </c>
      <c r="C158" t="inlineStr">
        <is>
          <t>C.27</t>
        </is>
      </c>
      <c r="D158" t="n">
        <v>44</v>
      </c>
      <c r="E158" s="6" t="inlineStr">
        <is>
          <t>High</t>
        </is>
      </c>
      <c r="F158" t="inlineStr">
        <is>
          <t>Mandatory</t>
        </is>
      </c>
      <c r="G158" t="inlineStr"/>
      <c r="H158" t="inlineStr">
        <is>
          <t>Not Started</t>
        </is>
      </c>
      <c r="I158" t="inlineStr"/>
      <c r="J158" t="inlineStr"/>
      <c r="K158" t="inlineStr"/>
      <c r="L158" t="inlineStr"/>
      <c r="M158" t="inlineStr"/>
      <c r="N158" t="inlineStr"/>
      <c r="O158" t="inlineStr"/>
      <c r="P158" t="inlineStr"/>
      <c r="Q158" t="inlineStr"/>
    </row>
    <row r="159">
      <c r="A159" t="inlineStr">
        <is>
          <t>C.27</t>
        </is>
      </c>
      <c r="B159" s="4" t="inlineStr">
        <is>
          <t>N0017826R30020003 - FINAL
Page 84 of 114
Contracting Officer when requesting its recognition under this contract.
(D) If the Contractor intends to use an external cloud service provider to store, process, or transmit any covered
defense information in performance of this contract, the Contractor shall require and ensure that the cloud service
provider meets security requirements equivalent to those established by the Government for the Federal Risk and
Authorization Management Program (FedRAMP) Moderate baseline (https://www.fedramp.gov/documents-
templates/) and that the cloud service provider complies with requirements in paragraphs (c) through (g) of this
clause for cyber incident reporting, malicious software, media preservation and protection, access to additional
information and equipment necessary for forensic analysis, and cyber incident damage assessment.</t>
        </is>
      </c>
      <c r="C159" t="inlineStr">
        <is>
          <t>C.27</t>
        </is>
      </c>
      <c r="D159" t="n">
        <v>44</v>
      </c>
      <c r="E159" s="6" t="inlineStr">
        <is>
          <t>High</t>
        </is>
      </c>
      <c r="F159" t="inlineStr">
        <is>
          <t>Mandatory</t>
        </is>
      </c>
      <c r="G159" t="inlineStr"/>
      <c r="H159" t="inlineStr">
        <is>
          <t>Not Started</t>
        </is>
      </c>
      <c r="I159" t="inlineStr"/>
      <c r="J159" t="inlineStr"/>
      <c r="K159" t="inlineStr"/>
      <c r="L159" t="inlineStr"/>
      <c r="M159" t="inlineStr"/>
      <c r="N159" t="inlineStr"/>
      <c r="O159" t="inlineStr"/>
      <c r="P159" t="inlineStr"/>
      <c r="Q159" t="inlineStr"/>
    </row>
    <row r="160">
      <c r="A160" t="inlineStr">
        <is>
          <t>C.27</t>
        </is>
      </c>
      <c r="B160" s="4" t="inlineStr">
        <is>
          <t>Apply other information systems security measures when the Contractor reasonably determines that information
systems security measures, in addition to those identified in paragraphs (b)(1) and (2) of this clause, may be required
to provide adequate security in a dynamic environment or to accommodate special circumstances (e.g., medical</t>
        </is>
      </c>
      <c r="C160" t="inlineStr">
        <is>
          <t>C.27</t>
        </is>
      </c>
      <c r="D160" t="n">
        <v>44</v>
      </c>
      <c r="E160" s="6" t="inlineStr">
        <is>
          <t>High</t>
        </is>
      </c>
      <c r="F160" t="inlineStr">
        <is>
          <t>Mandatory</t>
        </is>
      </c>
      <c r="G160" t="inlineStr"/>
      <c r="H160" t="inlineStr">
        <is>
          <t>Not Started</t>
        </is>
      </c>
      <c r="I160" t="inlineStr"/>
      <c r="J160" t="inlineStr"/>
      <c r="K160" t="inlineStr"/>
      <c r="L160" t="inlineStr"/>
      <c r="M160" t="inlineStr"/>
      <c r="N160" t="inlineStr"/>
      <c r="O160" t="inlineStr"/>
      <c r="P160" t="inlineStr"/>
      <c r="Q160" t="inlineStr"/>
    </row>
    <row r="161">
      <c r="A161" t="inlineStr">
        <is>
          <t>C.27</t>
        </is>
      </c>
      <c r="B161" s="4" t="inlineStr">
        <is>
          <t>and any individual, isolated, or temporary deficiencies based on an assessed risk or vulnerability. These
measures may be addressed in a system security plan.</t>
        </is>
      </c>
      <c r="C161" t="inlineStr">
        <is>
          <t>C.27</t>
        </is>
      </c>
      <c r="D161" t="n">
        <v>44</v>
      </c>
      <c r="E161" s="5" t="inlineStr">
        <is>
          <t>Low</t>
        </is>
      </c>
      <c r="F161" t="inlineStr">
        <is>
          <t>Desirable</t>
        </is>
      </c>
      <c r="G161" t="inlineStr"/>
      <c r="H161" t="inlineStr">
        <is>
          <t>Not Started</t>
        </is>
      </c>
      <c r="I161" t="inlineStr"/>
      <c r="J161" t="inlineStr"/>
      <c r="K161" t="inlineStr"/>
      <c r="L161" t="inlineStr"/>
      <c r="M161" t="inlineStr"/>
      <c r="N161" t="inlineStr"/>
      <c r="O161" t="inlineStr"/>
      <c r="P161" t="inlineStr"/>
      <c r="Q161" t="inlineStr"/>
    </row>
    <row r="162">
      <c r="A162" t="inlineStr">
        <is>
          <t>C.27</t>
        </is>
      </c>
      <c r="B162" s="4" t="inlineStr">
        <is>
          <t>When the Contractor discovers a cyber incident that affects a covered contractor information system or the
covered defense information residing therein, or that affects the contractor’ s ability to perform the requirements of
the contract that are designated as operationally critical support and identified in the contract, the Contractor shall—</t>
        </is>
      </c>
      <c r="C162" t="inlineStr">
        <is>
          <t>C.27</t>
        </is>
      </c>
      <c r="D162" t="n">
        <v>44</v>
      </c>
      <c r="E162" s="6" t="inlineStr">
        <is>
          <t>High</t>
        </is>
      </c>
      <c r="F162" t="inlineStr">
        <is>
          <t>Mandatory</t>
        </is>
      </c>
      <c r="G162" t="inlineStr"/>
      <c r="H162" t="inlineStr">
        <is>
          <t>Not Started</t>
        </is>
      </c>
      <c r="I162" t="inlineStr"/>
      <c r="J162" t="inlineStr"/>
      <c r="K162" t="inlineStr"/>
      <c r="L162" t="inlineStr"/>
      <c r="M162" t="inlineStr"/>
      <c r="N162" t="inlineStr"/>
      <c r="O162" t="inlineStr"/>
      <c r="P162" t="inlineStr"/>
      <c r="Q162" t="inlineStr"/>
    </row>
    <row r="163">
      <c r="A163" t="inlineStr">
        <is>
          <t>C.27</t>
        </is>
      </c>
      <c r="B163" s="4" t="inlineStr">
        <is>
          <t>Conduct a review for evidence of compromise of covered defense information, including, but not limited to,
identifying compromised computers, servers, specific data, and user accounts. This review shall also include
analyzing covered contractor information system(s) that were part of the cyber incident, as well as other information
systems on the Contractor’ s network(s), that may have been accessed as a result of the incident in order to identify
compromised covered defense information, or that affect the Contractor’ s ability to provide operationally critical
support; and</t>
        </is>
      </c>
      <c r="C163" t="inlineStr">
        <is>
          <t>C.27</t>
        </is>
      </c>
      <c r="D163" t="n">
        <v>44</v>
      </c>
      <c r="E163" s="6" t="inlineStr">
        <is>
          <t>High</t>
        </is>
      </c>
      <c r="F163" t="inlineStr">
        <is>
          <t>Mandatory</t>
        </is>
      </c>
      <c r="G163" t="inlineStr"/>
      <c r="H163" t="inlineStr">
        <is>
          <t>Not Started</t>
        </is>
      </c>
      <c r="I163" t="inlineStr"/>
      <c r="J163" t="inlineStr"/>
      <c r="K163" t="inlineStr"/>
      <c r="L163" t="inlineStr"/>
      <c r="M163" t="inlineStr"/>
      <c r="N163" t="inlineStr"/>
      <c r="O163" t="inlineStr"/>
      <c r="P163" t="inlineStr"/>
      <c r="Q163" t="inlineStr"/>
    </row>
    <row r="164">
      <c r="A164" t="inlineStr">
        <is>
          <t>C.27</t>
        </is>
      </c>
      <c r="B164" s="4" t="inlineStr">
        <is>
          <t>Cyber incident report. The cyber incident report shall be treated as information created by or for DoD and shall
include, at a minimum, the required elements at https://dibnet.dod.mil.</t>
        </is>
      </c>
      <c r="C164" t="inlineStr">
        <is>
          <t>C.27</t>
        </is>
      </c>
      <c r="D164" t="n">
        <v>44</v>
      </c>
      <c r="E164" s="6" t="inlineStr">
        <is>
          <t>High</t>
        </is>
      </c>
      <c r="F164" t="inlineStr">
        <is>
          <t>Mandatory</t>
        </is>
      </c>
      <c r="G164" t="inlineStr"/>
      <c r="H164" t="inlineStr">
        <is>
          <t>Not Started</t>
        </is>
      </c>
      <c r="I164" t="inlineStr"/>
      <c r="J164" t="inlineStr"/>
      <c r="K164" t="inlineStr"/>
      <c r="L164" t="inlineStr"/>
      <c r="M164" t="inlineStr"/>
      <c r="N164" t="inlineStr"/>
      <c r="O164" t="inlineStr"/>
      <c r="P164" t="inlineStr"/>
      <c r="Q164" t="inlineStr"/>
    </row>
    <row r="165">
      <c r="A165" t="inlineStr">
        <is>
          <t>C.27</t>
        </is>
      </c>
      <c r="B165" s="4" t="inlineStr">
        <is>
          <t>Medium assurance certificate requirement. In order to report cyber incidents in accordance with this clause, the
Contractor or subcontractor shall have or acquire a DoD-approved medium assurance certificate to report cyber</t>
        </is>
      </c>
      <c r="C165" t="inlineStr">
        <is>
          <t>C.27</t>
        </is>
      </c>
      <c r="D165" t="n">
        <v>44</v>
      </c>
      <c r="E165" s="6" t="inlineStr">
        <is>
          <t>High</t>
        </is>
      </c>
      <c r="F165" t="inlineStr">
        <is>
          <t>Mandatory</t>
        </is>
      </c>
      <c r="G165" t="inlineStr"/>
      <c r="H165" t="inlineStr">
        <is>
          <t>Not Started</t>
        </is>
      </c>
      <c r="I165" t="inlineStr"/>
      <c r="J165" t="inlineStr"/>
      <c r="K165" t="inlineStr"/>
      <c r="L165" t="inlineStr"/>
      <c r="M165" t="inlineStr"/>
      <c r="N165" t="inlineStr"/>
      <c r="O165" t="inlineStr"/>
      <c r="P165" t="inlineStr"/>
      <c r="Q165" t="inlineStr"/>
    </row>
    <row r="166">
      <c r="A166" t="inlineStr">
        <is>
          <t>C.27</t>
        </is>
      </c>
      <c r="B166" s="4" t="inlineStr">
        <is>
          <t>Media preservation and protection. When a Contractor discovers a cyber incident has occurred, the Contractor
shall preserve and protect images of all known affected information systems identified in paragraph (c)(1)(i) of this
clause and all relevant monitoring/packet capture data for at least 90 days from the submission of the cyber incident
report to allow DoD to request the media or decline interest.</t>
        </is>
      </c>
      <c r="C166" t="inlineStr">
        <is>
          <t>C.27</t>
        </is>
      </c>
      <c r="D166" t="n">
        <v>44</v>
      </c>
      <c r="E166" s="6" t="inlineStr">
        <is>
          <t>High</t>
        </is>
      </c>
      <c r="F166" t="inlineStr">
        <is>
          <t>Mandatory</t>
        </is>
      </c>
      <c r="G166" t="inlineStr"/>
      <c r="H166" t="inlineStr">
        <is>
          <t>Not Started</t>
        </is>
      </c>
      <c r="I166" t="inlineStr"/>
      <c r="J166" t="inlineStr"/>
      <c r="K166" t="inlineStr"/>
      <c r="L166" t="inlineStr"/>
      <c r="M166" t="inlineStr"/>
      <c r="N166" t="inlineStr"/>
      <c r="O166" t="inlineStr"/>
      <c r="P166" t="inlineStr"/>
      <c r="Q166" t="inlineStr"/>
    </row>
    <row r="167">
      <c r="A167" t="inlineStr">
        <is>
          <t>C.27</t>
        </is>
      </c>
      <c r="B167" s="4" t="inlineStr">
        <is>
          <t>Access to additional information or equipment necessary for forensic analysis. Upon request by DoD, the
Contractor shall provide DoD with access to additional information or equipment that is necessary to conduct a
forensic analysis.</t>
        </is>
      </c>
      <c r="C167" t="inlineStr">
        <is>
          <t>C.27</t>
        </is>
      </c>
      <c r="D167" t="n">
        <v>44</v>
      </c>
      <c r="E167" s="6" t="inlineStr">
        <is>
          <t>High</t>
        </is>
      </c>
      <c r="F167" t="inlineStr">
        <is>
          <t>Mandatory</t>
        </is>
      </c>
      <c r="G167" t="inlineStr"/>
      <c r="H167" t="inlineStr">
        <is>
          <t>Not Started</t>
        </is>
      </c>
      <c r="I167" t="inlineStr"/>
      <c r="J167" t="inlineStr"/>
      <c r="K167" t="inlineStr"/>
      <c r="L167" t="inlineStr"/>
      <c r="M167" t="inlineStr"/>
      <c r="N167" t="inlineStr"/>
      <c r="O167" t="inlineStr"/>
      <c r="P167" t="inlineStr"/>
      <c r="Q167" t="inlineStr"/>
    </row>
    <row r="168">
      <c r="A168" t="inlineStr">
        <is>
          <t>C.27</t>
        </is>
      </c>
      <c r="B168" s="4" t="inlineStr">
        <is>
          <t>DoD safeguarding and use of contractor attributional/proprietary information. The Government shall protect
against the unauthorized use or release of information obtained from the contractor (or derived from information
obtained from the contractor) under this clause that includes contractor attributional/proprietary information,
including such information submitted in accordance with paragraph (c). To the maximum extent practicable, the
Contractor shall identify and mark attributional/proprietary information. In making an authorized release of such
information, the Government will implement appropriate procedures to minimize the contractor
attributional/proprietary information that is included in such authorized release, seeking to include only that
information that is necessary for the authorized purpose(s) for which the information is being released.</t>
        </is>
      </c>
      <c r="C168" t="inlineStr">
        <is>
          <t>C.27</t>
        </is>
      </c>
      <c r="D168" t="n">
        <v>44</v>
      </c>
      <c r="E168" s="6" t="inlineStr">
        <is>
          <t>High</t>
        </is>
      </c>
      <c r="F168" t="inlineStr">
        <is>
          <t>Mandatory</t>
        </is>
      </c>
      <c r="G168" t="inlineStr"/>
      <c r="H168" t="inlineStr">
        <is>
          <t>Not Started</t>
        </is>
      </c>
      <c r="I168" t="inlineStr"/>
      <c r="J168" t="inlineStr"/>
      <c r="K168" t="inlineStr"/>
      <c r="L168" t="inlineStr"/>
      <c r="M168" t="inlineStr"/>
      <c r="N168" t="inlineStr"/>
      <c r="O168" t="inlineStr"/>
      <c r="P168" t="inlineStr"/>
      <c r="Q168" t="inlineStr"/>
    </row>
    <row r="169">
      <c r="A169" t="inlineStr">
        <is>
          <t>C.27</t>
        </is>
      </c>
      <c r="B169" s="4" t="inlineStr">
        <is>
          <t>To entities with missions that may be affected by such information;</t>
        </is>
      </c>
      <c r="C169" t="inlineStr">
        <is>
          <t>C.27</t>
        </is>
      </c>
      <c r="D169" t="n">
        <v>44</v>
      </c>
      <c r="E169" s="5" t="inlineStr">
        <is>
          <t>Low</t>
        </is>
      </c>
      <c r="F169" t="inlineStr">
        <is>
          <t>Desirable</t>
        </is>
      </c>
      <c r="G169" t="inlineStr"/>
      <c r="H169" t="inlineStr">
        <is>
          <t>Not Started</t>
        </is>
      </c>
      <c r="I169" t="inlineStr"/>
      <c r="J169" t="inlineStr"/>
      <c r="K169" t="inlineStr"/>
      <c r="L169" t="inlineStr"/>
      <c r="M169" t="inlineStr"/>
      <c r="N169" t="inlineStr"/>
      <c r="O169" t="inlineStr"/>
      <c r="P169" t="inlineStr"/>
      <c r="Q169" t="inlineStr"/>
    </row>
    <row r="170">
      <c r="A170" t="inlineStr">
        <is>
          <t>C.27</t>
        </is>
      </c>
      <c r="B170" s="4" t="inlineStr">
        <is>
          <t>To entities that may be called upon to assist in the diagnosis, detection, or mitigation of cyber incidents;</t>
        </is>
      </c>
      <c r="C170" t="inlineStr">
        <is>
          <t>C.27</t>
        </is>
      </c>
      <c r="D170" t="n">
        <v>44</v>
      </c>
      <c r="E170" s="5" t="inlineStr">
        <is>
          <t>Low</t>
        </is>
      </c>
      <c r="F170" t="inlineStr">
        <is>
          <t>Desirable</t>
        </is>
      </c>
      <c r="G170" t="inlineStr"/>
      <c r="H170" t="inlineStr">
        <is>
          <t>Not Started</t>
        </is>
      </c>
      <c r="I170" t="inlineStr"/>
      <c r="J170" t="inlineStr"/>
      <c r="K170" t="inlineStr"/>
      <c r="L170" t="inlineStr"/>
      <c r="M170" t="inlineStr"/>
      <c r="N170" t="inlineStr"/>
      <c r="O170" t="inlineStr"/>
      <c r="P170" t="inlineStr"/>
      <c r="Q170" t="inlineStr"/>
    </row>
    <row r="171">
      <c r="A171" t="inlineStr">
        <is>
          <t>C.27</t>
        </is>
      </c>
      <c r="B171" s="4" t="inlineStr">
        <is>
          <t>The Contractor shall conduct activities under this clause in accordance with applicable laws and regulations on
the interception, monitoring, access, use, and disclosure of electronic communications and data.</t>
        </is>
      </c>
      <c r="C171" t="inlineStr">
        <is>
          <t>C.27</t>
        </is>
      </c>
      <c r="D171" t="n">
        <v>44</v>
      </c>
      <c r="E171" s="6" t="inlineStr">
        <is>
          <t>High</t>
        </is>
      </c>
      <c r="F171" t="inlineStr">
        <is>
          <t>Mandatory</t>
        </is>
      </c>
      <c r="G171" t="inlineStr"/>
      <c r="H171" t="inlineStr">
        <is>
          <t>Not Started</t>
        </is>
      </c>
      <c r="I171" t="inlineStr"/>
      <c r="J171" t="inlineStr"/>
      <c r="K171" t="inlineStr"/>
      <c r="L171" t="inlineStr"/>
      <c r="M171" t="inlineStr"/>
      <c r="N171" t="inlineStr"/>
      <c r="O171" t="inlineStr"/>
      <c r="P171" t="inlineStr"/>
      <c r="Q171" t="inlineStr"/>
    </row>
    <row r="172">
      <c r="A172" t="inlineStr">
        <is>
          <t>C.27</t>
        </is>
      </c>
      <c r="B172" s="4" t="inlineStr">
        <is>
          <t>The Contractor shall determine if the information required for subcontractor performance retains its identity
as covered defense information and will require protection under this clause, and, if necessary, consult with the</t>
        </is>
      </c>
      <c r="C172" t="inlineStr">
        <is>
          <t>C.27</t>
        </is>
      </c>
      <c r="D172" t="n">
        <v>44</v>
      </c>
      <c r="E172" s="6" t="inlineStr">
        <is>
          <t>High</t>
        </is>
      </c>
      <c r="F172" t="inlineStr">
        <is>
          <t>Mandatory</t>
        </is>
      </c>
      <c r="G172" t="inlineStr"/>
      <c r="H172" t="inlineStr">
        <is>
          <t>Not Started</t>
        </is>
      </c>
      <c r="I172" t="inlineStr"/>
      <c r="J172" t="inlineStr"/>
      <c r="K172" t="inlineStr"/>
      <c r="L172" t="inlineStr"/>
      <c r="M172" t="inlineStr"/>
      <c r="N172" t="inlineStr"/>
      <c r="O172" t="inlineStr"/>
      <c r="P172" t="inlineStr"/>
      <c r="Q172" t="inlineStr"/>
    </row>
    <row r="173">
      <c r="A173" t="inlineStr">
        <is>
          <t>C.27</t>
        </is>
      </c>
      <c r="B173" s="4" t="inlineStr">
        <is>
          <t>In accordance with section 855 of the National Defense Authorization Act for Fiscal Year 2022 (Pub. L. 117-81,
10 U.S.C. 4651 note prec.), DoD may not award, extend, or exercise an option on a covered contract with a covered
entity unless such covered entity submits each required disclosure of its use of workforce and facilities in the
People’ s Republic of China, if it employs one or more individuals who perform work in the People’ s Republic of
China on a covered contract.</t>
        </is>
      </c>
      <c r="C173" t="inlineStr">
        <is>
          <t>C.27</t>
        </is>
      </c>
      <c r="D173" t="n">
        <v>44</v>
      </c>
      <c r="E173" s="5" t="inlineStr">
        <is>
          <t>Low</t>
        </is>
      </c>
      <c r="F173" t="inlineStr">
        <is>
          <t>Desirable</t>
        </is>
      </c>
      <c r="G173" t="inlineStr"/>
      <c r="H173" t="inlineStr">
        <is>
          <t>Not Started</t>
        </is>
      </c>
      <c r="I173" t="inlineStr"/>
      <c r="J173" t="inlineStr"/>
      <c r="K173" t="inlineStr"/>
      <c r="L173" t="inlineStr"/>
      <c r="M173" t="inlineStr"/>
      <c r="N173" t="inlineStr"/>
      <c r="O173" t="inlineStr"/>
      <c r="P173" t="inlineStr"/>
      <c r="Q173" t="inlineStr"/>
    </row>
    <row r="174">
      <c r="A174" t="inlineStr">
        <is>
          <t>C.27</t>
        </is>
      </c>
      <c r="B174" s="4" t="inlineStr">
        <is>
          <t>If the Contractor is a covered entity, the Contractor shall disclose for the Government’ s fiscal years 2023 and
2024, the Contractor’ s employment of one or more individuals who perform work in the People’ s Republic of China
on any covered contract. The disclosures shall include—</t>
        </is>
      </c>
      <c r="C174" t="inlineStr">
        <is>
          <t>C.27</t>
        </is>
      </c>
      <c r="D174" t="n">
        <v>44</v>
      </c>
      <c r="E174" s="6" t="inlineStr">
        <is>
          <t>High</t>
        </is>
      </c>
      <c r="F174" t="inlineStr">
        <is>
          <t>Mandatory</t>
        </is>
      </c>
      <c r="G174" t="inlineStr"/>
      <c r="H174" t="inlineStr">
        <is>
          <t>Not Started</t>
        </is>
      </c>
      <c r="I174" t="inlineStr"/>
      <c r="J174" t="inlineStr"/>
      <c r="K174" t="inlineStr"/>
      <c r="L174" t="inlineStr"/>
      <c r="M174" t="inlineStr"/>
      <c r="N174" t="inlineStr"/>
      <c r="O174" t="inlineStr"/>
      <c r="P174" t="inlineStr"/>
      <c r="Q174" t="inlineStr"/>
    </row>
    <row r="175">
      <c r="A175" t="inlineStr">
        <is>
          <t>C.27</t>
        </is>
      </c>
      <c r="B175" s="4" t="inlineStr">
        <is>
          <t>Subcontracts. The Contractor shall insert this clause, including this paragraph (c), without alteration other than to
identify the appropriate parties, in all subcontracts that meet the definition of a covered contract.
(End of clause)</t>
        </is>
      </c>
      <c r="C175" t="inlineStr">
        <is>
          <t>C.27</t>
        </is>
      </c>
      <c r="D175" t="n">
        <v>44</v>
      </c>
      <c r="E175" s="6" t="inlineStr">
        <is>
          <t>High</t>
        </is>
      </c>
      <c r="F175" t="inlineStr">
        <is>
          <t>Mandatory</t>
        </is>
      </c>
      <c r="G175" t="inlineStr"/>
      <c r="H175" t="inlineStr">
        <is>
          <t>Not Started</t>
        </is>
      </c>
      <c r="I175" t="inlineStr"/>
      <c r="J175" t="inlineStr"/>
      <c r="K175" t="inlineStr"/>
      <c r="L175" t="inlineStr"/>
      <c r="M175" t="inlineStr"/>
      <c r="N175" t="inlineStr"/>
      <c r="O175" t="inlineStr"/>
      <c r="P175" t="inlineStr"/>
      <c r="Q175" t="inlineStr"/>
    </row>
    <row r="176">
      <c r="A176" t="inlineStr">
        <is>
          <t>K.1</t>
        </is>
      </c>
      <c r="B176" s="4" t="inlineStr">
        <is>
          <t>N0017826R30020003 - FINAL
Page 88 of 114
Section K - Certifications and Representations
K.1 ANNUAL REPRESENTATIONS AND CERTIFICATIONS
Offerors are not required to submit their annual representations and certifications in response to this solicitation or its
subsequent Task Order award, if any, as its representations and certifications are already incorporated at the MAC
level per MAC clause 52.204-19. Additional representations and certifications, specified below, shall be submitted
with the Offeror's proposal to this Task Order solicitation.
PROVISIONS INCORPORATED BY REFERENCE
CLAUSE TITLE DATE
52.201-1 ACQUISITION 360: VOLUNTARY SURVEY SEP
2023
52.209-7 INFORMATION REGARDING RESPONSIBILITY MATTERS OCT
2018
52.209-12 CERTIFICATION REGARDING TAX MATTERS OCT
2020
52.230-1 COST ACCOUNTING STANDARDS NOTICES AND CERTIFICATION  JUN
2020
52.230-7 PROPOSAL DISCLOSURE—COST ACCOUNTING PRACTICE CHANGES APR
2005
252.203-7005 REPRESENTATION RELATING TO COMPENSATION OF FORMER DOD
OFFICIALS 
SEP
2022
252.204-7008 COMPLIANCE WITH SAFEGUARDING COVERED DEFENSE INFORMATION
CONTROLS
OCT
2016
252.204-7016 COVERED DEFENSE TELECOMMUNICATIONS EQUIPMENT OR SERVICES
-REPRESENTATION
DEC
2019
252.204-7017 PROHIBITION ON THE ACQUISITION OF COVERED DEFENSE
TELECOMMUNICATIONS EQUIPMENT OR SERVICES—REPRESENTATION
MAY
2021
252.219-7000 ADV ANCING SMALL BUSINESS GROWTH JUN
2023
252.225-7003 REPORT OF INTENDED PERFORMANCE OUTSIDE THE UNITED SYAYES
AND CANADA- SUBMISSION WITH OFFER
JAN
2025</t>
        </is>
      </c>
      <c r="C176" t="inlineStr">
        <is>
          <t>C.27</t>
        </is>
      </c>
      <c r="D176" t="n">
        <v>44</v>
      </c>
      <c r="E176" s="6" t="inlineStr">
        <is>
          <t>High</t>
        </is>
      </c>
      <c r="F176" t="inlineStr">
        <is>
          <t>Mandatory</t>
        </is>
      </c>
      <c r="G176" t="inlineStr"/>
      <c r="H176" t="inlineStr">
        <is>
          <t>Not Started</t>
        </is>
      </c>
      <c r="I176" t="inlineStr"/>
      <c r="J176" t="inlineStr"/>
      <c r="K176" t="inlineStr"/>
      <c r="L176" t="inlineStr"/>
      <c r="M176" t="inlineStr"/>
      <c r="N176" t="inlineStr"/>
      <c r="O176" t="inlineStr">
        <is>
          <t>Section K, K.1</t>
        </is>
      </c>
      <c r="P176" t="inlineStr"/>
      <c r="Q176" t="inlineStr"/>
    </row>
    <row r="177">
      <c r="A177" t="inlineStr">
        <is>
          <t>C.27</t>
        </is>
      </c>
      <c r="B177" s="4" t="inlineStr">
        <is>
          <t>N0017826R30020003 - FINAL
Page 89 of 114
252.225-7055 REPRESENTATION REGARDING BUSINESS OPERATIONS WITH THE
MADURO REGIME
MAY
2022
252.225-7057 PREAWARD DISCLOSURE OF EMPLOYMENT OF INDIVIDUALS WHO
WORK IN THE PEOPLE’S REPUBLIC OF CHINA
AUG
2022
252.225-7966 PROHIBITION REGARDING RUSSIAN FOSSIL FUEL BUSINESS OPERATIONS
—REPRESENTATION (DEVIATION 2024-O0006, REVISION 1)
MAR
2024
252.225-7973 PROHIBITION ON THE PROCUREMENT OF FOREIGN-MADE UNMANNED
AIRCRAFT SYSTEMS-REPRESENTATION (DEVIATION 2024-O0014)
MAY
2020
252.227-7017 IDENTIFICATION AND ASSERTION OF USE, RELEASE, OR DISCLOSURE
RESTRICTIONS
JAN
2023
252.227-7028 TECHNICAL DATA OR COMPUTER SOFTWARE PREVIOUSLY DELIVERED
TO THE GOVERNMENT
JUN
1995
252.239-7009 REPRESENTATION OF USE OF CLOUD COMPUTING SEP
2015
PROVISIONS INCORPORATED BY FULL TEXT
52.204-24 REPRESENTATION REGARDING CERTAIN TELECOMMUNICATIONS AND VIDEO
SURVEILLANCE SERVICES OR EQUIPMENT (NOV 2021)
The Offeror shall not complete the representation at paragraph (d)(1) of this provision if the Offeror has represented
that it "does not provide covered telecommunications equipment or services as a part of its offered products or
services to the Government in the performance of any contract, subcontract, or other contractual instrument" in
paragraph (c)(1) in the provision at 52.204-26, Covered Telecommunications Equipment or Services
—Representation, or in paragraph (v)(2)(i) of the provision at 52.212-3, Offeror Representations and Certifications-
Commercial Products or Commercial Services. The Offeror shall not complete the representation in paragraph (d)(2)
of this provision if the Offeror has represented that it "does not use covered telecommunications equipment or
services, or any equipment, system, or service that uses covered telecommunications equipment or services" in
paragraph (c)(2) of the provision at 52.204-26, or in paragraph (v)(2)(ii) of the provision at 52.212-3.</t>
        </is>
      </c>
      <c r="C177" t="inlineStr">
        <is>
          <t>C.27</t>
        </is>
      </c>
      <c r="D177" t="n">
        <v>44</v>
      </c>
      <c r="E177" s="6" t="inlineStr">
        <is>
          <t>High</t>
        </is>
      </c>
      <c r="F177" t="inlineStr">
        <is>
          <t>Mandatory</t>
        </is>
      </c>
      <c r="G177" t="inlineStr"/>
      <c r="H177" t="inlineStr">
        <is>
          <t>Not Started</t>
        </is>
      </c>
      <c r="I177" t="inlineStr"/>
      <c r="J177" t="inlineStr"/>
      <c r="K177" t="inlineStr"/>
      <c r="L177" t="inlineStr"/>
      <c r="M177" t="inlineStr"/>
      <c r="N177" t="inlineStr"/>
      <c r="O177" t="inlineStr"/>
      <c r="P177" t="inlineStr"/>
      <c r="Q177" t="inlineStr"/>
    </row>
    <row r="178">
      <c r="A178" t="inlineStr">
        <is>
          <t>C.27</t>
        </is>
      </c>
      <c r="B178" s="4" t="inlineStr">
        <is>
          <t>N0017826R30020003 - FINAL
Page 90 of 114
technology as part of any system. Nothing in the prohibition shall be construed to—</t>
        </is>
      </c>
      <c r="C178" t="inlineStr">
        <is>
          <t>C.27</t>
        </is>
      </c>
      <c r="D178" t="n">
        <v>44</v>
      </c>
      <c r="E178" s="6" t="inlineStr">
        <is>
          <t>High</t>
        </is>
      </c>
      <c r="F178" t="inlineStr">
        <is>
          <t>Mandatory</t>
        </is>
      </c>
      <c r="G178" t="inlineStr"/>
      <c r="H178" t="inlineStr">
        <is>
          <t>Not Started</t>
        </is>
      </c>
      <c r="I178" t="inlineStr"/>
      <c r="J178" t="inlineStr"/>
      <c r="K178" t="inlineStr"/>
      <c r="L178" t="inlineStr"/>
      <c r="M178" t="inlineStr"/>
      <c r="N178" t="inlineStr"/>
      <c r="O178" t="inlineStr"/>
      <c r="P178" t="inlineStr"/>
      <c r="Q178" t="inlineStr"/>
    </row>
    <row r="179">
      <c r="A179" t="inlineStr">
        <is>
          <t>C.27</t>
        </is>
      </c>
      <c r="B179" s="4" t="inlineStr">
        <is>
          <t>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This prohibition applies to the use of covered telecommunications equipment or
services, regardless of whether that use is in performance of work under a Federal contract. Nothing in the
prohibition shall be construed to—</t>
        </is>
      </c>
      <c r="C179" t="inlineStr">
        <is>
          <t>C.27</t>
        </is>
      </c>
      <c r="D179" t="n">
        <v>44</v>
      </c>
      <c r="E179" s="6" t="inlineStr">
        <is>
          <t>High</t>
        </is>
      </c>
      <c r="F179" t="inlineStr">
        <is>
          <t>Mandatory</t>
        </is>
      </c>
      <c r="G179" t="inlineStr"/>
      <c r="H179" t="inlineStr">
        <is>
          <t>Not Started</t>
        </is>
      </c>
      <c r="I179" t="inlineStr"/>
      <c r="J179" t="inlineStr"/>
      <c r="K179" t="inlineStr"/>
      <c r="L179" t="inlineStr"/>
      <c r="M179" t="inlineStr"/>
      <c r="N179" t="inlineStr"/>
      <c r="O179" t="inlineStr"/>
      <c r="P179" t="inlineStr"/>
      <c r="Q179" t="inlineStr"/>
    </row>
    <row r="180">
      <c r="A180" t="inlineStr">
        <is>
          <t>C.27</t>
        </is>
      </c>
      <c r="B180" s="4" t="inlineStr">
        <is>
          <t>Procedures. The Offeror shall review the list of excluded parties in the System for Award Management (SAM)
(https://www.sam.gov) for entities excluded from receiving federal awards for "covered telecommunications
equipment or services".</t>
        </is>
      </c>
      <c r="C180" t="inlineStr">
        <is>
          <t>C.27</t>
        </is>
      </c>
      <c r="D180" t="n">
        <v>44</v>
      </c>
      <c r="E180" s="6" t="inlineStr">
        <is>
          <t>High</t>
        </is>
      </c>
      <c r="F180" t="inlineStr">
        <is>
          <t>Mandatory</t>
        </is>
      </c>
      <c r="G180" t="inlineStr"/>
      <c r="H180" t="inlineStr">
        <is>
          <t>Not Started</t>
        </is>
      </c>
      <c r="I180" t="inlineStr"/>
      <c r="J180" t="inlineStr"/>
      <c r="K180" t="inlineStr"/>
      <c r="L180" t="inlineStr"/>
      <c r="M180" t="inlineStr"/>
      <c r="N180" t="inlineStr"/>
      <c r="O180" t="inlineStr"/>
      <c r="P180" t="inlineStr"/>
      <c r="Q180" t="inlineStr"/>
    </row>
    <row r="181">
      <c r="A181" t="inlineStr">
        <is>
          <t>C.27</t>
        </is>
      </c>
      <c r="B181" s="4" t="inlineStr">
        <is>
          <t>It _ will, _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t>
        </is>
      </c>
      <c r="C181" t="inlineStr">
        <is>
          <t>C.27</t>
        </is>
      </c>
      <c r="D181" t="n">
        <v>44</v>
      </c>
      <c r="E181" s="6" t="inlineStr">
        <is>
          <t>High</t>
        </is>
      </c>
      <c r="F181" t="inlineStr">
        <is>
          <t>Mandatory</t>
        </is>
      </c>
      <c r="G181" t="inlineStr"/>
      <c r="H181" t="inlineStr">
        <is>
          <t>Not Started</t>
        </is>
      </c>
      <c r="I181" t="inlineStr"/>
      <c r="J181" t="inlineStr"/>
      <c r="K181" t="inlineStr"/>
      <c r="L181" t="inlineStr"/>
      <c r="M181" t="inlineStr"/>
      <c r="N181" t="inlineStr"/>
      <c r="O181" t="inlineStr">
        <is>
          <t>section i</t>
        </is>
      </c>
      <c r="P181" t="inlineStr"/>
      <c r="Q181" t="inlineStr"/>
    </row>
    <row r="182">
      <c r="A182" t="inlineStr">
        <is>
          <t>C.27</t>
        </is>
      </c>
      <c r="B182" s="4" t="inlineStr">
        <is>
          <t>After conducting a reasonable inquiry, for purposes of this representation, the Offeror represents that—
It _ does, _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t>
        </is>
      </c>
      <c r="C182" t="inlineStr">
        <is>
          <t>C.27</t>
        </is>
      </c>
      <c r="D182" t="n">
        <v>44</v>
      </c>
      <c r="E182" s="6" t="inlineStr">
        <is>
          <t>High</t>
        </is>
      </c>
      <c r="F182" t="inlineStr">
        <is>
          <t>Mandatory</t>
        </is>
      </c>
      <c r="G182" t="inlineStr"/>
      <c r="H182" t="inlineStr">
        <is>
          <t>Not Started</t>
        </is>
      </c>
      <c r="I182" t="inlineStr"/>
      <c r="J182" t="inlineStr"/>
      <c r="K182" t="inlineStr"/>
      <c r="L182" t="inlineStr"/>
      <c r="M182" t="inlineStr"/>
      <c r="N182" t="inlineStr"/>
      <c r="O182" t="inlineStr">
        <is>
          <t>section i</t>
        </is>
      </c>
      <c r="P182" t="inlineStr"/>
      <c r="Q182" t="inlineStr"/>
    </row>
    <row r="183">
      <c r="A183" t="inlineStr">
        <is>
          <t>C.27</t>
        </is>
      </c>
      <c r="B183" s="4" t="inlineStr">
        <is>
          <t>Disclosure for the representation in paragraph (d)(1) of this provision. If the Offeror has responded "will" in the
representation in paragraph (d)(1) of this provision, the Offeror shall provide the following information as part of the
offer:</t>
        </is>
      </c>
      <c r="C183" t="inlineStr">
        <is>
          <t>C.27</t>
        </is>
      </c>
      <c r="D183" t="n">
        <v>44</v>
      </c>
      <c r="E183" s="6" t="inlineStr">
        <is>
          <t>High</t>
        </is>
      </c>
      <c r="F183" t="inlineStr">
        <is>
          <t>Mandatory</t>
        </is>
      </c>
      <c r="G183" t="inlineStr"/>
      <c r="H183" t="inlineStr">
        <is>
          <t>Not Started</t>
        </is>
      </c>
      <c r="I183" t="inlineStr"/>
      <c r="J183" t="inlineStr"/>
      <c r="K183" t="inlineStr"/>
      <c r="L183" t="inlineStr"/>
      <c r="M183" t="inlineStr"/>
      <c r="N183" t="inlineStr"/>
      <c r="O183" t="inlineStr"/>
      <c r="P183" t="inlineStr"/>
      <c r="Q183" t="inlineStr"/>
    </row>
    <row r="184">
      <c r="A184" t="inlineStr">
        <is>
          <t>C.27</t>
        </is>
      </c>
      <c r="B184" s="4" t="inlineStr">
        <is>
          <t>Disclosure for the representation in paragraph (d)(2) of this provision. If the Offeror has responded "does" in the
representation in paragraph (d)(2) of this provision, the Offeror shall provide the following information as part of the
offer:</t>
        </is>
      </c>
      <c r="C184" t="inlineStr">
        <is>
          <t>C.27</t>
        </is>
      </c>
      <c r="D184" t="n">
        <v>44</v>
      </c>
      <c r="E184" s="6" t="inlineStr">
        <is>
          <t>High</t>
        </is>
      </c>
      <c r="F184" t="inlineStr">
        <is>
          <t>Mandatory</t>
        </is>
      </c>
      <c r="G184" t="inlineStr"/>
      <c r="H184" t="inlineStr">
        <is>
          <t>Not Started</t>
        </is>
      </c>
      <c r="I184" t="inlineStr"/>
      <c r="J184" t="inlineStr"/>
      <c r="K184" t="inlineStr"/>
      <c r="L184" t="inlineStr"/>
      <c r="M184" t="inlineStr"/>
      <c r="N184" t="inlineStr"/>
      <c r="O184" t="inlineStr"/>
      <c r="P184" t="inlineStr"/>
      <c r="Q184" t="inlineStr"/>
    </row>
    <row r="185">
      <c r="A185" t="inlineStr">
        <is>
          <t>C.27</t>
        </is>
      </c>
      <c r="B185" s="4" t="inlineStr">
        <is>
          <t>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
(B) If not associated with maintenance, the PSC of the service being provided; and explanation of the proposed use
of covered telecommunications services and any factors relevant to determining if such use would be permissible
under the prohibition in paragraph (b)(2) of this provision.
K-227-W001 INSTRUCTIONS FOR OBTAINING EXPORT-CONTROLLED TECHNICAL
DATA (NA VSEA) (MAY 2022)</t>
        </is>
      </c>
      <c r="C185" t="inlineStr">
        <is>
          <t>C.27</t>
        </is>
      </c>
      <c r="D185" t="n">
        <v>44</v>
      </c>
      <c r="E185" s="5" t="inlineStr">
        <is>
          <t>Low</t>
        </is>
      </c>
      <c r="F185" t="inlineStr">
        <is>
          <t>Desirable</t>
        </is>
      </c>
      <c r="G185" t="inlineStr"/>
      <c r="H185" t="inlineStr">
        <is>
          <t>Not Started</t>
        </is>
      </c>
      <c r="I185" t="inlineStr"/>
      <c r="J185" t="inlineStr"/>
      <c r="K185" t="inlineStr"/>
      <c r="L185" t="inlineStr"/>
      <c r="M185" t="inlineStr"/>
      <c r="N185" t="inlineStr"/>
      <c r="O185" t="inlineStr"/>
      <c r="P185" t="inlineStr"/>
      <c r="Q185" t="inlineStr"/>
    </row>
    <row r="186">
      <c r="A186" t="inlineStr">
        <is>
          <t>C.27</t>
        </is>
      </c>
      <c r="B186" s="4" t="inlineStr">
        <is>
          <t>An offeror may not receive export-controlled technical data, which is specified in this solicitation, unless
the offeror is a qualified U.S. contractor as defined in paragraph (b). See paragraph (c) and (d) for instructions
on becoming a qualified U.S. contractor. Questions about this program or DD Form 2345 should be addressed
to U.S./Canada Joint Certification Office, Defense Logistics Information Services (DLIS), Federal Center,
74 Washington Avenue North, Battle Creek, MI 49017-3084; or telephone (877) 352-2255; or
email jcp-admin@dla.mil.</t>
        </is>
      </c>
      <c r="C186" t="inlineStr">
        <is>
          <t>C.27</t>
        </is>
      </c>
      <c r="D186" t="n">
        <v>44</v>
      </c>
      <c r="E186" s="7" t="inlineStr">
        <is>
          <t>Medium</t>
        </is>
      </c>
      <c r="F186" t="inlineStr">
        <is>
          <t>Highly Desirable</t>
        </is>
      </c>
      <c r="G186" t="inlineStr"/>
      <c r="H186" t="inlineStr">
        <is>
          <t>Not Started</t>
        </is>
      </c>
      <c r="I186" t="inlineStr"/>
      <c r="J186" t="inlineStr"/>
      <c r="K186" t="inlineStr"/>
      <c r="L186" t="inlineStr"/>
      <c r="M186" t="inlineStr"/>
      <c r="N186" t="inlineStr"/>
      <c r="O186" t="inlineStr"/>
      <c r="P186" t="inlineStr"/>
      <c r="Q186" t="inlineStr"/>
    </row>
    <row r="187">
      <c r="A187" t="inlineStr">
        <is>
          <t>C.27</t>
        </is>
      </c>
      <c r="B187" s="4" t="inlineStr">
        <is>
          <t>Such data is needed to bid or perform on a contract with the Department of Defense, or other U.S. Government
agency, or for other legitimate business purposes in which the U.S. Contractor is engaged, or plans to engage. The
purpose for which the data is needed shall be described sufficiently in such certification to permit an evaluation of
whether subsequent requests for data are related properly to such business purpose.</t>
        </is>
      </c>
      <c r="C187" t="inlineStr">
        <is>
          <t>C.27</t>
        </is>
      </c>
      <c r="D187" t="n">
        <v>44</v>
      </c>
      <c r="E187" s="6" t="inlineStr">
        <is>
          <t>High</t>
        </is>
      </c>
      <c r="F187" t="inlineStr">
        <is>
          <t>Mandatory</t>
        </is>
      </c>
      <c r="G187" t="inlineStr"/>
      <c r="H187" t="inlineStr">
        <is>
          <t>Not Started</t>
        </is>
      </c>
      <c r="I187" t="inlineStr"/>
      <c r="J187" t="inlineStr"/>
      <c r="K187" t="inlineStr"/>
      <c r="L187" t="inlineStr"/>
      <c r="M187" t="inlineStr"/>
      <c r="N187" t="inlineStr"/>
      <c r="O187" t="inlineStr"/>
      <c r="P187" t="inlineStr"/>
      <c r="Q187" t="inlineStr"/>
    </row>
    <row r="188">
      <c r="A188" t="inlineStr">
        <is>
          <t>C.27</t>
        </is>
      </c>
      <c r="B188" s="4" t="inlineStr">
        <is>
          <t>The U.S. Contractor also agrees that, unless dissemination is permitted by the Directive, it will not provide access
to export-controlled technical data subject to the Directive to persons other than its employees or persons acting on
its behalf, without the permission of the DOD component that provided the technical data.</t>
        </is>
      </c>
      <c r="C188" t="inlineStr">
        <is>
          <t>C.27</t>
        </is>
      </c>
      <c r="D188" t="n">
        <v>44</v>
      </c>
      <c r="E188" s="5" t="inlineStr">
        <is>
          <t>Low</t>
        </is>
      </c>
      <c r="F188" t="inlineStr">
        <is>
          <t>Desirable</t>
        </is>
      </c>
      <c r="G188" t="inlineStr"/>
      <c r="H188" t="inlineStr">
        <is>
          <t>Not Started</t>
        </is>
      </c>
      <c r="I188" t="inlineStr"/>
      <c r="J188" t="inlineStr"/>
      <c r="K188" t="inlineStr"/>
      <c r="L188" t="inlineStr"/>
      <c r="M188" t="inlineStr"/>
      <c r="N188" t="inlineStr"/>
      <c r="O188" t="inlineStr"/>
      <c r="P188" t="inlineStr"/>
      <c r="Q188" t="inlineStr"/>
    </row>
    <row r="189">
      <c r="A189" t="inlineStr">
        <is>
          <t>C.27</t>
        </is>
      </c>
      <c r="B189" s="4" t="inlineStr">
        <is>
          <t>Canadian contractors may be qualified in accordance with the Directive for technical data that do not require a
license for export to Canada under section 125.12 of the International Traffic in Arms Regulations and sections
379.4(d) and 379.5(e) of the Export Administration Regulations, by submitting an equivalent certification to the
DLIC.</t>
        </is>
      </c>
      <c r="C189" t="inlineStr">
        <is>
          <t>C.27</t>
        </is>
      </c>
      <c r="D189" t="n">
        <v>44</v>
      </c>
      <c r="E189" s="5" t="inlineStr">
        <is>
          <t>Low</t>
        </is>
      </c>
      <c r="F189" t="inlineStr">
        <is>
          <t>Desirable</t>
        </is>
      </c>
      <c r="G189" t="inlineStr"/>
      <c r="H189" t="inlineStr">
        <is>
          <t>Not Started</t>
        </is>
      </c>
      <c r="I189" t="inlineStr"/>
      <c r="J189" t="inlineStr"/>
      <c r="K189" t="inlineStr"/>
      <c r="L189" t="inlineStr"/>
      <c r="M189" t="inlineStr"/>
      <c r="N189" t="inlineStr"/>
      <c r="O189" t="inlineStr"/>
      <c r="P189" t="inlineStr"/>
      <c r="Q189" t="inlineStr"/>
    </row>
  </sheetData>
  <dataValidations count="1">
    <dataValidation sqref="H2:H189"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The proposal must comply in all material respects with the requirements of the law, regulation, and all requirements
set forth in this solicitation and in the SeaPort-NxG basic IDIQ MAC. A proposal that fails to meet any material
requirement will render the proposal ineligible for award and it will be excluded from further consideration.
The Government intends to evaluate proposals and award based upon initial offers; therefore, Offeror’ s initial
proposal should contain the best terms from a cost and technical standpoint. The Government reserves the right to
award a task order without discussions with respective Offerors. The Government may conduct discussions if
deemed in its best interest. The Government anticipates a single task order award resulting from this solicitation;
however, the Government reserves the right to award more than one or no task order depending on the quality of the
proposals received and the availability of funds.</t>
        </is>
      </c>
      <c r="C2" s="8" t="n">
        <v>112</v>
      </c>
      <c r="D2" s="8" t="inlineStr"/>
      <c r="E2" s="8" t="inlineStr"/>
      <c r="F2" s="8" t="inlineStr"/>
      <c r="G2" s="8" t="inlineStr"/>
      <c r="H2" s="8" t="inlineStr"/>
      <c r="I2" s="8" t="inlineStr"/>
    </row>
    <row r="3">
      <c r="A3" s="8" t="inlineStr">
        <is>
          <t>M</t>
        </is>
      </c>
      <c r="B3" s="9" t="inlineStr">
        <is>
          <t>The following terms and definitions will be used for proposal evaluations:
Deficiency is a material failure of a proposal to meet a Government requirement or a combination of significant
weaknesses in a proposal that increases the risk of unsuccessful contract performance to an unacceptable level.
Risk, as it pertains to source selection, is the potential for unsuccessful contract performance. The consideration of
risk assesses the degree to which an Offeror’ s proposed approach to achieving the technical factor or subfactor may
involve risk of disruption of schedule, increased cost or degradation of performance, the need for increased
Government oversight, and the likelihood of unsuccessful contract performance.
Strength is an aspect of an Offeror's proposal with merit or will exceed specified performance or capability
requirements to the advantage of the Government during contract performance.
Weakn ess means a flaw in the proposal that increases the risk of unsuccessful contract performance.
Significant Strength is an aspect of the Offeror’ s proposal with appreciable merit or will exceed specified
performance or capability requirements to the considerable advantage of the Government during contract</t>
        </is>
      </c>
      <c r="C3" s="8" t="n">
        <v>112</v>
      </c>
      <c r="D3" s="8" t="inlineStr"/>
      <c r="E3" s="8" t="inlineStr"/>
      <c r="F3" s="8" t="inlineStr"/>
      <c r="G3" s="8" t="inlineStr"/>
      <c r="H3" s="8" t="inlineStr"/>
      <c r="I3" s="8" t="inlineStr"/>
    </row>
    <row r="4">
      <c r="A4" s="8" t="inlineStr">
        <is>
          <t>M</t>
        </is>
      </c>
      <c r="B4" s="9" t="inlineStr">
        <is>
          <t>Significant Weakness in the proposal is a flaw that appreciably increases the risk of unsuccessful contract</t>
        </is>
      </c>
      <c r="C4" s="8" t="n">
        <v>112</v>
      </c>
      <c r="D4" s="8" t="inlineStr"/>
      <c r="E4" s="8" t="inlineStr"/>
      <c r="F4" s="8" t="inlineStr"/>
      <c r="G4" s="8" t="inlineStr"/>
      <c r="H4" s="8" t="inlineStr"/>
      <c r="I4" s="8" t="inlineStr"/>
    </row>
    <row r="5">
      <c r="A5" s="8" t="inlineStr">
        <is>
          <t>M</t>
        </is>
      </c>
      <c r="B5" s="9" t="inlineStr">
        <is>
          <t>N0017826R30020003 - FINAL
Page 110 of 114
performance.</t>
        </is>
      </c>
      <c r="C5" s="8" t="n">
        <v>112</v>
      </c>
      <c r="D5" s="8" t="inlineStr"/>
      <c r="E5" s="8" t="inlineStr"/>
      <c r="F5" s="8" t="inlineStr"/>
      <c r="G5" s="8" t="inlineStr"/>
      <c r="H5" s="8" t="inlineStr"/>
      <c r="I5" s="8" t="inlineStr"/>
    </row>
    <row r="6">
      <c r="A6" s="8" t="inlineStr">
        <is>
          <t>M</t>
        </is>
      </c>
      <c r="B6" s="9" t="inlineStr">
        <is>
          <t>2.0 BASIS FOR AWARD
The award decision will be determined based on the Government’ s evaluation of each Offeror’ s proposal against the
evaluation factors identified within this solicitation. Award will be made to the responsible Offeror whose proposal
demonstrates the best value to the Government based on the evaluation factors. Best value means the expected
outcome of an acquisition that, in the Government’ s estimation, provides the greatest overall benefit in response to
the requirement.  A tradeoff analysis may be used when it is in the best interest of the Government to consider award
to other than the lowest total evaluated cost Offeror or other than the highest technically rated Offeror. The
comparison will trade off differences in technical capability based on the non-cost factors and total evaluated cost. If
one Offeror has both the better technical capability and the lower total evaluated cost, then that Offeror will be the
better value. If one Offeror has the better technical capability and a higher total evaluated cost, the Government will
decide whether the difference in technical capability is worth the difference in price. If it is determined that the
difference in technical capability is worth the difference in price, then the more capable, higher-priced Offeror will
be the better value. If not, then the less capable, lower-priced Offeror will be the better value.  In order to be eligible
for award, a proposal shall, at a minimum, meet the requirements of the Solicitation and demonstrate an adequate
approach and understanding of the requirements. Accordingly, an offeror must receive an adjectival rating of
“Acceptable” or higher under Factor 1 in order to be eligible for award.
3.0 RELATIVE IMPORTANCE OF EV ALUATION FACTORS
The Government will evaluate each Offeror's proposal in accordance with the evaluation factors to determine the
best value proposal. The evaluation factors represent key areas of importance to be considered in the source selection</t>
        </is>
      </c>
      <c r="C6" s="8" t="n">
        <v>112</v>
      </c>
      <c r="D6" s="8" t="inlineStr"/>
      <c r="E6" s="8" t="inlineStr"/>
      <c r="F6" s="8" t="inlineStr"/>
      <c r="G6" s="8" t="inlineStr"/>
      <c r="H6" s="8" t="inlineStr"/>
      <c r="I6" s="8" t="inlineStr"/>
    </row>
    <row r="7">
      <c r="A7" s="8" t="inlineStr">
        <is>
          <t>M</t>
        </is>
      </c>
      <c r="B7" s="9" t="inlineStr">
        <is>
          <t>The factors and associated elements have been chosen to support meaningful discrimination between
competing proposals.
Factor Elements</t>
        </is>
      </c>
      <c r="C7" s="8" t="n">
        <v>112</v>
      </c>
      <c r="D7" s="8" t="inlineStr"/>
      <c r="E7" s="8" t="inlineStr"/>
      <c r="F7" s="8" t="inlineStr"/>
      <c r="G7" s="8" t="inlineStr"/>
      <c r="H7" s="8" t="inlineStr"/>
      <c r="I7" s="8" t="inlineStr"/>
    </row>
    <row r="8">
      <c r="A8" s="8" t="inlineStr">
        <is>
          <t>M</t>
        </is>
      </c>
      <c r="B8" s="9" t="inlineStr">
        <is>
          <t>Cost Proposal None
The relative importance of the evaluation factors is as follows.  Factor 1 is more important than Factor 2.  Factors 1
and 2, when combined, are significantly more important than Factor 3.
The degree of importance of Factor 3 will increase with the degree of equality of the proposals in relation to the
non-cost factors on which selection is to be based, or when the evaluated cost delta between Offerors is so significant</t>
        </is>
      </c>
      <c r="C8" s="8" t="n">
        <v>112</v>
      </c>
      <c r="D8" s="8" t="inlineStr"/>
      <c r="E8" s="8" t="inlineStr"/>
      <c r="F8" s="8" t="inlineStr"/>
      <c r="G8" s="8" t="inlineStr"/>
      <c r="H8" s="8" t="inlineStr"/>
      <c r="I8" s="8" t="inlineStr"/>
    </row>
    <row r="9">
      <c r="A9" s="8" t="inlineStr">
        <is>
          <t>M</t>
        </is>
      </c>
      <c r="B9" s="9" t="inlineStr">
        <is>
          <t>N0017826R30020003 - FINAL
Page 111 of 114
as to diminish the value of the superiority of the non-cost factors.
4.0 DESCRIPTION OF EV ALUATION FACTORS
Factor 1: Technical (Volume I)
Element A - Technical Approach. The Government will evaluate the extent to which the proposal demonstrates
specific understanding, capability, and experience to successfully perform the requirements, and the soundness of the
proposed technical approach. 
Element B - Management Approach.  The Government will evaluate the extent to which the proposal demonstrates
an effective management organization with the capability, processes, and tools to successfully perform the
requirements and ensure the highest quality deliverables, communication, cost management, risk management, and
subcontractor management.  The Government will evaluate the extent to which the proposal demonstrates a thorough
and realistic approach for efficiently and effectively assuming responsibility over requirements while minimizing
risk of performance disruption. 
Element C – Personnel Approach.  The Government will evaluate the extent to which the staffing plan addresses the
labor hours identified in Section B and proposed personnel are able to perform all aspects of the SOW/PWS.  The
Government will evaluate the extent to which the proposal demonstrates a staffing plan and key personnel that are
qualified, experienced, and suitable for performing the requirements.
Adjectival Rating Description. The Government will assign an adjectival rating for Factor 1 in accordance with the
below adjectival rating table.  Elements will not be separately rated.
Adjectival Rating Description
Outstanding
Proposal demonstrates an exceptional approach and understanding of
the requirements and contains multiple strengths and/or at least one
significant strength, and risk of unsuccessful performance is low.
Good
Proposal indicates a thorough approach and understanding of the
requirements and contains at least one strength or significant
strength, and risk of unsuccessful performance is low to moderate.
Acceptable
Proposal meets requirements and indicates an adequate approach and
understanding of the requirements, and risk of unsuccessful
performance is no worse than moderate.
Marginal
Proposal has not demonstrated an adequate approach and
understanding of the requirements, and/or risk of unsuccessful
performance is high.
Unacceptable
Proposal does not meet requirements of the solicitation and, thus,
contains one or more deficiencies and is unawardable, and/or risk of
performance is unacceptably high.</t>
        </is>
      </c>
      <c r="C9" s="8" t="n">
        <v>112</v>
      </c>
      <c r="D9" s="8" t="inlineStr"/>
      <c r="E9" s="8" t="inlineStr"/>
      <c r="F9" s="8" t="inlineStr"/>
      <c r="G9" s="8" t="inlineStr"/>
      <c r="H9" s="8" t="inlineStr"/>
      <c r="I9" s="8" t="inlineStr"/>
    </row>
    <row r="10">
      <c r="A10" s="8" t="inlineStr">
        <is>
          <t>M</t>
        </is>
      </c>
      <c r="B10" s="9" t="inlineStr">
        <is>
          <t>Factor 2: Past Performance (Volume II)
The Government will evaluate the past performance references for recency, relevancy and quality of performance.
 Recent performance includes efforts performed within the past five calendar years from solicitation release date.
 Relevant performance includes efforts that are of similar scope and complexity as identified in the PWS/SOW.  Past
performance references that reflect projects with a similar scope and complexity to efforts described in this
solicitation will be considered to have greater importance in the evaluation of this factor. The Government will
evaluate all past performance information collected and determine the quality of the Offeror’ s performance, general
trends, and usefulness of the information and incorporate these into the assignment of a performance confidence
assessment rating. 
The Government reserves its right to collect and use information from sources other than those identified in the
proposal to evaluate past performance.  This may include, but not limited to, Federal, State, and local Government
agencies, Contractor Performance Assessment Reporting System (CPARS), Better Business Bureaus, published
media and electronic databases, and/or personal knowledge. The Government may contact past or current customers
to collect additional information for use in evaluating past performance. The Government reserves the right to limit
or expand the number of references it decides to contact and to contact other references than those provided in the
proposal.The Government reserves the right to not perform a past performance evaluation on any Offeror that is
assigned an “Unacceptable” adjectival rating under Factor 1 - Technical.
Adjectival Rating Description. The Government will assign adjectival ratings for Factor 2 in accordance with the
following information.  For recency, each past performance reference will be assigned a rating of “Recent” or “Not
Recent” as determined by whether the effort was performed within the past five calendar years from solicitation
release date.  For relevancy, each past performance reference will be assigned a rating in accordance with the below</t>
        </is>
      </c>
      <c r="C10" s="8" t="n">
        <v>112</v>
      </c>
      <c r="D10" s="8" t="inlineStr"/>
      <c r="E10" s="8" t="inlineStr"/>
      <c r="F10" s="8" t="inlineStr"/>
      <c r="G10" s="8" t="inlineStr"/>
      <c r="H10" s="8" t="inlineStr"/>
      <c r="I10" s="8" t="inlineStr"/>
    </row>
    <row r="11">
      <c r="A11" s="8" t="inlineStr">
        <is>
          <t>M</t>
        </is>
      </c>
      <c r="B11" s="9" t="inlineStr">
        <is>
          <t>Adjectival Ratings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
The third aspect of the past performance evaluation is to establish the overall quality of the Offeror’ s past</t>
        </is>
      </c>
      <c r="C11" s="8" t="n">
        <v>112</v>
      </c>
      <c r="D11" s="8" t="inlineStr"/>
      <c r="E11" s="8" t="inlineStr"/>
      <c r="F11" s="8" t="inlineStr"/>
      <c r="G11" s="8" t="inlineStr"/>
      <c r="H11" s="8" t="inlineStr"/>
      <c r="I11" s="8" t="inlineStr"/>
    </row>
    <row r="12">
      <c r="A12" s="8" t="inlineStr">
        <is>
          <t>M</t>
        </is>
      </c>
      <c r="B12" s="9" t="inlineStr">
        <is>
          <t>The Government will review all past performance information collected and determine the quality of</t>
        </is>
      </c>
      <c r="C12" s="8" t="n">
        <v>112</v>
      </c>
      <c r="D12" s="8" t="inlineStr"/>
      <c r="E12" s="8" t="inlineStr"/>
      <c r="F12" s="8" t="inlineStr"/>
      <c r="G12" s="8" t="inlineStr"/>
      <c r="H12" s="8" t="inlineStr"/>
      <c r="I12" s="8" t="inlineStr"/>
    </row>
    <row r="13">
      <c r="A13" s="8" t="inlineStr">
        <is>
          <t>M</t>
        </is>
      </c>
      <c r="B13" s="9" t="inlineStr">
        <is>
          <t>N0017826R30020003 - FINAL
Page 113 of 114
the Offeror’ s performance, general trends, and usefulness of the information and incorporate these into a
performance confidence assessment. A separate quality assessment rating will not be assigned; rather, an overall
performance confidence assessment rating will be assigned based on the Offeror’ s overall record of recency,
relevancy, and quality of performance.  With respect to relevancy, more relevant past performance will typically be a
stronger predictor of future success and have more influence on the past performance confidence assessment than
past performance of lesser relevance.  The Government will assign an overall performance confidence assessment
ratings in accordance with the below table. 
Adjectival Ratings Description
Substantial Confidence Based on the Offeror’ s recent/relevant performance record, the
Government has a high expectation that the Offeror will
successfully perform the required effort.
Satisfactory Confidence Based on the Offeror’ s recent/relevant performance record, the
Government has a reasonable expectation that the Offeror will
successfully perform the required effort.
Neutral Confidence No recent/relevant performance record is available or the
Offeror’ s performance record is so sparse that no meaningful
confidence assessment rating can be reasonably assigned. The
Offeror may not be evaluated favorably or unfavorably on the
factor of past performance.
Limited Confidence Based on the Offeror’ s recent/relevant performance record, the
Government has a low expectation that the Offeror will
successfully perform the required effort.
No Confidence Based on the Offeror’ s recent/relevant performance record, the
Government has no expectation that the Offeror will be able to
successfully perform the required effort.
While “Neutral Confidence” ratings will not be evaluated favorably or unfavorably, the Government may determine
that a “Substantial Confidence” or “Satisfactory Confidence” rating is worth more than a “Neutral Confidence” past
performance rating in a best value tradeoff. 
Factor 3: Cost Proposal (Volume III)
The Government will perform a cost realism analysis of the cost proposal. The Government will evaluate the
proposed cost elements to determine whether they are realistic for the work to be performed; reflect a clear
understanding of the requirements; and are consistent with the technical proposal (e.g. V olume 1 – Technical).  The
Government will determine the probable cost of performance by calculating the total evaluated cost for the entire
cost proposal.  The total evaluated cost is the sum of the realistic costs for all priced CLINs/SLINs inclusive of
options and proposed fees.  The total evaluated cost is determined by upwardly adjusting proposed costs to reflect
more realistic levels based on the cost realism substantiating data, unless otherwise stated in Section L.  The total
evaluated cost may differ from the proposed cost and will reflect the Government’ s best estimate of the cost of actual</t>
        </is>
      </c>
      <c r="C13" s="8" t="n">
        <v>112</v>
      </c>
      <c r="D13" s="8" t="inlineStr"/>
      <c r="E13" s="8" t="inlineStr"/>
      <c r="F13" s="8" t="inlineStr"/>
      <c r="G13" s="8" t="inlineStr"/>
      <c r="H13" s="8" t="inlineStr"/>
      <c r="I13" s="8" t="inlineStr"/>
    </row>
    <row r="14">
      <c r="A14" s="8" t="inlineStr">
        <is>
          <t>M</t>
        </is>
      </c>
      <c r="B14" s="9" t="inlineStr">
        <is>
          <t>N0017826R30020003 - FINAL
Page 114 of 114
performance in contract execution.  The total evaluated cost will be used for purposes of evaluation to determine the
best value. 
The Government will evaluate whether the proposed costs are unrealistically low and the Government will make
upward adjustments to those proposed costs that it determines in its judgement to be unrealistically low.  The
Government may also assign risk, weaknesses, and/or deficiencies to proposals that contain unrealistically low costs,
unsupported costs, and/or costs inconsistent with the technical volume.  The Government will not evaluate whether
proposed cost elements are unrealistically high in a competitive environment since the fundamental purpose of a cost
realism analysis is to guard the Government against any unrealistic claims of cost savings. 
The Government reserves the right to use information other than the information provided in the cost proposal in
order to perform cost realism analysis and develop the total evaluated cost.  This may include, but not limited to,
information from DCMA or DCAA, independent government cost estimates, salary databases or websites, invoices,
aggregated cost data, historical data, etc. The Government also reserves the right to limit or expand its evaluation of
the cost proposal to include technical analysis, unbalanced pricing analysis, cost analysis, and/or price analysis using
the methods authorized under FAR 15.404-1. 
The Government reserves the right to limit cost realism analysis to only those Offerors that represent the most likely
candidates for award and not make any cost realism adjustments to those Offeror’ s cost proposals that are high cost
and have inferior adjectival ratings under Factor 1 - Technical.  The Government reserves the right to not perform a
cost realism analysis on any Offeror that is assigned an “Unacceptable” adjectival rating under Factor 1 - Technical. 
The Government reserves the right to not perform cost realism analysis on subcontractor proposals that reflect less
than 5%  of the total labor hours.  The Government will not perform cost realism analysis on subcontractor proposals
that are proposed on a Time-and-Materials or fixed priced basis (e.g. FFP, FFP LOE, etc.).   
5.0 CONTRACT DOCUMENTATION (VOLUME IV)  
The Government will evaluate the submitted contract documentation on a pass/fail basis to verify compliance with
all requirements.  If the Offeror has failed to meet any of the pass/fail requirements, the proposal is ineligible for
award and will be eliminated from further consideration.  The Government may waive minor oversights and
irregularities in the submitted contract documentation provided that they are considered immaterial in its judgment. 
The Government reserves the right to not evaluate other proposal volumes I-III (Factors 1-3) if Offeror has failed to
meet the requirements under V olume IV .</t>
        </is>
      </c>
      <c r="C14" s="8" t="n">
        <v>112</v>
      </c>
      <c r="D14" s="8" t="inlineStr"/>
      <c r="E14" s="8" t="inlineStr"/>
      <c r="F14" s="8" t="inlineStr"/>
      <c r="G14" s="8" t="inlineStr"/>
      <c r="H14" s="8" t="inlineStr"/>
      <c r="I14" s="8" t="inlineStr"/>
    </row>
    <row r="15">
      <c r="A15" s="8" t="inlineStr">
        <is>
          <t>J.4</t>
        </is>
      </c>
      <c r="B15" s="9">
        <f>== Sheet: Cost Proposal Spreadsheet ===
SOLICITATION NO. N0017826R3002 - ATTACHMENT J.4 |  |  |  |  |  |  |  |  |  |  |  |  |  |  |  |  |  |  | 
COST PROPOSAL SPREADSHEEET |  |  |  |  |  |  |  |  |  |  |  |  |  |  |  |  |  |  | 
Prime Offeror Name: |  |  |  |  |  |  |  |  |  |  |  |  |  |  |  |  |  |  | 
Subcontractor Name (if applicable):  |  |  |  |  |  |  |  |  |  |  |  |  |  |  |  |  |  |  | 
DCAA Point of Contact Information:   |  |  |  |  |  |  |  |  |  |  |  |  |  |  |  |  |  |  | 
 |  |  | Total for All Years |  | Base Period |  |  | Option Year 1 |  |  | Option Year 2 |  |  | Option Year 3 |  |  | Option Year 4 |  | 
Cost Elements | Company Labor Category | eCRAFT Labor Category | Hours | Amount | Rate | Hours | Amount | Rate | Hours | Amount | Rate | Hours | Amount | Rate | Hours | Amount | Rate | Hours | Amount
Prime Contractor Labor Cost |  |  |  |  |  |  |  |  |  |  |  |  |  |  |  |  |  |  | 
Prime Contractor Direct Labor |  |  |  |  |  |  |  |  |  |  |  |  |  |  |  |  |  |  | 
Employee Name 1 |  |  |  |  |  |  |  |  |  |  |  |  |  |  |  |  |  |  | 
Employee Name 2 |  |  |  |  |  |  |  |  |  |  |  |  |  |  |  |  |  |  | 
Etc. |  |  |  |  |  |  |  |  |  |  |  |  |  |  |  |  |  |  | 
Total Direct Labor Cost |  |  |  |  |  |  |  |  |  |  |  |  |  |  |  |  |  |  | 
Prime Contractor Indirect Labor Cost |  |  |  |  |  |  |  |  |  |  |  |  |  |  |  |  |  |  | 
Overhead |  |  |  |  |  |  |  |  |  |  |  |  |  |  |  |  |  |  | 
Fringe Benefits |  |  |  |  |  |  |  |  |  |  |  |  |  |  |  |  |  |  | 
G&amp;A |  |  |  |  |  |  |  |  |  |  |  |  |  |  |  |  |  |  | 
Total Indirect Labor Cost |  |  |  |  |  |  |  |  |  |  |  |  |  |  |  |  |  |  | 
Total Direct and Indirect Labor cost |  |  |  |  |  |  |  |  |  |  |  |  |  |  |  |  |  |  | 
COM |  |  |  |  |  |  |  |  |  |  |  |  |  |  |  |  |  |  | 
Total Prime Contractor Labor Cost |  |  |  |  |  |  |  |  |  |  |  |  |  |  |  |  |  |  | 
Subcontractor Labor Cost |  |  |  |  |  |  |  |  |  |  |  |  |  |  |  |  |  |  | 
Subcontractor proposed cost and fee |  |  |  |  |  |  |  |  |  |  |  |  |  |  |  |  |  |  | 
Subcontractor 1 |  |  |  |  |  |  |  |  |  |  |  |  |  |  |  |  |  |  | 
Subcontractor 2 |  |  |  |  |  |  |  |  |  |  |  |  |  |  |  |  |  |  | 
Etc. |  |  |  |  |  |  |  |  |  |  |  |  |  |  |  |  |  |  | 
Total proposed subcontractor labor cost and fee |  |  |  |  |  |  |  |  |  |  |  |  |  |  |  |  |  |  | 
Prime contractor pass through (not including fee) |  |  |  |  |  |  |  |  |  |  |  |  |  |  |  |  |  |  | 
Handling |  |  |  |  |  |  |  |  |  |  |  |  |  |  |  |  |  |  | 
G&amp;A |  |  |  |  |  |  |  |  |  |  |  |  |  |  |  |  |  |  | 
Other (if any) |  |  |  |  |  |  |  |  |  |  |  |  |  |  |  |  |  |  | 
Total pass through (not including fee) |  |  |  |  |  |  |  |  |  |  |  |  |  |  |  |  |  |  | 
Total Subcontractor Cost including pass through |  |  |  |  |  |  |  |  |  |  |  |  |  |  |  |  |  |  | 
Total Labor Cost (Prime and Subcontractor Labor) |  |  |  |  |  |  |  |  |  |  |  |  |  |  |  |  |  |  | 
Fixed Fee |  |  |  |  |  |  |  |  |  |  |  |  |  |  |  |  |  |  | 
Prime Contractor Fee for Prime Contractor Labor  |  |  |  |  |  |  |  |  |  |  |  |  |  |  |  |  |  |  | 
Prime Contractor Fee for Subcontractor Labor * |  |  |  |  |  |  |  |  |  |  |  |  |  |  |  |  |  |  | 
Total Fee (for Prime and Subcontractor Labor) |  |  |  |  |  |  |  |  |  |  |  |  |  |  |  |  |  |  | 
Total Labor Cost Plus Fixed Fee (CPFF) |  |  |  |  |  |  |  |  |  |  |  |  |  |  |  |  |  |  | 
Other Direct Costs |  |  |  |  |  |  |  |  |  |  |  |  |  |  |  |  |  |  | 
Other Direct Costs (ODCs) |  |  |  |  |  |  |  |  |  |  |  |  |  |  |  |  |  |  | 
Any adders to ODCs such as G&amp;A (cost only - no fee) |  |  |  |  |  |  |  |  |  |  |  |  |  |  |  |  |  |  | 
Total ODCs |  |  |  |  |  |  |  |  |  |  |  |  |  |  |  |  |  |  | 
Total CPFF all CLINs (Labor and ODCs) |  |  |  |  |  |  |  |  |  |  |  |  |  |  |  |  |  |  | 
Pass Through Analysis - Total for All Years |  | Amount | Percent |  |  |  |  |  |  |  |  |  |  |  |  |  |  |  | 
Subcontractor proposed cost and fee |  |  |  |  |  |  |  |  |  |  |  |  |  |  |  |  |  |  | 
Pass Through Amount (not including fee) |  |  |  |  |  |  |  |  |  |  |  |  |  |  |  |  |  |  | 
Prime Contractor Fee for Subcontractor Labor * |  |  |  |  |  |  |  |  |  |  |  |  |  |  |  |  |  |  | 
Total Pass Through Amount (including fee) |  |  | #DIV/0! |  |  |  |  |  |  |  |  |  |  |  |  |  |  |  | 
Maximum Pass Through Allowed by SeaPort-e IDIQ Contract |  |  | 0.08 |  |  |  |  |  |  |  |  |  |  |  |  |  |  |  | 
Fee Analysis - Total for All Years |  | Amount | Percent |  |  |  |  |  |  |  |  |  |  |  |  |  |  |  | 
Prime Contractor Labor Cost |  |  |  |  |  |  |  |  |  |  |  |  |  |  |  |  |  |  | 
Fixed Fee for Labor Performed by Prime Contractor |  |  | #DIV/0! |  |  |  |  |  |  |  |  |  |  |  |  |  |  |  | 
Maximum Fixed Fee Allowed by SeaPort-e IDIQ Contract |  |  |  |  |  |  |  |  |  |  |  |  |  |  |  |  |  |  | 
*  When analyzing pass through costs, the Government will consider prime offeror fee on subcontractor price as an element of pass through as explained in the Section H Savings Clause of the MACs.  In Section B, however, prime offeror fee on subcontractor price is a fee element rather than a cost element.  Prime offeror fee on subcontractor price should be included in the fee column (rather than the cost column) of Section B.
 |  |  |  |  |  |  |  |  |  |  |  |  |  |  |  |  |  |  |</f>
        <v/>
      </c>
      <c r="C15" s="8" t="n">
        <v>112</v>
      </c>
      <c r="D15" s="8" t="inlineStr"/>
      <c r="E15" s="8" t="inlineStr"/>
      <c r="F15" s="8" t="inlineStr"/>
      <c r="G15" s="8" t="inlineStr"/>
      <c r="H15" s="8" t="inlineStr"/>
      <c r="I15" s="8" t="inlineStr"/>
    </row>
    <row r="16">
      <c r="A16" s="8" t="inlineStr">
        <is>
          <t>J.5</t>
        </is>
      </c>
      <c r="B16" s="9">
        <f>== Sheet: Sheet1 ===
Solicitaion # N00178-26-R-3002  Attachment J.5 - Staffing Plan |  |  |  |  |  |  |  |  |  |  |  |  |  |  |  |  |  | 
Company Name |  |  |  |  |  |  |  |  |  |  |  |  |  |  |  |  |  | 
NAME | EMPLOYER | COMPANY LABOR CATEGORY | ECRAFT LABOR CATEGORY | PWS TASK AREA SUPPORTED | LOCATION | LABOR HOURS PROPOSED |  |  |  |  | % OF TOTALTIME DEDICATED TO CONTRACT | YEARS OF RELEVANT EXPERIENCE | HIGHEST EDUCATION DEGREE ATTAINED | DEGREE AREA | SECURITY CLEARANCE LEVEL | CITIZENSHIP | CERTIFICATIONS | NOTES
 |  |  |  |  |  | Base Year | Option Year 1 | Option Year 2 | Option Year 3 | Option Year 4 |  |  |  |  |  |  |  | 
Note:   |  |  |  |  |  |  |  |  |  |  |  |  |  |  |  |  |  |</f>
        <v/>
      </c>
      <c r="C16" s="8" t="n">
        <v>112</v>
      </c>
      <c r="D16" s="8" t="inlineStr"/>
      <c r="E16" s="8" t="inlineStr"/>
      <c r="F16" s="8" t="inlineStr"/>
      <c r="G16" s="8" t="inlineStr"/>
      <c r="H16" s="8" t="inlineStr"/>
      <c r="I16" s="8" t="inlineStr"/>
    </row>
    <row r="17">
      <c r="A17" s="8" t="inlineStr">
        <is>
          <t>M</t>
        </is>
      </c>
      <c r="B17" s="9" t="inlineStr">
        <is>
          <t>Full Staffing Plan to be provided in the format above. |  |  |  |  |  |  |  |  |  |  |  |  |  |  |  |  |  |</t>
        </is>
      </c>
      <c r="C17" s="8" t="n">
        <v>112</v>
      </c>
      <c r="D17" s="8" t="inlineStr"/>
      <c r="E17" s="8" t="inlineStr"/>
      <c r="F17" s="8" t="inlineStr"/>
      <c r="G17" s="8" t="inlineStr"/>
      <c r="H17" s="8" t="inlineStr"/>
      <c r="I17" s="8" t="inlineStr"/>
    </row>
    <row r="18">
      <c r="A18" s="8" t="inlineStr">
        <is>
          <t>M</t>
        </is>
      </c>
      <c r="B18" s="9" t="inlineStr">
        <is>
          <t>Information to be sorted first by “Task Area” and then by “Labor Category”.  |  |  |  |  |  |  |  |  |  |  |  |  |  |  |  |  |  |</t>
        </is>
      </c>
      <c r="C18" s="8" t="n">
        <v>112</v>
      </c>
      <c r="D18" s="8" t="inlineStr"/>
      <c r="E18" s="8" t="inlineStr"/>
      <c r="F18" s="8" t="inlineStr"/>
      <c r="G18" s="8" t="inlineStr"/>
      <c r="H18" s="8" t="inlineStr"/>
      <c r="I18" s="8" t="inlineStr"/>
    </row>
    <row r="19">
      <c r="A19" s="8" t="inlineStr">
        <is>
          <t>M</t>
        </is>
      </c>
      <c r="B19" s="9" t="inlineStr">
        <is>
          <t>Offeror shall preface the names of contingent hires with “Contingent -”; for example, “Contingent – Jane Doe.”  |  |  |  |  |  |  |  |  |  |  |  |  |  |  |  |  |  | 
Offeror shall preface the names of key personnel with “Key –“; for example, “Key – Jane Doe.”   
Offeror shall use “TBD” for non-key positions that do not have identified personnel.  
“TBD” may also be used for labor hours associated with surge or special study CLINs/SLINs, if such CLINs/SLINs are included in Section B. 
 |  |  |  |  |  |  |  |  |  |  |  |  |  |  |  |  |  |</t>
        </is>
      </c>
      <c r="C19" s="8" t="n">
        <v>112</v>
      </c>
      <c r="D19" s="8" t="inlineStr"/>
      <c r="E19" s="8" t="inlineStr"/>
      <c r="F19" s="8" t="inlineStr"/>
      <c r="G19" s="8" t="inlineStr"/>
      <c r="H19" s="8" t="inlineStr"/>
      <c r="I19"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TW-A-0001</t>
        </is>
      </c>
      <c r="B2" s="11" t="inlineStr">
        <is>
          <t>A</t>
        </is>
      </c>
      <c r="C2" s="12">
        <f>== Sheet: Serially Managed Items ===
 |  |  |  |  |  |  |  |  |  |  |  |  | * denotes a required field
† A minimum of one of these fields is required for each item record
†† If either "Mfr CAGE" or "Part Number" is entered, the other is required.
If any one of duration, time unit, or delivery event are populated, all 3 must be populated. |  |  |  |  |  |  |  |  |  | 
 |  |  |  |  |  |  |  | Serially Managed Items |  |  |  |  |  |  |  |  |  |  |  |  |  |  | 
 | LINE NUMBER* | ITEM NAME* | ITEM DESCRIPTION* | NSN† | MFR CAGE†,†† | PART NUMBER†,†† | MODEL NUMBER† | QTY* | UNIT OF MEASURE* | UNIT ACQ COST | USE AS-IS* | DELIVERY DATE | DURATION | TIME UNIT | DELIVERY EVENT | NOTES |  |  |  |  |  |  | 
 | 1 | NMCI Laptop | HP Elitebook |  |  |  |  | 125 | Each | 700 | false |  |  |  |  | Laptops issued by NMCI after Contract Award. This GFP Attachment will have to be modified if there are changes. The item listed meets the form, fit, and function of the item that will be issued. |  |  |  |  |  |  | 
 | 2 | RDT&amp;E Laptop | Dell  |  |  |  |  | 85 | Each | 800 | false |  |  |  |  | Laptops issued by after Contract Award. This GFP Attachment will have to be modified if there are changes. The item listed meets the form, fit, and function of the item that will be issued. |  |  |  |  |  |  |</f>
        <v/>
      </c>
      <c r="D2" s="11" t="inlineStr">
        <is>
          <t>ADMINISTRATIVE</t>
        </is>
      </c>
      <c r="E2" s="11" t="inlineStr">
        <is>
          <t>A</t>
        </is>
      </c>
      <c r="F2" s="11" t="inlineStr">
        <is>
          <t>Mandatory</t>
        </is>
      </c>
      <c r="G2" s="11" t="n">
        <v>1</v>
      </c>
      <c r="H2" s="11" t="inlineStr"/>
      <c r="I2" s="11" t="inlineStr">
        <is>
          <t>Attachment w</t>
        </is>
      </c>
    </row>
    <row r="3">
      <c r="A3" s="11" t="inlineStr">
        <is>
          <t>TW-A-0002</t>
        </is>
      </c>
      <c r="B3" s="11" t="inlineStr">
        <is>
          <t>A</t>
        </is>
      </c>
      <c r="C3" s="12">
        <f>== Sheet: Non-Serially Managed Items ===
 |  |  |  |  |  |  |  |  |  |  |  |  | * denotes a required field
† A minimum of one of these fields is required for each item record
†† If either "Mfr CAGE" or "Part Number" is entered, the other is required.
If any one of duration, time unit, or delivery event are populated, all 3 must be populated. |  |  | 
 |  |  |  |  | NON-Serially Managed Items |  |  |  |  |  |  |  |  |  |  | 
 | LINE NUMBER* | ITEM NAME* | ITEM DESCRIPTION* | NSN† | MFR CAGE†,†† | PART NUMBER†,†† | MODEL NUMBER† | QTY* | UNIT OF MEASURE* | UNIT ACQ COST | USE AS-IS* | DELIVERY DATE | DURATION | TIME UNIT | DELIVERY EVENT | NOTES</f>
        <v/>
      </c>
      <c r="D3" s="11" t="inlineStr">
        <is>
          <t>ADMINISTRATIVE</t>
        </is>
      </c>
      <c r="E3" s="11" t="inlineStr">
        <is>
          <t>A</t>
        </is>
      </c>
      <c r="F3" s="11" t="inlineStr">
        <is>
          <t>Mandatory</t>
        </is>
      </c>
      <c r="G3" s="11" t="n">
        <v>1</v>
      </c>
      <c r="H3" s="11" t="inlineStr"/>
      <c r="I3" s="11" t="inlineStr"/>
    </row>
    <row r="4">
      <c r="A4" s="11" t="inlineStr">
        <is>
          <t>TW-A-0003</t>
        </is>
      </c>
      <c r="B4" s="11" t="inlineStr">
        <is>
          <t>A</t>
        </is>
      </c>
      <c r="C4" s="12">
        <f>== Sheet: Requisition ===
 |  |  |  |  |  |  |  |  |  | * denotes a required field
† A minimum of one of these fields is required for each item record
†† If either "Mfr CAGE" or "Part Number" is entered, the other is required.
If any one of duration, time unit, or delivery event are populated, all 3 must be populated. |  |  |  |  |  | 
 |  |  |  |  |  | Requisitioned Items |  |  |  |  |  |  |  |  |  | 
 |  |  | LINE NUMBER* | ITEM NAME* | ITEM DESCRIPTION* | NSN† | MFR CAGE†,†† | PART NUMBER†,†† | QTY* | UNIT OF MEASURE* | UNIT ACQ COST | USE AS-IS* |  |  |  |</f>
        <v/>
      </c>
      <c r="D4" s="11" t="inlineStr">
        <is>
          <t>ADMINISTRATIVE</t>
        </is>
      </c>
      <c r="E4" s="11" t="inlineStr">
        <is>
          <t>A</t>
        </is>
      </c>
      <c r="F4" s="11" t="inlineStr">
        <is>
          <t>Mandatory</t>
        </is>
      </c>
      <c r="G4" s="11" t="n">
        <v>1</v>
      </c>
      <c r="H4" s="11" t="inlineStr"/>
      <c r="I4" s="11" t="inlineStr"/>
    </row>
    <row r="5">
      <c r="A5" s="11" t="inlineStr">
        <is>
          <t>TW-A-0004</t>
        </is>
      </c>
      <c r="B5" s="11" t="inlineStr">
        <is>
          <t>A</t>
        </is>
      </c>
      <c r="C5" s="12">
        <f>== Sheet: Helper Tables ===
Number |  | Type Code |  | Unit of Measure | Time Unit |  | Delivery Event | Use As Is
1 |  | A |  | 10 Kilogram Drum | Calendar Days |  |  | 
2 |  | B |  | 10,000 Gallon Tankcar | Months |  | Award Date | true
3 |  | C |  | 100 Board Feet | Weeks |  | Award Receipt Date | false
4 |  | D |  | 100 Kilograms | Work Days |  | Notice to Proceed Receipt Date | 
5 |  | E |  | 100 Linear Yards |  |  | Option Exercised Date | 
6 |  | F |  | 100 Pound Drum |  |  | Other | 
7 |  | G |  | 100-Pack |  |  |  | 
8 |  | H |  | 1000 Cubic Feet |  |  |  | 
9 |  | K |  | 1000 Meters |  |  |  | 
10 |  | L |  | 1000 Pounds Per Square Inch |  |  |  | 
11 |  | M |  | 115 Kilogram Drum |  |  |  | 
12 |  | P |  | 15 Kilogram Drum |  |  |  | 
13 |  | Q |  | 20 Foot Container |  |  |  | 
14 |  | R |  | 20,000 Gallon Tankcar |  |  |  | 
15 |  | S |  | 20-Pack |  |  |  | 
16 |  | T |  | 25 Kilogram Bulk Bag |  |  |  | 
17 |  | U |  | 300 Kilogram Bulk Bag |  |  |  | 
18 |  | V |  | 40 Foot Container |  |  |  | 
19 |  | W |  | 50 Pound Bag |  |  |  | 
20 |  |  |  | 500 Kilogram Bulk Bag |  |  |  | 
21 |  |  |  | 55 Gallon Drum |  |  |  | 
22 |  |  |  | Access Lines |  |  |  | 
23 |  |  |  | Acre |  |  |  | 
24 |  |  |  | Actual Kilograms |  |  |  | 
25 |  |  |  | Actual Pounds |  |  |  | 
26 |  |  |  | Actual Tonnes |  |  |  | 
27 |  |  |  | Actual Tons |  |  |  | 
28 |  |  |  | Additional Minutes |  |  |  | 
29 |  |  |  | Air Dry Metric Ton |  |  |  | 
30 |  |  |  | Aluminum Pounds Only |  |  |  | 
31 |  |  |  | Ampere |  |  |  | 
32 |  |  |  | Ampere Turn Per Centimeter |  |  |  | 
33 |  |  |  | Amperes Per Meter |  |  |  | 
34 |  |  |  | Ampoule |  |  |  | 
35 |  |  |  | Angstrom |  |  |  | 
36 |  |  |  | Anti-Hemophilic Factor (Ahf) Units |  |  |  | 
37 |  |  |  | Apothecary Grain |  |  |  | 
38 |  |  |  | Apothecary Ounce |  |  |  | 
39 |  |  |  | Apothecary Pound |  |  |  | 
40 |  |  |  | Apothecary Scruple |  |  |  | 
41 |  |  |  | Application |  |  |  | 
42 |  |  |  | Assembly |  |  |  | 
43 |  |  |  | Assortment |  |  |  | 
44 |  |  |  | Atmosphere |  |  |  | 
45 |  |  |  | Average Minutes Per Call |  |  |  | 
46 |  |  |  | Bag |  |  |  | 
47 |  |  |  | Bale |  |  |  | 
48 |  |  |  | Ball |  |  |  | 
49 |  |  |  | Band |  |  |  | 
50 |  |  |  | Bar |  |  |  | 
51 |  |  |  | Barge |  |  |  | 
52 |  |  |  | Barrel |  |  |  | 
53 |  |  |  | Barrel Dry |  |  |  | 
54 |  |  |  | Barrel Liquid |  |  |  | 
55 |  |  |  | Barrel, Imperial |  |  |  | 
56 |  |  |  | Barrels Per Minute |  |  |  | 
57 |  |  |  | Base Box |  |  |  | 
58 |  |  |  | Base Box Per Pound |  |  |  | 
59 |  |  |  | Base Weight |  |  |  | 
60 |  |  |  | Basis Points |  |  |  | 
61 |  |  |  | Basket |  |  |  | 
62 |  |  |  | Batch |  |  |  | 
63 |  |  |  | Batt |  |  |  | 
64 |  |  |  | Batting Pound |  |  |  | 
65 |  |  |  | Beam |  |  |  | 
66 |  |  |  | Becquerel |  |  |  | 
67 |  |  |  | Belt |  |  |  | 
68 |  |  |  | Billboard |  |  |  | 
69 |  |  |  | Billet |  |  |  | 
70 |  |  |  | Billions Of Dollars |  |  |  | 
71 |  |  |  | Bimonthly |  |  |  | 
72 |  |  |  | Bin |  |  |  | 
73 |  |  |  | Biweekly |  |  |  | 
74 |  |  |  | Block |  |  |  | 
75 |  |  |  | Board |  |  |  | 
76 |  |  |  | Board Feet |  |  |  | 
77 |  |  |  | Bobbin |  |  |  | 
78 |  |  |  | Bolt |  |  |  | 
79 |  |  |  | Book |  |  |  | 
80 |  |  |  | Bottle |  |  |  | 
81 |  |  |  | Box |  |  |  | 
82 |  |  |  | Briquet |  |  |  | 
83 |  |  |  | British Thermal Unit |  |  |  | 
84 |  |  |  | British Thermal Units (Btus) Per Cubic Foot |  |  |  | 
85 |  |  |  | British Thermal Units (Btus) Per Hour |  |  |  | 
86 |  |  |  | British Thermal Units (Btus) Per Pound |  |  |  | 
87 |  |  |  | Brush |  |  |  | 
88 |  |  |  | Bucket |  |  |  | 
89 |  |  |  | Bulk |  |  |  | 
90 |  |  |  | Bulk Car Load |  |  |  | 
91 |  |  |  | Bulk Pack |  |  |  | 
92 |  |  |  | Bun |  |  |  | 
93 |  |  |  | Bunch |  |  |  | 
94 |  |  |  | Bundle |  |  |  | 
95 |  |  |  | Bunks |  |  |  | 
96 |  |  |  | Bushel |  |  |  | 
97 |  |  |  | Bushel, Dry Imperial |  |  |  | 
98 |  |  |  | Bytes |  |  |  | 
99 |  |  |  | Caboose Count |  |  |  | 
100 |  |  |  | Caboose Mile |  |  |  | 
101 |  |  |  | Cake |  |  |  | 
102 |  |  |  | Calendar Days |  |  |  | 
103 |  |  |  | Calls |  |  |  | 
104 |  |  |  | Calorie |  |  |  | 
105 |  |  |  | Calories Per Cubic Centimeter |  |  |  | 
106 |  |  |  | Calories Per Gram |  |  |  | 
107 |  |  |  | Can |  |  |  | 
108 |  |  |  | Cap |  |  |  | 
109 |  |  |  | Capsule |  |  |  | 
110 |  |  |  | Car |  |  |  | 
111 |  |  |  | Car Count |  |  |  | 
112 |  |  |  | Car Mile |  |  |  | 
113 |  |  |  | Carat |  |  |  | 
114 |  |  |  | Carboy |  |  |  | 
115 |  |  |  | Card |  |  |  | 
116 |  |  |  | Carload |  |  |  | 
117 |  |  |  | Carset |  |  |  | 
118 |  |  |  | Carton |  |  |  | 
119 |  |  |  | Cartridge |  |  |  | 
120 |  |  |  | Cartridge Needle |  |  |  | 
121 |  |  |  | Case |  |  |  | 
122 |  |  |  | Cask |  |  |  | 
123 |  |  |  | Cassette |  |  |  | 
124 |  |  |  | Catchweight |  |  |  | 
125 |  |  |  | Cell |  |  |  | 
126 |  |  |  | Centigram |  |  |  | 
127 |  |  |  | Centiliter |  |  |  | 
128 |  |  |  | Centimeter |  |  |  | 
129 |  |  |  | Centimeters Per Second |  |  |  | 
130 |  |  |  | Centipoises (Cps) |  |  |  | 
131 |  |  |  | Centistokes |  |  |  | 
132 |  |  |  | Chains (Land Survey) |  |  |  | 
133 |  |  |  | Channel |  |  |  | 
134 |  |  |  | Chest |  |  |  | 
135 |  |  |  | Clove |  |  |  | 
136 |  |  |  | Coil |  |  |  | 
137 |  |  |  | Coil Group |  |  |  | 
138 |  |  |  | Column-Inches |  |  |  | 
139 |  |  |  | Combo |  |  |  | 
140 |  |  |  | Composite Product Pounds (Total Weight) |  |  |  | 
141 |  |  |  | Cone |  |  |  | 
142 |  |  |  | Conference Points |  |  |  | 
143 |  |  |  | Connector |  |  |  | 
144 |  |  |  | Container |  |  |  | 
145 |  |  |  | Cop |  |  |  | 
146 |  |  |  | Cord |  |  |  | 
147 |  |  |  | Cost |  |  |  | 
148 |  |  |  | Coulomb |  |  |  | 
149 |  |  |  | Count |  |  |  | 
150 |  |  |  | Count Per Minute |  |  |  | 
151 |  |  |  | Counts Per Centimeter |  |  |  | 
152 |  |  |  | Counts Per Inch |  |  |  | 
153 |  |  |  | Cover |  |  |  | 
154 |  |  |  | Crate |  |  |  | 
155 |  |  |  | Credits |  |  |  | 
156 |  |  |  | Cubic Centimeter |  |  |  | 
157 |  |  |  | Cubic Centimeters Per Second |  |  |  | 
158 |  |  |  | Cubic Decimeter |  |  |  | 
159 |  |  |  | Cubic Feet |  |  |  | 
160 |  |  |  | Cubic Feet Per Hour |  |  |  | 
161 |  |  |  | Cubic Feet Per Minute |  |  |  | 
162 |  |  |  | Cubic Feet Per Minute Per Square Foot |  |  |  | 
163 |  |  |  | Cubic Inches |  |  |  | 
164 |  |  |  | Cubic Meter |  |  |  | 
165 |  |  |  | Cubic Meter Per Hour |  |  |  | 
166 |  |  |  | Cubic Meters Net |  |  |  | 
167 |  |  |  | Cubic Yard |  |  |  | 
168 |  |  |  | Cup |  |  |  | 
169 |  |  |  | Curie |  |  |  | 
170 |  |  |  | Curl Units |  |  |  | 
171 |  |  |  | Cycles |  |  |  | 
172 |  |  |  | Cylinder |  |  |  | 
173 |  |  |  | Data Records |  |  |  | 
174 |  |  |  | Days |  |  |  | 
175 |  |  |  | Deal |  |  |  | 
176 |  |  |  | Decagram |  |  |  | 
177 |  |  |  | Deci Newton-Meter |  |  |  | 
178 |  |  |  | Decibels |  |  |  | 
179 |  |  |  | Decigram |  |  |  | 
180 |  |  |  | Deciliter |  |  |  | 
181 |  |  |  | Deciliter Per Gram |  |  |  | 
182 |  |  |  | Decimeter |  |  |  | 
183 |  |  |  | Degree |  |  |  | 
184 |  |  |  | Digits |  |  |  | 
185 |  |  |  | Directory Books |  |  |  | 
186 |  |  |  | Disk (Disc) |  |  |  | 
187 |  |  |  | Dispenser |  |  |  | 
188 |  |  |  | Display |  |  |  | 
189 |  |  |  | Dollars Per Hours |  |  |  | 
190 |  |  |  | Dollars, U.S. |  |  |  | 
191 |  |  |  | Dosage Form |  |  |  | 
192 |  |  |  | Double-Time Hours |  |  |  | 
193 |  |  |  | Dozen |  |  |  | 
194 |  |  |  | Dozen Pair |  |  |  | 
195 |  |  |  | Draize Score |  |  |  | 
196 |  |  |  | Dram |  |  |  | 
197 |  |  |  | Dram (Minim) |  |  |  | 
198 |  |  |  | Drop |  |  |  | 
199 |  |  |  | Drum |  |  |  | 
200 |  |  |  | Dry Pounds |  |  |  | 
201 |  |  |  | Dry Ton |  |  |  | 
202 |  |  |  | Duty |  |  |  | 
203 |  |  |  | Dyne |  |  |  | 
204 |  |  |  | Dyne Per Square Centimeter |  |  |  | 
205 |  |  |  | Dynes Per Centimeter |  |  |  | 
206 |  |  |  | Each |  |  |  | 
207 |  |  |  | Each Per Month |  |  |  | 
208 |  |  |  | Eight-Pack |  |  |  | 
209 |  |  |  | Electron Volt |  |  |  | 
210 |  |  |  | Electronic Mail Boxes |  |  |  | 
211 |  |  |  | Eleven Pack |  |  |  | 
212 |  |  |  | Employees |  |  |  | 
213 |  |  |  | Empty Car |  |  |  | 
214 |  |  |  | English (Feet, Inches) |  |  |  | 
215 |  |  |  | Envelope |  |  |  | 
216 |  |  |  | Equivalent |  |  |  | 
217 |  |  |  | Equivalent Gallons |  |  |  | 
218 |  |  |  | Fahrenheit |  |  |  | 
219 |  |  |  | Failure Rate In Time |  |  |  | 
220 |  |  |  | Family Unit |  |  |  | 
221 |  |  |  | Farad |  |  |  | 
222 |  |  |  | Fathom |  |  |  | 
223 |  |  |  | Feet And Decimal |  |  |  | 
224 |  |  |  | Feet Per Minute |  |  |  | 
225 |  |  |  | Feet Per Second |  |  |  | 
226 |  |  |  | Feet, Inches And Decimal |  |  |  | 
227 |  |  |  | Feet, Inches And Fraction |  |  |  | 
228 |  |  |  | Fibers |  |  |  | 
229 |  |  |  | Fibers Per Cubic Centimeter Of Air |  |  |  | 
230 |  |  |  | Fields |  |  |  | 
231 |  |  |  | Fifty |  |  |  | 
232 |  |  |  | Fifty Count |  |  |  | 
233 |  |  |  | Fifty Square Feet |  |  |  | 
234 |  |  |  | Five |  |  |  | 
235 |  |  |  | Five Hundred |  |  |  | 
236 |  |  |  | Five-Pack |  |  |  | 
237 |  |  |  | Fixed Rate |  |  |  | 
238 |  |  |  | Flake Ton |  |  |  | 
239 |  |  |  | Flat |  |  |  | 
240 |  |  |  | Flight Hours |  |  |  | 
241 |  |  |  | Fluid Ounce |  |  |  | 
242 |  |  |  | Fluid Ounce (Imperial) |  |  |  | 
243 |  |  |  | Fold |  |  |  | 
244 |  |  |  | Foot |  |  |  | 
245 |  |  |  | Foot Pounds |  |  |  | 
246 |  |  |  | Four-Pack |  |  |  | 
247 |  |  |  | Frames |  |  |  | 
248 |  |  |  | Fuel Usage (Gallons) |  |  |  | 
249 |  |  |  | Furlong |  |  |  | 
250 |  |  |  | Gage Systems |  |  |  | 
251 |  |  |  | Gallon |  |  |  | 
252 |  |  |  | Gallons Per Thousand |  |  |  | 
253 |  |  |  | Gallons Per Thousand Cubic Feet |  |  |  | 
254 |  |  |  | Gallons/Day |  |  |  | 
255 |  |  |  | Gauss |  |  |  | 
256 |  |  |  | Gauss Per Oersteds |  |  |  | 
257 |  |  |  | Gigabecquerel |  |  |  | 
258 |  |  |  | Gigajoules |  |  |  | 
259 |  |  |  | Gill (Imperial) |  |  |  | 
260 |  |  |  | Grain |  |  |  | 
261 |  |  |  | Gram |  |  |  | 
262 |  |  |  | Grams |  |  |  | 
263 |  |  |  | Grams Per 100 Centimeters |  |  |  | 
264 |  |  |  | Grams Per 100 Grams |  |  |  | 
265 |  |  |  | Grams Per Cubic Centimeter |  |  |  | 
266 |  |  |  | Grams Per Kilogram |  |  |  | 
267 |  |  |  | Grams Per Milliliter |  |  |  | 
268 |  |  |  | Grams Per Square Centimeter |  |  |  | 
269 |  |  |  | Great Gross (Dozen Gross) |  |  |  | 
270 |  |  |  | Gross |  |  |  | 
271 |  |  |  | Gross Barrels |  |  |  | 
272 |  |  |  | Gross Gallons |  |  |  | 
273 |  |  |  | Gross Kilogram |  |  |  | 
274 |  |  |  | Gross Ton |  |  |  | 
275 |  |  |  | Gross Yard |  |  |  | 
276 |  |  |  | Group |  |  |  | 
277 |  |  |  | Half Dozen |  |  |  | 
278 |  |  |  | Half Gallon |  |  |  | 
279 |  |  |  | Half Hour |  |  |  | 
280 |  |  |  | Half Liter |  |  |  | 
281 |  |  |  | Half Pages - Electronic |  |  |  | 
282 |  |  |  | Half Pint |  |  |  | 
283 |  |  |  | Hank |  |  |  | 
284 |  |  |  | Head |  |  |  | 
285 |  |  |  | Heart |  |  |  | 
286 |  |  |  | Heat Lots |  |  |  | 
287 |  |  |  | Hectare |  |  |  | 
288 |  |  |  | Hectogram |  |  |  | 
289 |  |  |  | Hectoliter |  |  |  | 
290 |  |  |  | Hectometer |  |  |  | 
291 |  |  |  | Henry |  |  |  | 
292 |  |  |  | Hertz |  |  |  | 
293 |  |  |  | Hogshead |  |  |  | 
294 |  |  |  | Horsepower |  |  |  | 
295 |  |  |  | Horsepower Days Per Air Dry Metric Tons |  |  |  | 
296 |  |  |  | Hospital Beds |  |  |  | 
297 |  |  |  | Hours |  |  |  | 
298 |  |  |  | Hundred |  |  |  | 
299 |  |  |  | Hundred Boxes |  |  |  | 
300 |  |  |  | Hundred Count |  |  |  | 
301 |  |  |  | Hundred Cubic Feet |  |  |  | 
302 |  |  |  | Hundred Cubic Meters |  |  |  | 
303 |  |  |  | Hundred Feet |  |  |  | 
304 |  |  |  | Hundred Feet - Linear |  |  |  | 
305 |  |  |  | Hundred Kilograms |  |  |  | 
306 |  |  |  | Hundred Pounds (Cwt) |  |  |  | 
307 |  |  |  | Hundred Sheets |  |  |  | 
308 |  |  |  | Hundred Square Feet |  |  |  | 
309 |  |  |  | Hundred Troy Ounces |  |  |  | 
310 |  |  |  | Hundred Weight (Long) |  |  |  | 
311 |  |  |  | Hundred Weight (Short) |  |  |  | 
312 |  |  |  | Hundred Yards |  |  |  | 
313 |  |  |  | Hundredth Of A Carat |  |  |  | 
314 |  |  |  | Hydraulic Horse Power |  |  |  | 
315 |  |  |  | IUID 533 Validation |  |  |  | 
316 |  |  |  | Imperial Gallons |  |  |  | 
317 |  |  |  | Imperial Gallons Per Minute |  |  |  | 
318 |  |  |  | Impressions |  |  |  | 
319 |  |  |  | Inch |  |  |  | 
320 |  |  |  | Inch Pound |  |  |  | 
321 |  |  |  | Inches Of Water |  |  |  | 
322 |  |  |  | Inches Per Minute |  |  |  | 
323 |  |  |  | Inches Per Second (Linear Speed) |  |  |  | 
324 |  |  |  | Inches Per Second (Vibration Velocity) |  |  |  | 
325 |  |  |  | Inches Per Second Per Second (Acceleration) |  |  |  | 
326 |  |  |  | Inches Per Second Per Second (Vibration Acceleration) |  |  |  | 
327 |  |  |  | Inches, Decimal--Actual |  |  |  | 
328 |  |  |  | Inches, Decimal--Average |  |  |  | 
329 |  |  |  | Inches, Decimal--Nominal |  |  |  | 
330 |  |  |  | Inches, Decimal-Minimum |  |  |  | 
331 |  |  |  | Inches, Fraction--Actual |  |  |  | 
332 |  |  |  | Inches, Fraction--Average |  |  |  | 
333 |  |  |  | Inches, Fraction--Minimum |  |  |  | 
334 |  |  |  | Inches, Fraction-Nominal |  |  |  | 
335 |  |  |  | Inhalation |  |  |  | 
336 |  |  |  | Inhaler |  |  |  | 
337 |  |  |  | Insurance Policy |  |  |  | 
338 |  |  |  | International Unit |  |  |  | 
339 |  |  |  | Jar |  |  |  | 
340 |  |  |  | Job |  |  |  | 
341 |  |  |  | Joint |  |  |  | 
342 |  |  |  | Joule Per Gram |  |  |  | 
343 |  |  |  | Joule Per Kelvin |  |  |  | 
344 |  |  |  | Joule Per Kilogram |  |  |  | 
345 |  |  |  | Joules |  |  |  | 
346 |  |  |  | Jug |  |  |  | 
347 |  |  |  | Jumbo |  |  |  | 
348 |  |  |  | Keg |  |  |  | 
349 |  |  |  | Kelvin |  |  |  | 
350 |  |  |  | Kilo Characters |  |  |  | 
351 |  |  |  | Kilo Pounds Per Square Inch (Ksi) |  |  |  | 
352 |  |  |  | Kilo Roentgen |  |  |  | 
353 |  |  |  | Kilobecquerel |  |  |  | 
354 |  |  |  | Kilobyte |  |  |  | 
355 |  |  |  | Kilocurie |  |  |  | 
356 |  |  |  | Kilogauss |  |  |  | 
357 |  |  |  | Kilogram |  |  |  | 
358 |  |  |  | Kilogram Per Square Centimeter |  |  |  | 
359 |  |  |  | Kilograms Decimal |  |  |  | 
360 |  |  |  | Kilograms Per Air Dry Metric Tons |  |  |  | 
361 |  |  |  | Kilograms Per Cubic Meter |  |  |  | 
362 |  |  |  | Kilograms Per Kilogram Of Product |  |  |  | 
363 |  |  |  | Kilograms Per Liter Of Product |  |  |  | 
364 |  |  |  | Kilograms Per Millimeter |  |  |  | 
365 |  |  |  | Kilograms Per Millimeter Squared (Kg/Mm2) |  |  |  | 
366 |  |  |  | Kilograms Per Piece Of Product |  |  |  | 
367 |  |  |  | Kilograms Per Square Meter |  |  |  | 
368 |  |  |  | Kilograms Per Square Meter, Kilograms, Decimal |  |  |  | 
369 |  |  |  | Kilograms/Meter |  |  |  | 
370 |  |  |  | Kilograms/Millimeter Width |  |  |  | 
371 |  |  |  | Kiloliter |  |  |  | 
372 |  |  |  | Kiloliter Per Hour |  |  |  | 
373 |  |  |  | Kilometers |  |  |  | 
374 |  |  |  | Kilometers Per Hour |  |  |  | 
375 |  |  |  | Kilopackets |  |  |  | 
376 |  |  |  | Kilopascal |  |  |  | 
377 |  |  |  | Kilopascal Square Meters Per Gram |  |  |  | 
378 |  |  |  | Kilopascals Per Millimeter |  |  |  | 
379 |  |  |  | Kilosegments |  |  |  | 
380 |  |  |  | Kilovolt |  |  |  | 
381 |  |  |  | Kilovolt Amperes |  |  |  | 
382 |  |  |  | Kilovolt Amperes Reactive |  |  |  | 
383 |  |  |  | Kilovolt Amperes Reactive Demand |  |  |  | 
384 |  |  |  | Kilovolt Amperes Reactive Hour |  |  |  | 
385 |  |  |  | Kilowatt |  |  |  | 
386 |  |  |  | Kilowatt Demand |  |  |  | 
387 |  |  |  | Kilowatt-Hour |  |  |  | 
388 |  |  |  | Kit |  |  |  | 
389 |  |  |  | Knots |  |  |  | 
390 |  |  |  | LOT |  |  |  | 
391 |  |  |  | Labor Hours |  |  |  | 
392 |  |  |  | Landings |  |  |  | 
393 |  |  |  | Large Spray |  |  |  | 
394 |  |  |  | Layer(S) |  |  |  | 
395 |  |  |  | Leaf |  |  |  | 
396 |  |  |  | Length |  |  |  | 
397 |  |  |  | Lifetime |  |  |  | 
398 |  |  |  | Lift Van |  |  |  | 
399 |  |  |  | Lifts |  |  |  | 
400 |  |  |  | Linear Centimeter |  |  |  | 
401 |  |  |  | Linear Foot |  |  |  | 
402 |  |  |  | Linear Inch |  |  |  | 
403 |  |  |  | Linear Meter |  |  |  | 
404 |  |  |  | Linear Yard |  |  |  | 
405 |  |  |  | Linear Yards Per Pound |  |  |  | 
406 |  |  |  | Link |  |  |  | 
407 |  |  |  | Liquid Pounds |  |  |  | 
408 |  |  |  | Lite |  |  |  | 
409 |  |  |  | Liter |  |  |  | 
410 |  |  |  | Liters Per Day |  |  |  | 
411 |  |  |  | Liters Per Day |  |  |  | 
412 |  |  |  | Liters Per Minute |  |  |  | 
413 |  |  |  | Liters at 15 Degrees Celsius |  |  |  | 
414 |  |  |  | Load |  |  |  | 
415 |  |  |  | Loaf |  |  |  | 
416 |  |  |  | Locations |  |  |  | 
417 |  |  |  | Locomotive Count |  |  |  | 
418 |  |  |  | Locomotive Mile |  |  |  | 
419 |  |  |  | Long Ton |  |  |  | 
420 |  |  |  | Lozenge |  |  |  | 
421 |  |  |  | Lug |  |  |  | 
422 |  |  |  | Lump Sum |  |  |  | 
423 |  |  |  | Machine/Unit |  |  |  | 
424 |  |  |  | Magnetic Tapes |  |  |  | 
425 |  |  |  | Manmonth |  |  |  | 
426 |  |  |  | Mass Pounds |  |  |  | 
427 |  |  |  | Mat |  |  |  | 
428 |  |  |  | Meal |  |  |  | 
429 |  |  |  | Mega Joule Per Kilogram |  |  |  | 
430 |  |  |  | Mega Pascals |  |  |  | 
431 |  |  |  | Megabecquerel |  |  |  | 
432 |  |  |  | Megabyte |  |  |  | 
433 |  |  |  | Megagram |  |  |  | 
434 |  |  |  | Megagrams Per Hour |  |  |  | 
435 |  |  |  | Megahertz |  |  |  | 
436 |  |  |  | Megajoule |  |  |  | 
437 |  |  |  | Megajoule/Cubic Meter |  |  |  | 
438 |  |  |  | Megawatt-Hour |  |  |  | 
439 |  |  |  | Mesh |  |  |  | 
440 |  |  |  | Message Hours |  |  |  | 
441 |  |  |  | Messages |  |  |  | 
442 |  |  |  | Meter |  |  |  | 
443 |  |  |  | Meters Per Minute |  |  |  | 
444 |  |  |  | Meters Per Second |  |  |  | 
445 |  |  |  | Meters Per Second Per Second |  |  |  | 
446 |  |  |  | Metric |  |  |  | 
447 |  |  |  | Metric Gross Ton |  |  |  | 
448 |  |  |  | Metric Long Ton |  |  |  | 
449 |  |  |  | Metric Net Ton |  |  |  | 
450 |  |  |  | Metric Ton |  |  |  | 
451 |  |  |  | Metric Ton Kilograms |  |  |  | 
452 |  |  |  | Mho |  |  |  | 
453 |  |  |  | Micro Curie |  |  |  | 
454 |  |  |  | Micro Inch |  |  |  | 
455 |  |  |  | Micro Mho |  |  |  | 
456 |  |  |  | Microfarad |  |  |  | 
457 |  |  |  | Microfiche Sheet |  |  |  | 
458 |  |  |  | Microgram |  |  |  | 
459 |  |  |  | Micrograms Per Cubic Meter |  |  |  | 
460 |  |  |  | Microliter |  |  |  | 
461 |  |  |  | Micrometer |  |  |  | 
462 |  |  |  | Micromolar |  |  |  | 
463 |  |  |  | Microns |  |  |  | 
464 |  |  |  | Mil |  |  |  | 
465 |  |  |  | Miles |  |  |  | 
466 |  |  |  | Miles Per Hour |  |  |  | 
467 |  |  |  | Millequivalence Caustic Potash Per Gram Of Product |  |  |  | 
468 |  |  |  | Milli Pascals |  |  |  | 
469 |  |  |  | Milliamperes |  |  |  | 
470 |  |  |  | Millibar |  |  |  | 
471 |  |  |  | Millicurie |  |  |  | 
472 |  |  |  | Milliequivalent |  |  |  | 
473 |  |  |  | Milligram |  |  |  | 
474 |  |  |  | Milligram Per Sq. Ft. Per Side |  |  |  | 
475 |  |  |  | Milligrams Per Hour |  |  |  | 
476 |  |  |  | Milligrams Per Kilogram |  |  |  | 
477 |  |  |  | Milligrams Per Liter |  |  |  | 
478 |  |  |  | Milligrams Per Square Inch |  |  |  | 
479 |  |  |  | Milligrams Per Square Meter |  |  |  | 
480 |  |  |  | Milliliter |  |  |  | 
481 |  |  |  | Milliliter Per Minute |  |  |  | 
482 |  |  |  | Milliliter Per Second |  |  |  | 
483 |  |  |  | Milliliters Of Water |  |  |  | 
484 |  |  |  | Milliliters Per Kilogram |  |  |  | 
485 |  |  |  | Milliliters Per Square Centimeter Second |  |  |  | 
486 |  |  |  | Millimeter |  |  |  | 
487 |  |  |  | Millimeter H20 |  |  |  | 
488 |  |  |  | Millimeter-Actual |  |  |  | 
489 |  |  |  | Millimeter-Average |  |  |  | 
490 |  |  |  | Millimeter-Minimum |  |  |  | 
491 |  |  |  | Millimeter-Nominal |  |  |  | 
492 |  |  |  | Millimeters Of Mercury |  |  |  | 
493 |  |  |  | Million British Thermal Units Per One Thousand Cubic Feet |  |  |  | 
494 |  |  |  | Million Cubic Feet |  |  |  | 
495 |  |  |  | Million Standard Cubic Feet (Mmscf)/Day |  |  |  | 
496 |  |  |  | Million Units |  |  |  | 
497 |  |  |  | Millions Of Dollars |  |  |  | 
498 |  |  |  | Milliroentgen |  |  |  | 
499 |  |  |  | Millivolts |  |  |  | 
500 |  |  |  | Minim |  |  |  | 
501 |  |  |  | Minutes |  |  |  | 
502 |  |  |  | Minutes Or Messages |  |  |  | 
503 |  |  |  | Mixed |  |  |  | 
504 |  |  |  | Mole (Mol) |  |  |  | 
505 |  |  |  | Monetary Value |  |  |  | 
506 |  |  |  | Months |  |  |  | 
507 |  |  |  | Mutually Defined |  |  |  | 
508 |  |  |  | Nautical Mile |  |  |  | 
509 |  |  |  | Net Barrels |  |  |  | 
510 |  |  |  | Net Gallons |  |  |  | 
511 |  |  |  | Net Imperial Gallons |  |  |  | 
512 |  |  |  | Net Kilograms |  |  |  | 
513 |  |  |  | Net Liters |  |  |  | 
514 |  |  |  | Net Ton (2,000 Lb). |  |  |  | 
515 |  |  |  | Newspaper Agate Line |  |  |  | 
516 |  |  |  | Newton |  |  |  | 
517 |  |  |  | Newton-Meter |  |  |  | 
518 |  |  |  | Newtons Per Meter |  |  |  | 
519 |  |  |  | Nights |  |  |  | 
520 |  |  |  | Nine Pack |  |  |  | 
521 |  |  |  | Number Of Lines |  |  |  | 
522 |  |  |  | Number Of Mults |  |  |  | 
523 |  |  |  | Number Of Screens |  |  |  | 
524 |  |  |  | Ocular Insert System |  |  |  | 
525 |  |  |  | Oersteds |  |  |  | 
526 |  |  |  | Ohm |  |  |  | 
527 |  |  |  | Operating Unit |  |  |  | 
528 |  |  |  | Ounce - Av |  |  |  | 
529 |  |  |  | Ounce Foot |  |  |  | 
530 |  |  |  | Ounce Inch |  |  |  | 
531 |  |  |  | Ounces Per Square Foot |  |  |  | 
532 |  |  |  | Ounces Per Square Foot Per 0.01 Inch |  |  |  | 
533 |  |  |  | Ounces Per Square Yard |  |  |  | 
534 |  |  |  | Outfit |  |  |  | 
535 |  |  |  | Outlet |  |  |  | 
536 |  |  |  | Overtime Hours |  |  |  | 
537 |  |  |  | Pack (Pak) |  |  |  | 
538 |  |  |  | Package |  |  |  | 
539 |  |  |  | Packet |  |  |  | 
540 |  |  |  | Pad |  |  |  | 
541 |  |  |  | Page |  |  |  | 
542 |  |  |  | Pages - Electronic |  |  |  | 
543 |  |  |  | Pages - Facsimile |  |  |  | 
544 |  |  |  | Pages - Hardcopy |  |  |  | 
545 |  |  |  | Pages Per Inch |  |  |  | 
546 |  |  |  | Pail |  |  |  | 
547 |  |  |  | Pair |  |  |  | 
548 |  |  |  | Pair Inches |  |  |  | 
549 |  |  |  | Pallet (Lift) |  |  |  | 
550 |  |  |  | Pallet/Unit Load |  |  |  | 
551 |  |  |  | Panel |  |  |  | 
552 |  |  |  | Parts |  |  |  | 
553 |  |  |  | Parts Per Billion |  |  |  | 
554 |  |  |  | Parts Per Million |  |  |  | 
555 |  |  |  | Parts Per Thousand |  |  |  | 
556 |  |  |  | Pascal |  |  |  | 
557 |  |  |  | Peck, Dry Imperial |  |  |  | 
558 |  |  |  | Peck, Dry U.S. |  |  |  | 
559 |  |  |  | Pellet |  |  |  | 
560 |  |  |  | Pen Calories |  |  |  | 
561 |  |  |  | Pen Grams (Protein) |  |  |  | 
562 |  |  |  | Pennyweight |  |  |  | 
563 |  |  |  | Percent |  |  |  | 
564 |  |  |  | Percent Per 1000 Hours |  |  |  | 
565 |  |  |  | Percent Topical Only |  |  |  | 
566 |  |  |  | Percent Volume |  |  |  | 
567 |  |  |  | Percent Weight |  |  |  | 
568 |  |  |  | Person |  |  |  | 
569 |  |  |  | Photographs |  |  |  | 
570 |  |  |  | Pica |  |  |  | 
571 |  |  |  | Pico Farad |  |  |  | 
572 |  |  |  | Piece |  |  |  | 
573 |  |  |  | Pillow |  |  |  | 
574 |  |  |  | Pint |  |  |  | 
575 |  |  |  | Pint (Us Dry) |  |  |  | 
576 |  |  |  | Pint, Imperial |  |  |  | 
577 |  |  |  | Pitch |  |  |  | 
578 |  |  |  | Plate |  |  |  | 
579 |  |  |  | Poise |  |  |  | 
580 |  |  |  | Portion |  |  |  | 
581 |  |  |  | Pouch |  |  |  | 
582 |  |  |  | Pound |  |  |  | 
583 |  |  |  | Pounds Equivalent |  |  |  | 
584 |  |  |  | Pounds Gross |  |  |  | 
585 |  |  |  | Pounds Net |  |  |  | 
586 |  |  |  | Pounds Per 1000 Square Feet |  |  |  | 
587 |  |  |  | Pounds Per Air-Dry Metric Ton |  |  |  | 
588 |  |  |  | Pounds Per Cubic Foot |  |  |  | 
589 |  |  |  | Pounds Per Cubic Inch |  |  |  | 
590 |  |  |  | Pounds Per Foot |  |  |  | 
591 |  |  |  | Pounds Per Gallon |  |  |  | 
592 |  |  |  | Pounds Per Hour |  |  |  | 
593 |  |  |  | Pounds Per Inch Of Length |  |  |  | 
594 |  |  |  | Pounds Per Inch Of Width |  |  |  | 
595 |  |  |  | Pounds Per Piece Of Product |  |  |  | 
596 |  |  |  | Pounds Per Pound Of Product |  |  |  | 
597 |  |  |  | Pounds Per Ream |  |  |  | 
598 |  |  |  | Pounds Per Sq. Ft. |  |  |  | 
599 |  |  |  | Pounds Per Sq. Inch |  |  |  | 
600 |  |  |  | Pounds Per Square Inch Absolute |  |  |  | 
601 |  |  |  | Pounds Per Square Inch Gauge |  |  |  | 
602 |  |  |  | Pounds Per Thousand |  |  |  | 
603 |  |  |  | Pounds, Decimal - Pounds Per Square Foot - Pound Gage |  |  |  | 
604 |  |  |  | Powder-Filled Vials |  |  |  | 
605 |  |  |  | Price Per Share |  |  |  | 
606 |  |  |  | Print Point |  |  |  | 
607 |  |  |  | Program |  |  |  | 
608 |  |  |  | Project |  |  |  | 
609 |  |  |  | Proof Gallon |  |  |  | 
610 |  |  |  | Pump |  |  |  | 
611 |  |  |  | Quart |  |  |  | 
612 |  |  |  | Quart, Dry U.S. |  |  |  | 
613 |  |  |  | Quart, Imperial |  |  |  | 
614 |  |  |  | Quarter |  |  |  | 
615 |  |  |  | Quarter (Time) |  |  |  | 
616 |  |  |  | Quarter Dozen |  |  |  | 
617 |  |  |  | Quarter Hours |  |  |  | 
618 |  |  |  | Quarter Kilogram |  |  |  | 
619 |  |  |  | Quarter Mile |  |  |  | 
620 |  |  |  | Quire |  |  |  | 
621 |  |  |  | Rack |  |  |  | 
622 |  |  |  | Radian |  |  |  | 
623 |  |  |  | Radians Per Second |  |  |  | 
624 |  |  |  | Radians Per Second Squared |  |  |  | 
625 |  |  |  | Ration |  |  |  | 
626 |  |  |  | Ream |  |  |  | 
627 |  |  |  | Ream-Metric Measure |  |  |  | 
628 |  |  |  | Reel |  |  |  | 
629 |  |  |  | Resets |  |  |  | 
630 |  |  |  | Revenue Ton Miles |  |  |  | 
631 |  |  |  | Revolutions Per Minute |  |  |  | 
632 |  |  |  | Ring |  |  |  | 
633 |  |  |  | Rod (Area) - 16.25 Square Yards |  |  |  | 
634 |  |  |  | Rod (Length) - 5.5 Yards |  |  |  | 
635 |  |  |  | Roentgen |  |  |  | 
636 |  |  |  | Roentgen Equivalent In Man (Rem) |  |  |  | 
637 |  |  |  | Roll |  |  |  | 
638 |  |  |  | Roll-Metric Measure |  |  |  | 
639 |  |  |  | Round |  |  |  | 
640 |  |  |  | Run |  |  |  | 
641 |  |  |  | Running Or Operating Hours |  |  |  | 
642 |  |  |  | Sack |  |  |  | 
643 |  |  |  | Sandwich |  |  |  | 
644 |  |  |  | Saybold Universal Second |  |  |  | 
645 |  |  |  | Season |  |  |  | 
646 |  |  |  | Seat |  |  |  | 
647 |  |  |  | Seconds |  |  |  | 
648 |  |  |  | Section |  |  |  | 
649 |  |  |  | Segment |  |  |  | 
650 |  |  |  | Seismic Level |  |  |  | 
651 |  |  |  | Seismic Line |  |  |  | 
652 |  |  |  | Semester |  |  |  | 
653 |  |  |  | Semiannual |  |  |  | 
654 |  |  |  | Session |  |  |  | 
655 |  |  |  | Sessions, Interactive |  |  |  | 
656 |  |  |  | Set |  |  |  | 
657 |  |  |  | Seven Pack |  |  |  | 
658 |  |  |  | Shares |  |  |  | 
659 |  |  |  | Sheet |  |  |  | 
660 |  |  |  | Sheet-Metric Measure |  |  |  | 
661 |  |  |  | Shelf Package |  |  |  | 
662 |  |  |  | Ship Set |  |  |  | 
663 |  |  |  | Shipment |  |  |  | 
664 |  |  |  | Short Ton |  |  |  | 
665 |  |  |  | Shot |  |  |  | 
666 |  |  |  | Siemens |  |  |  | 
667 |  |  |  | Sitas |  |  |  | 
668 |  |  |  | Six Pack |  |  |  | 
669 |  |  |  | Sixty-Fourths Of An Inch |  |  |  | 
670 |  |  |  | Sizing Factor |  |  |  | 
671 |  |  |  | Skein |  |  |  | 
672 |  |  |  | Skid |  |  |  | 
673 |  |  |  | Sleeve |  |  |  | 
674 |  |  |  | Slice |  |  |  | 
675 |  |  |  | Slip Sheet |  |  |  | 
676 |  |  |  | Small Spray |  |  |  | 
677 |  |  |  | Solid Pounds |  |  |  | 
678 |  |  |  | Split Tanktruck |  |  |  | 
679 |  |  |  | Spool |  |  |  | 
680 |  |  |  | Square |  |  |  | 
681 |  |  |  | Square Centimeter |  |  |  | 
682 |  |  |  | Square Decimeter |  |  |  | 
683 |  |  |  | Square Feet Per Second |  |  |  | 
684 |  |  |  | Square Foot |  |  |  | 
685 |  |  |  | Square Inch |  |  |  | 
686 |  |  |  | Square Kilometer |  |  |  | 
687 |  |  |  | Square Meter |  |  |  | 
688 |  |  |  | Square Meters Per Second |  |  |  | 
689 |  |  |  | Square Mile |  |  |  | 
690 |  |  |  | Square Millimeter |  |  |  | 
691 |  |  |  | Square Rod |  |  |  | 
692 |  |  |  | Square Yard |  |  |  | 
693 |  |  |  | Stage |  |  |  | 
694 |  |  |  | Standard Advertising Units (Saus) |  |  |  | 
695 |  |  |  | Standard Cubic Foot |  |  |  | 
696 |  |  |  | Statute Mile |  |  |  | 
697 |  |  |  | Stick |  |  |  | 
698 |  |  |  | Stokes |  |  |  | 
699 |  |  |  | Stop |  |  |  | 
700 |  |  |  | Storage Units |  |  |  | 
701 |  |  |  | Strand |  |  |  | 
702 |  |  |  | Strip |  |  |  | 
703 |  |  |  | Super Bulk Bag |  |  |  | 
704 |  |  |  | Suppository |  |  |  | 
705 |  |  |  | Syringe |  |  |  | 
706 |  |  |  | Tablespoon |  |  |  | 
707 |  |  |  | Tablet |  |  |  | 
708 |  |  |  | Tank |  |  |  | 
709 |  |  |  | Tank Car |  |  |  | 
710 |  |  |  | Tank Truck |  |  |  | 
711 |  |  |  | Task |  |  |  | 
712 |  |  |  | Teaspoon |  |  |  | 
713 |  |  |  | Telecommunications Lines In Service |  |  |  | 
714 |  |  |  | Telecommunications Lines In Service - Average |  |  |  | 
715 |  |  |  | Telecommunications Ports |  |  |  | 
716 |  |  |  | Ten |  |  |  | 
717 |  |  |  | Ten Square Feet |  |  |  | 
718 |  |  |  | Ten Square Yards |  |  |  | 
719 |  |  |  | Ten Thousand Yards |  |  |  | 
720 |  |  |  | Ten Yards |  |  |  | 
721 |  |  |  | Ten-Pack |  |  |  | 
722 |  |  |  | Tenth Cubic Foot |  |  |  | 
723 |  |  |  | Tenth Hours |  |  |  | 
724 |  |  |  | Tenth Minutes |  |  |  | 
725 |  |  |  | Test Specific Scale |  |  |  | 
726 |  |  |  | Theoretical Kilograms |  |  |  | 
727 |  |  |  | Theoretical Pounds |  |  |  | 
728 |  |  |  | Theoretical Tonnes |  |  |  | 
729 |  |  |  | Theoretical Tons |  |  |  | 
730 |  |  |  | Therms |  |  |  | 
731 |  |  |  | Thirty-Six |  |  |  | 
732 |  |  |  | Thousand |  |  |  | 
733 |  |  |  | Thousand Bags |  |  |  | 
734 |  |  |  | Thousand Casings |  |  |  | 
735 |  |  |  | Thousand Cubic Feet |  |  |  | 
736 |  |  |  | Thousand Cubic Feet Per Day |  |  |  | 
737 |  |  |  | Thousand Cubic Meters |  |  |  | 
738 |  |  |  | Thousand Feet |  |  |  | 
739 |  |  |  | Thousand Feet (Board) |  |  |  | 
740 |  |  |  | Thousand Feet (Linear) |  |  |  | 
741 |  |  |  | Thousand Gallons |  |  |  | 
742 |  |  |  | Thousand Gallons Per Day |  |  |  | 
743 |  |  |  | Thousand Impressions |  |  |  | 
744 |  |  |  | Thousand Kilograms |  |  |  | 
745 |  |  |  | Thousand Kilowatt Hours |  |  |  | 
746 |  |  |  | Thousand Linear Inches |  |  |  | 
747 |  |  |  | Thousand Linear Meters |  |  |  | 
748 |  |  |  | Thousand Linear Yards |  |  |  | 
749 |  |  |  | Thousand Pieces |  |  |  | 
750 |  |  |  | Thousand Pounds Gross |  |  |  | 
751 |  |  |  | Thousand Rounds |  |  |  | 
752 |  |  |  | Thousand Sheets |  |  |  | 
753 |  |  |  | Thousand Sq. Centimeters |  |  |  | 
754 |  |  |  | Thousand Square Feet |  |  |  | 
755 |  |  |  | Thousand Square Inches |  |  |  | 
756 |  |  |  | Thousands Of Dollars |  |  |  | 
757 |  |  |  | Thousandths of an Inch |  |  |  | 
758 |  |  |  | Three Pack |  |  |  | 
759 |  |  |  | Tire |  |  |  | 
760 |  |  |  | Ton Miles |  |  |  | 
761 |  |  |  | Ton Per Hour |  |  |  | 
762 |  |  |  | Torr |  |  |  | 
763 |  |  |  | Total Car Count |  |  |  | 
764 |  |  |  | Total Car Mile |  |  |  | 
765 |  |  |  | Tote |  |  |  | 
766 |  |  |  | Track Foot |  |  |  | 
767 |  |  |  | Trailer |  |  |  | 
768 |  |  |  | Train |  |  |  | 
769 |  |  |  | Train Mile |  |  |  | 
770 |  |  |  | Transactions |  |  |  | 
771 |  |  |  | Transdermal Patch |  |  |  | 
772 |  |  |  | Tray |  |  |  | 
773 |  |  |  | Treatments |  |  |  | 
774 |  |  |  | Trimester |  |  |  | 
775 |  |  |  | Troche |  |  |  | 
776 |  |  |  | Troy Ounce |  |  |  | 
777 |  |  |  | Troy Pound |  |  |  | 
778 |  |  |  | Truck Load |  |  |  | 
779 |  |  |  | Tub |  |  |  | 
780 |  |  |  | Tube |  |  |  | 
781 |  |  |  | Twenty |  |  |  | 
782 |  |  |  | Twenty-Five |  |  |  | 
783 |  |  |  | Twenty-Four |  |  |  | 
784 |  |  |  | Two Hundred Fifty |  |  |  | 
785 |  |  |  | Two Pack |  |  |  | 
786 |  |  |  | U.S. Gallons Per Minute |  |  |  | 
787 |  |  |  | Unit |  |  |  | 
788 |  |  |  | United States Gallons At 60 Degrees Fahrenheit |  |  |  | 
789 |  |  |  | United States Pharmacopoeia Usp Unit |  |  |  | 
790 |  |  |  | Unitless |  |  |  | 
791 |  |  |  | Usage</f>
        <v/>
      </c>
      <c r="D5" s="11" t="inlineStr">
        <is>
          <t>ADMINISTRATIVE</t>
        </is>
      </c>
      <c r="E5" s="11" t="inlineStr">
        <is>
          <t>A</t>
        </is>
      </c>
      <c r="F5" s="11" t="inlineStr">
        <is>
          <t>Desirable</t>
        </is>
      </c>
      <c r="G5" s="11" t="n">
        <v>1</v>
      </c>
      <c r="H5" s="11" t="inlineStr"/>
      <c r="I5" s="11" t="inlineStr"/>
    </row>
    <row r="6">
      <c r="A6" s="11" t="inlineStr">
        <is>
          <t>TW-A-0005</t>
        </is>
      </c>
      <c r="B6" s="11" t="inlineStr">
        <is>
          <t>A</t>
        </is>
      </c>
      <c r="C6" s="12" t="inlineStr">
        <is>
          <t>Offeror shall describe how the past performance references are relevant including details about how it is similar in scope and complexity to this solicitation’s SOW/PWS.</t>
        </is>
      </c>
      <c r="D6" s="11" t="inlineStr">
        <is>
          <t>ADMINISTRATIVE</t>
        </is>
      </c>
      <c r="E6" s="11" t="inlineStr">
        <is>
          <t>A</t>
        </is>
      </c>
      <c r="F6" s="11" t="inlineStr">
        <is>
          <t>Mandatory</t>
        </is>
      </c>
      <c r="G6" s="11" t="n">
        <v>1</v>
      </c>
      <c r="H6" s="11" t="inlineStr"/>
      <c r="I6" s="11" t="inlineStr"/>
    </row>
    <row r="7">
      <c r="A7" s="11" t="inlineStr">
        <is>
          <t>TW-A-0006</t>
        </is>
      </c>
      <c r="B7" s="11" t="inlineStr">
        <is>
          <t>A</t>
        </is>
      </c>
      <c r="C7" s="12" t="inlineStr">
        <is>
          <t>Category. The Offeror shall propose the Level of Effort provided below. Offeror’s</t>
        </is>
      </c>
      <c r="D7" s="11" t="inlineStr">
        <is>
          <t>ADMINISTRATIVE</t>
        </is>
      </c>
      <c r="E7" s="11" t="inlineStr">
        <is>
          <t>A</t>
        </is>
      </c>
      <c r="F7" s="11" t="inlineStr">
        <is>
          <t>Mandatory</t>
        </is>
      </c>
      <c r="G7" s="11" t="n">
        <v>1</v>
      </c>
      <c r="H7" s="11" t="inlineStr"/>
      <c r="I7" s="11" t="inlineStr"/>
    </row>
    <row r="8">
      <c r="A8" s="11" t="inlineStr">
        <is>
          <t>TW-A-0007</t>
        </is>
      </c>
      <c r="B8" s="11" t="inlineStr">
        <is>
          <t>A</t>
        </is>
      </c>
      <c r="C8" s="12" t="inlineStr">
        <is>
          <t>proposals may not deviate from the total number of hours included in Section B (with the exception of “Management and Support” hours as addressed in paragraph (3)).</t>
        </is>
      </c>
      <c r="D8" s="11" t="inlineStr">
        <is>
          <t>ADMINISTRATIVE</t>
        </is>
      </c>
      <c r="E8" s="11" t="inlineStr">
        <is>
          <t>A</t>
        </is>
      </c>
      <c r="F8" s="11" t="inlineStr">
        <is>
          <t>Desirable</t>
        </is>
      </c>
      <c r="G8" s="11" t="n">
        <v>1</v>
      </c>
      <c r="H8" s="11" t="inlineStr"/>
      <c r="I8" s="11" t="inlineStr">
        <is>
          <t>Section B</t>
        </is>
      </c>
    </row>
    <row r="9">
      <c r="A9" s="11" t="inlineStr">
        <is>
          <t>TW-A-0008</t>
        </is>
      </c>
      <c r="B9" s="11" t="inlineStr">
        <is>
          <t>A</t>
        </is>
      </c>
      <c r="C9" s="12" t="inlineStr">
        <is>
          <t>For proposal purposes, Offerors should assume that all of the support will be provided in accordance with the requirements as outlined in Section C of the solicitation.</t>
        </is>
      </c>
      <c r="D9" s="11" t="inlineStr">
        <is>
          <t>ADMINISTRATIVE</t>
        </is>
      </c>
      <c r="E9" s="11" t="inlineStr">
        <is>
          <t>A</t>
        </is>
      </c>
      <c r="F9" s="11" t="inlineStr">
        <is>
          <t>Highly Desirable</t>
        </is>
      </c>
      <c r="G9" s="11" t="n">
        <v>1</v>
      </c>
      <c r="H9" s="11" t="inlineStr"/>
      <c r="I9" s="11" t="inlineStr">
        <is>
          <t>Section C</t>
        </is>
      </c>
    </row>
    <row r="10">
      <c r="A10" s="11" t="inlineStr">
        <is>
          <t>TW-A-0009</t>
        </is>
      </c>
      <c r="B10" s="11" t="inlineStr">
        <is>
          <t>A</t>
        </is>
      </c>
      <c r="C10" s="12" t="inlineStr">
        <is>
          <t>To perform the requirements of the Statement of Work (SOW), the Government requires Personnel with the appropriate experience and professional qualifications. Key Personnel qualification levels are considered to be desired, unless otherwise stated, for those individuals whose resumes are submitted for evaluation with the proposal. All individuals performing under the Key Personnel labor categories are considered Key. Resumes for any replacement of Key Personnel that are submitted following award shall have qualifications considered to be equal to or higher than the qualifications of the person to be replaced, as required by the clause entitled C- 237-H002 - Substitution of Key Personnel. Following award, the qualification levels for Key Personnel are considered to be minimums for any growth beyond those individuals initially proposed. Non-Key Personnel are the personnel proposed to provide hours in labor categories that are not identified as Key and the qualification levels are minimums.</t>
        </is>
      </c>
      <c r="D10" s="11" t="inlineStr">
        <is>
          <t>ADMINISTRATIVE</t>
        </is>
      </c>
      <c r="E10" s="11" t="inlineStr">
        <is>
          <t>A</t>
        </is>
      </c>
      <c r="F10" s="11" t="inlineStr">
        <is>
          <t>Mandatory</t>
        </is>
      </c>
      <c r="G10" s="11" t="n">
        <v>1</v>
      </c>
      <c r="H10" s="11" t="inlineStr"/>
      <c r="I10" s="11" t="inlineStr"/>
    </row>
    <row r="11">
      <c r="A11" s="11" t="inlineStr">
        <is>
          <t>TW-A-0010</t>
        </is>
      </c>
      <c r="B11" s="11" t="inlineStr">
        <is>
          <t>A</t>
        </is>
      </c>
      <c r="C11" s="12" t="inlineStr">
        <is>
          <t>Experience – The desired experience for each Labor Category must be directly related to the tasks requirements listed in the SOW.</t>
        </is>
      </c>
      <c r="D11" s="11" t="inlineStr">
        <is>
          <t>ADMINISTRATIVE</t>
        </is>
      </c>
      <c r="E11" s="11" t="inlineStr">
        <is>
          <t>A</t>
        </is>
      </c>
      <c r="F11" s="11" t="inlineStr">
        <is>
          <t>Mandatory</t>
        </is>
      </c>
      <c r="G11" s="11" t="n">
        <v>1</v>
      </c>
      <c r="H11" s="11" t="inlineStr"/>
      <c r="I11" s="11" t="inlineStr"/>
    </row>
    <row r="12">
      <c r="A12" s="11" t="inlineStr">
        <is>
          <t>TW-A-0011</t>
        </is>
      </c>
      <c r="B12" s="11" t="inlineStr">
        <is>
          <t>A</t>
        </is>
      </c>
      <c r="C12" s="12" t="inlineStr">
        <is>
          <t>Accumulation of Qualifying Experience – Categories of experience may be accumulated concurrently.</t>
        </is>
      </c>
      <c r="D12" s="11" t="inlineStr">
        <is>
          <t>ADMINISTRATIVE</t>
        </is>
      </c>
      <c r="E12" s="11" t="inlineStr">
        <is>
          <t>A</t>
        </is>
      </c>
      <c r="F12" s="11" t="inlineStr">
        <is>
          <t>Desirable</t>
        </is>
      </c>
      <c r="G12" s="11" t="n">
        <v>1</v>
      </c>
      <c r="H12" s="11" t="inlineStr"/>
      <c r="I12" s="11" t="inlineStr"/>
    </row>
    <row r="13">
      <c r="A13" s="11" t="inlineStr">
        <is>
          <t>TW-A-0012</t>
        </is>
      </c>
      <c r="B13" s="11" t="inlineStr">
        <is>
          <t>A</t>
        </is>
      </c>
      <c r="C13" s="12" t="inlineStr">
        <is>
          <t>Ten (10) years of professional management experience, with at least five (5) years in DoD or Navy IT systems. Experience should include administrative oversight handling of contractual matters, corporate management, and ability to provide overall technical, schedule, cost direction while serving as a liaison between the government representative and the COR. Must be knowledgeable of DoD contractual processes.</t>
        </is>
      </c>
      <c r="D13" s="11" t="inlineStr">
        <is>
          <t>ADMINISTRATIVE</t>
        </is>
      </c>
      <c r="E13" s="11" t="inlineStr">
        <is>
          <t>A</t>
        </is>
      </c>
      <c r="F13" s="11" t="inlineStr">
        <is>
          <t>Mandatory</t>
        </is>
      </c>
      <c r="G13" s="11" t="n">
        <v>1</v>
      </c>
      <c r="H13" s="11" t="inlineStr"/>
      <c r="I13" s="11" t="inlineStr"/>
    </row>
    <row r="14">
      <c r="A14" s="11" t="inlineStr">
        <is>
          <t>TW-A-0013</t>
        </is>
      </c>
      <c r="B14" s="11" t="inlineStr">
        <is>
          <t>A</t>
        </is>
      </c>
      <c r="C14" s="12" t="inlineStr">
        <is>
          <t>Six (6) years of professional experience in Industry, Federal or DoD Help Desk Support using a help desk tool such as BMC’s Remedy or ServiceNow. This position is required to be designated as IAT III level with a T3.</t>
        </is>
      </c>
      <c r="D14" s="11" t="inlineStr">
        <is>
          <t>ADMINISTRATIVE</t>
        </is>
      </c>
      <c r="E14" s="11" t="inlineStr">
        <is>
          <t>A</t>
        </is>
      </c>
      <c r="F14" s="11" t="inlineStr">
        <is>
          <t>Mandatory</t>
        </is>
      </c>
      <c r="G14" s="11" t="n">
        <v>1</v>
      </c>
      <c r="H14" s="11" t="inlineStr"/>
      <c r="I14" s="11" t="inlineStr"/>
    </row>
    <row r="15">
      <c r="A15" s="11" t="inlineStr">
        <is>
          <t>TW-A-0014</t>
        </is>
      </c>
      <c r="B15" s="11" t="inlineStr">
        <is>
          <t>A</t>
        </is>
      </c>
      <c r="C15" s="12" t="inlineStr">
        <is>
          <t>Six (6) years of professional experience in Unix and/or Linux system administration of networks and software systems. Experience in system backup and recovery; basic software management; security management and library management; installation and configuration of hardware; operational systems and COTS software; operating computer systems in different operating environments; and sizing, performance, tuning, hardware/software/network trouble shooting and resource allocation. Qualified experience in different network protocols including TCP/IP and major network security tools such as: firewalls, knowledge of computing and networking vulnerabilities, attach methods and latest detection methods. This position is required to be designated as IAT III level with a T5.</t>
        </is>
      </c>
      <c r="D15" s="11" t="inlineStr">
        <is>
          <t>ADMINISTRATIVE</t>
        </is>
      </c>
      <c r="E15" s="11" t="inlineStr">
        <is>
          <t>A</t>
        </is>
      </c>
      <c r="F15" s="11" t="inlineStr">
        <is>
          <t>Mandatory</t>
        </is>
      </c>
      <c r="G15" s="11" t="n">
        <v>1</v>
      </c>
      <c r="H15" s="11" t="inlineStr"/>
      <c r="I15" s="11" t="inlineStr"/>
    </row>
    <row r="16">
      <c r="A16" s="11" t="inlineStr">
        <is>
          <t>TW-A-0015</t>
        </is>
      </c>
      <c r="B16" s="11" t="inlineStr">
        <is>
          <t>A</t>
        </is>
      </c>
      <c r="C16" s="12" t="inlineStr">
        <is>
          <t>M’s System Architect. This position is required to be designated as IAT III level with a T3.</t>
        </is>
      </c>
      <c r="D16" s="11" t="inlineStr">
        <is>
          <t>ADMINISTRATIVE</t>
        </is>
      </c>
      <c r="E16" s="11" t="inlineStr">
        <is>
          <t>A</t>
        </is>
      </c>
      <c r="F16" s="11" t="inlineStr">
        <is>
          <t>Mandatory</t>
        </is>
      </c>
      <c r="G16" s="11" t="n">
        <v>1</v>
      </c>
      <c r="H16" s="11" t="inlineStr"/>
      <c r="I16" s="11" t="inlineStr"/>
    </row>
    <row r="17">
      <c r="A17" s="11" t="inlineStr">
        <is>
          <t>TW-A-0016</t>
        </is>
      </c>
      <c r="B17" s="11" t="inlineStr">
        <is>
          <t>A</t>
        </is>
      </c>
      <c r="C17" s="12" t="inlineStr">
        <is>
          <t>Six (6) years of professional experience in relation to IT security with the DoD or Navy. Experience with vulnerability analysis, risk analysis, SCAP scans, DISA Security Technical Implementation Guide (STIG) implementation, scanning for viruses and other software that is detrimental. Qualified experience in accreditation of systems and audits. onducts and leads TEMPEST testing using approved test plan, the production test procedures and the current National TEMPEST Standard.. This position is required to be designated as IAT III level with a T5.</t>
        </is>
      </c>
      <c r="D17" s="11" t="inlineStr">
        <is>
          <t>ADMINISTRATIVE</t>
        </is>
      </c>
      <c r="E17" s="11" t="inlineStr">
        <is>
          <t>A</t>
        </is>
      </c>
      <c r="F17" s="11" t="inlineStr">
        <is>
          <t>Mandatory</t>
        </is>
      </c>
      <c r="G17" s="11" t="n">
        <v>1</v>
      </c>
      <c r="H17" s="11" t="inlineStr"/>
      <c r="I17" s="11" t="inlineStr"/>
    </row>
    <row r="18">
      <c r="A18" s="11" t="inlineStr">
        <is>
          <t>TW-A-0017</t>
        </is>
      </c>
      <c r="B18" s="11" t="inlineStr">
        <is>
          <t>A</t>
        </is>
      </c>
      <c r="C18" s="12" t="inlineStr">
        <is>
          <t>Two (2) years of professional experience in Industry, Federal or DoD Help Desk Support using a help desk tool such as BMC’s Remedy and ServiceNow. This position is required to be designated as IAT II level with a T3.</t>
        </is>
      </c>
      <c r="D18" s="11" t="inlineStr">
        <is>
          <t>ADMINISTRATIVE</t>
        </is>
      </c>
      <c r="E18" s="11" t="inlineStr">
        <is>
          <t>A</t>
        </is>
      </c>
      <c r="F18" s="11" t="inlineStr">
        <is>
          <t>Mandatory</t>
        </is>
      </c>
      <c r="G18" s="11" t="n">
        <v>1</v>
      </c>
      <c r="H18" s="11" t="inlineStr"/>
      <c r="I18" s="11" t="inlineStr"/>
    </row>
    <row r="19">
      <c r="A19" s="11" t="inlineStr">
        <is>
          <t>TW-A-0018</t>
        </is>
      </c>
      <c r="B19" s="11" t="inlineStr">
        <is>
          <t>A</t>
        </is>
      </c>
      <c r="C19" s="12" t="inlineStr">
        <is>
          <t>Two (2) years of professional experience in customer service and interpersonal communications. Qualified experience in technical telephone inquiries and on-site support to employees regarding technical aspects of NEN assigned products. This position is required to be designated as IAT II level with a T3.</t>
        </is>
      </c>
      <c r="D19" s="11" t="inlineStr">
        <is>
          <t>ADMINISTRATIVE</t>
        </is>
      </c>
      <c r="E19" s="11" t="inlineStr">
        <is>
          <t>A</t>
        </is>
      </c>
      <c r="F19" s="11" t="inlineStr">
        <is>
          <t>Mandatory</t>
        </is>
      </c>
      <c r="G19" s="11" t="n">
        <v>1</v>
      </c>
      <c r="H19" s="11" t="inlineStr"/>
      <c r="I19" s="11" t="inlineStr"/>
    </row>
    <row r="20">
      <c r="A20" s="11" t="inlineStr">
        <is>
          <t>TW-A-0019</t>
        </is>
      </c>
      <c r="B20" s="11" t="inlineStr">
        <is>
          <t>A</t>
        </is>
      </c>
      <c r="C20" s="12" t="inlineStr">
        <is>
          <t>Two (2) years of professional experience in relation to the Department of the Navy Applications and Database Management System (DADMS), Navy Information Dominance Approval System (NAV-IDAS), and the Information Technology Purchasing Request Process (ITPR). Experience working with Functional Area Managers (FAMs) in researching the status of software applications in DADMS, along with managing site software portfolios, inputting new applications into DADMS, and working with site Subject Matter Experts (SMEs) in understanding their software requirements. This position is required to be designated as IAT II level with a T3.</t>
        </is>
      </c>
      <c r="D20" s="11" t="inlineStr">
        <is>
          <t>ADMINISTRATIVE</t>
        </is>
      </c>
      <c r="E20" s="11" t="inlineStr">
        <is>
          <t>A</t>
        </is>
      </c>
      <c r="F20" s="11" t="inlineStr">
        <is>
          <t>Mandatory</t>
        </is>
      </c>
      <c r="G20" s="11" t="n">
        <v>1</v>
      </c>
      <c r="H20" s="11" t="inlineStr"/>
      <c r="I20" s="11" t="inlineStr"/>
    </row>
    <row r="21">
      <c r="A21" s="11" t="inlineStr">
        <is>
          <t>TW-A-0020</t>
        </is>
      </c>
      <c r="B21" s="11" t="inlineStr">
        <is>
          <t>A</t>
        </is>
      </c>
      <c r="C21" s="12" t="inlineStr">
        <is>
          <t>acquiring vendor quotes, and preparing, submitting, monitoring IT Purchase Requests via Navy Information Technology Approval System (NAV-ITAS). This position is required to be designated as IAM II level with a T3.</t>
        </is>
      </c>
      <c r="D21" s="11" t="inlineStr">
        <is>
          <t>ADMINISTRATIVE</t>
        </is>
      </c>
      <c r="E21" s="11" t="inlineStr">
        <is>
          <t>A</t>
        </is>
      </c>
      <c r="F21" s="11" t="inlineStr">
        <is>
          <t>Mandatory</t>
        </is>
      </c>
      <c r="G21" s="11" t="n">
        <v>1</v>
      </c>
      <c r="H21" s="11" t="inlineStr"/>
      <c r="I21" s="11" t="inlineStr"/>
    </row>
    <row r="22">
      <c r="A22" s="11" t="inlineStr">
        <is>
          <t>TW-A-0021</t>
        </is>
      </c>
      <c r="B22" s="11" t="inlineStr">
        <is>
          <t>A</t>
        </is>
      </c>
      <c r="C22" s="12" t="inlineStr">
        <is>
          <t>Four (4) years of professional experience in NEN programs in relation to ordering, seat refresh, and day-to-day troubleshooting of AMCI administrative issues. This position is required to be designated as IAT II level with a T3.</t>
        </is>
      </c>
      <c r="D22" s="11" t="inlineStr">
        <is>
          <t>ADMINISTRATIVE</t>
        </is>
      </c>
      <c r="E22" s="11" t="inlineStr">
        <is>
          <t>A</t>
        </is>
      </c>
      <c r="F22" s="11" t="inlineStr">
        <is>
          <t>Mandatory</t>
        </is>
      </c>
      <c r="G22" s="11" t="n">
        <v>1</v>
      </c>
      <c r="H22" s="11" t="inlineStr"/>
      <c r="I22" s="11" t="inlineStr"/>
    </row>
    <row r="23">
      <c r="A23" s="11" t="inlineStr">
        <is>
          <t>TW-A-0022</t>
        </is>
      </c>
      <c r="B23" s="11" t="inlineStr">
        <is>
          <t>A</t>
        </is>
      </c>
      <c r="C23" s="12" t="inlineStr">
        <is>
          <t>Three (3) years of professional experience in Unix and/or Linux system administration of networks and software systems. Experience in system backup and recovery; basic software management; security management and library management; installation and configuration of hardware; operational systems and COTS software; operating computer systems in different operating environments; and sizing, performance, tuning, hardware/software/network trouble shooting and resource allocation. Qualified experience in different network protocols including TCP/IP and major network security tools such as: firewalls, knowledge of computing and networking vulnerabilities, attach methods and latest detection methods. This position is required to be designated as IAT II level with a T5.</t>
        </is>
      </c>
      <c r="D23" s="11" t="inlineStr">
        <is>
          <t>ADMINISTRATIVE</t>
        </is>
      </c>
      <c r="E23" s="11" t="inlineStr">
        <is>
          <t>A</t>
        </is>
      </c>
      <c r="F23" s="11" t="inlineStr">
        <is>
          <t>Mandatory</t>
        </is>
      </c>
      <c r="G23" s="11" t="n">
        <v>1</v>
      </c>
      <c r="H23" s="11" t="inlineStr"/>
      <c r="I23" s="11" t="inlineStr"/>
    </row>
    <row r="24">
      <c r="A24" s="11" t="inlineStr">
        <is>
          <t>TW-A-0023</t>
        </is>
      </c>
      <c r="B24" s="11" t="inlineStr">
        <is>
          <t>A</t>
        </is>
      </c>
      <c r="C24" s="12" t="inlineStr">
        <is>
          <t>Three (3) years of professional experience in relation to Windows system administration of networks and software systems. Experience in system backup/recovery, basic software management, security and library management, installation and configuration of hardware, operating systems and COTS software, operating computer systems in different operating environments, sizing, performance, tuning, hardware/software /network trouble shooting and resource allocation. Experience in maintaining proficiency on major network security tools such as, firewalls. Experience developing system specifications and performing market research procurement tasks. Qualified experience with different network protocols including TCP/IP. Qualified experience of computing and networking vulnerabilities, and attach and latest detect methods. This position is required to be designated as IAT II level with a T5 investigation.</t>
        </is>
      </c>
      <c r="D24" s="11" t="inlineStr">
        <is>
          <t>ADMINISTRATIVE</t>
        </is>
      </c>
      <c r="E24" s="11" t="inlineStr">
        <is>
          <t>A</t>
        </is>
      </c>
      <c r="F24" s="11" t="inlineStr">
        <is>
          <t>Mandatory</t>
        </is>
      </c>
      <c r="G24" s="11" t="n">
        <v>1</v>
      </c>
      <c r="H24" s="11" t="inlineStr"/>
      <c r="I24" s="11" t="inlineStr"/>
    </row>
    <row r="25">
      <c r="A25" s="11" t="inlineStr">
        <is>
          <t>TW-A-0024</t>
        </is>
      </c>
      <c r="B25" s="11" t="inlineStr">
        <is>
          <t>A</t>
        </is>
      </c>
      <c r="C25" s="12" t="inlineStr">
        <is>
          <t>Four (4) years of professional experience in relational databases and operating as a Database Administrator (DBA). Experience in relational Database Management Systems (DBMS) design, schema design, database hardware and software design, query languages, and performance tuning of database systems. This position is required to be designated as IAT II level with a T3 (for non-enterprise DBA) or T5 (for enterprise DBA).</t>
        </is>
      </c>
      <c r="D25" s="11" t="inlineStr">
        <is>
          <t>ADMINISTRATIVE</t>
        </is>
      </c>
      <c r="E25" s="11" t="inlineStr">
        <is>
          <t>A</t>
        </is>
      </c>
      <c r="F25" s="11" t="inlineStr">
        <is>
          <t>Mandatory</t>
        </is>
      </c>
      <c r="G25" s="11" t="n">
        <v>1</v>
      </c>
      <c r="H25" s="11" t="inlineStr"/>
      <c r="I25" s="11" t="inlineStr"/>
    </row>
    <row r="26">
      <c r="A26" s="11" t="inlineStr">
        <is>
          <t>TW-A-0025</t>
        </is>
      </c>
      <c r="B26" s="11" t="inlineStr">
        <is>
          <t>A</t>
        </is>
      </c>
      <c r="C26" s="12" t="inlineStr">
        <is>
          <t>elation to using various programming languages to develop websites and network systems, maintaining databases, developing new user interfaces and designing and debugging website. Qualified experience in HTML, JavaScript, CSS and C++ programming language and experience in SharePoint. This position is required to be designated as IAT II level with a T3.</t>
        </is>
      </c>
      <c r="D26" s="11" t="inlineStr">
        <is>
          <t>ADMINISTRATIVE</t>
        </is>
      </c>
      <c r="E26" s="11" t="inlineStr">
        <is>
          <t>A</t>
        </is>
      </c>
      <c r="F26" s="11" t="inlineStr">
        <is>
          <t>Mandatory</t>
        </is>
      </c>
      <c r="G26" s="11" t="n">
        <v>1</v>
      </c>
      <c r="H26" s="11" t="inlineStr"/>
      <c r="I26" s="11" t="inlineStr"/>
    </row>
    <row r="27">
      <c r="A27" s="11" t="inlineStr">
        <is>
          <t>TW-A-0026</t>
        </is>
      </c>
      <c r="B27" s="11" t="inlineStr">
        <is>
          <t>A</t>
        </is>
      </c>
      <c r="C27" s="12" t="inlineStr">
        <is>
          <t>Four (4) years of professional experience in relation to IT security with the DoD or Navy. Experience with vulnerability analysis, risk analysis, scanning for viruses and other software that is detrimental. Qualified experience in accreditation of systems and audits. This position is required to be designated as IAT II level with a T3.</t>
        </is>
      </c>
      <c r="D27" s="11" t="inlineStr">
        <is>
          <t>ADMINISTRATIVE</t>
        </is>
      </c>
      <c r="E27" s="11" t="inlineStr">
        <is>
          <t>A</t>
        </is>
      </c>
      <c r="F27" s="11" t="inlineStr">
        <is>
          <t>Mandatory</t>
        </is>
      </c>
      <c r="G27" s="11" t="n">
        <v>1</v>
      </c>
      <c r="H27" s="11" t="inlineStr"/>
      <c r="I27" s="11" t="inlineStr"/>
    </row>
    <row r="28">
      <c r="A28" s="11" t="inlineStr">
        <is>
          <t>TW-A-0027</t>
        </is>
      </c>
      <c r="B28" s="11" t="inlineStr">
        <is>
          <t>A</t>
        </is>
      </c>
      <c r="C28" s="12" t="inlineStr">
        <is>
          <t>Four (4) years of professional experience with managing and migrating unstructured data (e.g. Komprise). This position is required to be designated as IAT II level with a T3.</t>
        </is>
      </c>
      <c r="D28" s="11" t="inlineStr">
        <is>
          <t>ADMINISTRATIVE</t>
        </is>
      </c>
      <c r="E28" s="11" t="inlineStr">
        <is>
          <t>A</t>
        </is>
      </c>
      <c r="F28" s="11" t="inlineStr">
        <is>
          <t>Mandatory</t>
        </is>
      </c>
      <c r="G28" s="11" t="n">
        <v>1</v>
      </c>
      <c r="H28" s="11" t="inlineStr"/>
      <c r="I28" s="11" t="inlineStr"/>
    </row>
    <row r="29">
      <c r="A29" s="11" t="inlineStr">
        <is>
          <t>TW-A-0028</t>
        </is>
      </c>
      <c r="B29" s="11" t="inlineStr">
        <is>
          <t>A</t>
        </is>
      </c>
      <c r="C29" s="12" t="inlineStr">
        <is>
          <t>Two (2) years of professional experience in relation to developing and maintaining documentation and or data management systems. Qualifying experience in a Windows environment, Microsoft Office (Excel and Word). This position is required to be designated as IAT II level with a T3.</t>
        </is>
      </c>
      <c r="D29" s="11" t="inlineStr">
        <is>
          <t>ADMINISTRATIVE</t>
        </is>
      </c>
      <c r="E29" s="11" t="inlineStr">
        <is>
          <t>A</t>
        </is>
      </c>
      <c r="F29" s="11" t="inlineStr">
        <is>
          <t>Mandatory</t>
        </is>
      </c>
      <c r="G29" s="11" t="n">
        <v>1</v>
      </c>
      <c r="H29" s="11" t="inlineStr"/>
      <c r="I29" s="11" t="inlineStr"/>
    </row>
    <row r="30">
      <c r="A30" s="11" t="inlineStr">
        <is>
          <t>TW-A-0029</t>
        </is>
      </c>
      <c r="B30" s="11" t="inlineStr">
        <is>
          <t>A</t>
        </is>
      </c>
      <c r="C30" s="12" t="inlineStr">
        <is>
          <t>applying software functions necessary to prepare complex and detailed documents utilizing the Microsoft (MS) Office suite of products and providing management support. Experience in processing complex and lengthy technical reports that include tables, graphs, charts, or multiple columns, participating in Technical Progress and Design Reviews and program technical meetings, and providing status and inputs to technical reports, white papers and meetings. This position is required to be designated as IAT II level with a T3.</t>
        </is>
      </c>
      <c r="D30" s="11" t="inlineStr">
        <is>
          <t>ADMINISTRATIVE</t>
        </is>
      </c>
      <c r="E30" s="11" t="inlineStr">
        <is>
          <t>A</t>
        </is>
      </c>
      <c r="F30" s="11" t="inlineStr">
        <is>
          <t>Mandatory</t>
        </is>
      </c>
      <c r="G30" s="11" t="n">
        <v>1</v>
      </c>
      <c r="H30" s="11" t="inlineStr"/>
      <c r="I30" s="11" t="inlineStr"/>
    </row>
    <row r="31">
      <c r="A31" s="11" t="inlineStr">
        <is>
          <t>TW-A-0030</t>
        </is>
      </c>
      <c r="B31" s="11" t="inlineStr">
        <is>
          <t>A</t>
        </is>
      </c>
      <c r="C31" s="12" t="inlineStr">
        <is>
          <t>(eCRAFT –PROFESSIONAL, MANAGER, OPERATIONS II	MAN02) Six (6) years of professional experience in a broad-base Automatic Data Processing (ADP) services environment. This position is required to be designated as IAM III level with a T3.</t>
        </is>
      </c>
      <c r="D31" s="11" t="inlineStr">
        <is>
          <t>ADMINISTRATIVE</t>
        </is>
      </c>
      <c r="E31" s="11" t="inlineStr">
        <is>
          <t>A</t>
        </is>
      </c>
      <c r="F31" s="11" t="inlineStr">
        <is>
          <t>Mandatory</t>
        </is>
      </c>
      <c r="G31" s="11" t="n">
        <v>1</v>
      </c>
      <c r="H31" s="11" t="inlineStr"/>
      <c r="I31" s="11" t="inlineStr"/>
    </row>
    <row r="32">
      <c r="A32" s="11" t="inlineStr">
        <is>
          <t>TW-A-0031</t>
        </is>
      </c>
      <c r="B32" s="11" t="inlineStr">
        <is>
          <t>A</t>
        </is>
      </c>
      <c r="C32" s="12" t="inlineStr">
        <is>
          <t>Six (6) years of professional experience in relation to developing and maintaining documentation and or data management systems. Qualifying experience in a Windows environment, Microsoft Office (Excel and Word). This position is required to be designated as IAM III level with a T3.</t>
        </is>
      </c>
      <c r="D32" s="11" t="inlineStr">
        <is>
          <t>ADMINISTRATIVE</t>
        </is>
      </c>
      <c r="E32" s="11" t="inlineStr">
        <is>
          <t>A</t>
        </is>
      </c>
      <c r="F32" s="11" t="inlineStr">
        <is>
          <t>Mandatory</t>
        </is>
      </c>
      <c r="G32" s="11" t="n">
        <v>1</v>
      </c>
      <c r="H32" s="11" t="inlineStr"/>
      <c r="I32" s="11" t="inlineStr"/>
    </row>
    <row r="33">
      <c r="A33" s="11" t="inlineStr">
        <is>
          <t>TW-A-0032</t>
        </is>
      </c>
      <c r="B33" s="11" t="inlineStr">
        <is>
          <t>A</t>
        </is>
      </c>
      <c r="C33" s="12" t="inlineStr">
        <is>
          <t>Three (3) years of professional experience in relation to designing, implementing, and monitoring IT service management processes and practices within an organization, using frameworks like ITIL and Scrum, to ensure efficient product and service delivery by analyzing operational data, technical data, IT experience data, or any combination of those to identify areas and strategies for improvement. Collaborate with business and technical teams to optimize IT products and services and align them with business objectives. Key duties include generating documentation, monitoring ITSM process and practice performance, assisting with improving the IT experience of our stakeholders by measuring human-centric metrics, reporting on key performance indicators (KPIs) and other metrics, and drive continuous service improvement. Manages the coordination with Service Owners to design new services and enhance existing services. Coordinate with Services Owners to develop and maintain processes and workflows to design and transition services to Operations. Coordinate with Service Owners to define service quality metrics and Service Level Objectives (SLOs) for new and enhanced services. This position is required to be designated as IAT II level with a T3.</t>
        </is>
      </c>
      <c r="D33" s="11" t="inlineStr">
        <is>
          <t>ADMINISTRATIVE</t>
        </is>
      </c>
      <c r="E33" s="11" t="inlineStr">
        <is>
          <t>A</t>
        </is>
      </c>
      <c r="F33" s="11" t="inlineStr">
        <is>
          <t>Mandatory</t>
        </is>
      </c>
      <c r="G33" s="11" t="n">
        <v>1</v>
      </c>
      <c r="H33" s="11" t="inlineStr"/>
      <c r="I33" s="11" t="inlineStr"/>
    </row>
    <row r="34">
      <c r="A34" s="11" t="inlineStr">
        <is>
          <t>TW-A-0033</t>
        </is>
      </c>
      <c r="B34" s="11" t="inlineStr">
        <is>
          <t>A</t>
        </is>
      </c>
      <c r="C34" s="12" t="inlineStr">
        <is>
          <t>pert level assistance to Digital Forensics and Incident Response and threat intelligence operations teams on advanced actor tactics, techniques and procedures (TTPs) related to Cyber. Keeps current on industry direction, trends, and future capabilities with respect to cyber threat analytics.  Provides expertise for support of user requirements of complex to highly complex software/hardware applications, hunt methodologies, advanced actor campaigns and exploits and telemetry refinement related to Cyber.  Provides assistance to Digital Forensics and Incident Response and threat intelligence operations teams on advanced actor TTPs related to Cyber. Keeps current on industry direction, trends, and future capabilities with respect to cyber threat analytics. This position is required to be designated as IAT II level with a T5.</t>
        </is>
      </c>
      <c r="D34" s="11" t="inlineStr">
        <is>
          <t>ADMINISTRATIVE</t>
        </is>
      </c>
      <c r="E34" s="11" t="inlineStr">
        <is>
          <t>A</t>
        </is>
      </c>
      <c r="F34" s="11" t="inlineStr">
        <is>
          <t>Mandatory</t>
        </is>
      </c>
      <c r="G34" s="11" t="n">
        <v>1</v>
      </c>
      <c r="H34" s="11" t="inlineStr"/>
      <c r="I34" s="11" t="inlineStr"/>
    </row>
    <row r="35">
      <c r="A35" s="11" t="inlineStr">
        <is>
          <t>TW-A-0034</t>
        </is>
      </c>
      <c r="B35" s="11" t="inlineStr">
        <is>
          <t>A</t>
        </is>
      </c>
      <c r="C35" s="12" t="inlineStr">
        <is>
          <t>Six (6) years of professional experience providing software, hardware, and wireless support, including mobile forensic examination to the client based on submitted requirements for functionality and use of developed tools. Skilled in developing, testing, and implementing network infrastructure contingency and recovery plans. Skilled in performing packet-level analysis. Display technical comprehension of relationships, dependencies, and hardware and software component requirements. Interpret submitted documentation, including user and functional requirements and develop forensic examination reports. Possess knowledge of risk management processes (e.g., methods for assessing and mitigating risk). Knowledge of cybersecurity principles, cyber threats, cyber vulnerabilities. Knowledge of computer networking concepts and protocols, and network security methodologies, cloud computing service models, and cloud deployment models in private, public, multi-cloud, and hybrid environments. Works independently, may supervise/manage junior analyst. Global Information Assurance Certification (GIAC) Certified Forensic Examiner (GCFE) certification required within 90 days after contract award. This position is required to be designated as IAT III level with a T5.</t>
        </is>
      </c>
      <c r="D35" s="11" t="inlineStr">
        <is>
          <t>ADMINISTRATIVE</t>
        </is>
      </c>
      <c r="E35" s="11" t="inlineStr">
        <is>
          <t>A</t>
        </is>
      </c>
      <c r="F35" s="11" t="inlineStr">
        <is>
          <t>Mandatory</t>
        </is>
      </c>
      <c r="G35" s="11" t="n">
        <v>1</v>
      </c>
      <c r="H35" s="11" t="inlineStr"/>
      <c r="I35" s="11" t="inlineStr"/>
    </row>
    <row r="36">
      <c r="A36" s="11" t="inlineStr">
        <is>
          <t>TW-A-0035</t>
        </is>
      </c>
      <c r="B36" s="11" t="inlineStr">
        <is>
          <t>A</t>
        </is>
      </c>
      <c r="C36" s="12" t="inlineStr">
        <is>
          <t>N0017826R30020003 - FINAL
Page 1 of 3
Offers must acknowledge receipt of this amendment prior to the hour and date specified in the solicitation or as amended, by one of the following methods:</t>
        </is>
      </c>
      <c r="D36" s="11" t="inlineStr">
        <is>
          <t>ADMINISTRATIVE</t>
        </is>
      </c>
      <c r="E36" s="11" t="inlineStr">
        <is>
          <t>A</t>
        </is>
      </c>
      <c r="F36" s="11" t="inlineStr">
        <is>
          <t>Mandatory</t>
        </is>
      </c>
      <c r="G36" s="11" t="n">
        <v>1</v>
      </c>
      <c r="H36" s="11" t="inlineStr"/>
      <c r="I36" s="11" t="inlineStr"/>
    </row>
    <row r="37">
      <c r="A37" s="11" t="inlineStr">
        <is>
          <t>TW-A-0036</t>
        </is>
      </c>
      <c r="B37" s="11" t="inlineStr">
        <is>
          <t>A</t>
        </is>
      </c>
      <c r="C37" s="12" t="inlineStr">
        <is>
          <t>By completing items 8 and 15, and returning                        
or (c) By separate letter or electronic communication which includes a reference to the solicitation and amendment numbers.  FAILURE OF YOUR ACKNOWLEDGMENT TO BE 
RECEIVED AT THE PLACE DESIGNATED FOR THE RECEIPT OF OFFERS PRIOR TO THE HOUR AND DATE SPECIFIED MAY RESULT IN REJECTION OF YOUR OFFER.  If 
by virtue of this amendment you desire to change an offer already submitted, such change may be made by letter or electronic communication, provided each letter or electronic 
communication makes reference to the solicitation and this amendment, and is received prior to the opening hour and date specified.
E.  IMPORTANT:  Contractor  is not    is required to sign this document and return  copies to the issuing office.
AMENDMENT OF SOLICITATION/MODIFICATION OF CONTRACT</t>
        </is>
      </c>
      <c r="D37" s="11" t="inlineStr">
        <is>
          <t>ADMINISTRATIVE</t>
        </is>
      </c>
      <c r="E37" s="11" t="inlineStr">
        <is>
          <t>A</t>
        </is>
      </c>
      <c r="F37" s="11" t="inlineStr">
        <is>
          <t>Mandatory</t>
        </is>
      </c>
      <c r="G37" s="11" t="n">
        <v>1</v>
      </c>
      <c r="H37" s="11" t="inlineStr"/>
      <c r="I37" s="11" t="inlineStr"/>
    </row>
    <row r="38">
      <c r="A38" s="11" t="inlineStr">
        <is>
          <t>TW-A-0037</t>
        </is>
      </c>
      <c r="B38" s="11" t="inlineStr">
        <is>
          <t>C.8.1</t>
        </is>
      </c>
      <c r="C38" s="12" t="inlineStr">
        <is>
          <t>C.8.1 removed "The Contractor shall maintain the capability to store information up to and including SECRET."</t>
        </is>
      </c>
      <c r="D38" s="11" t="inlineStr">
        <is>
          <t>ADMINISTRATIVE</t>
        </is>
      </c>
      <c r="E38" s="11" t="inlineStr">
        <is>
          <t>A</t>
        </is>
      </c>
      <c r="F38" s="11" t="inlineStr">
        <is>
          <t>Mandatory</t>
        </is>
      </c>
      <c r="G38" s="11" t="n">
        <v>1</v>
      </c>
      <c r="H38" s="11" t="inlineStr"/>
      <c r="I38" s="11" t="inlineStr">
        <is>
          <t>C.8.1</t>
        </is>
      </c>
    </row>
    <row r="39">
      <c r="A39" s="11" t="inlineStr">
        <is>
          <t>TW-A-0038</t>
        </is>
      </c>
      <c r="B39" s="11" t="inlineStr">
        <is>
          <t>C.8.4</t>
        </is>
      </c>
      <c r="C39" s="12" t="inlineStr">
        <is>
          <t>C.8.4 removed "Secret storage is required at the Contractor’ s facility in order to meet requirements of receiving and generating classified
material in accordance with this Contract."
Another Amendment is forthcoming to address labor qualifications and labor hour discrepancies.
Amendment 0002
The purpose of Amendment 0002 is to change the Contract Specialist from Thomas B. Clift to Yarina Y . Taylor.
Amendment 0001
The purpose of Amendment 0001 is to extend the RFP closing date to 08 December 2025.
DESCRIPTION : The Naval Surface Warfare Center Dahlgren Division (NSWCDD) has a requirement to provide information technology
(IT) support services for day-to-day operations at NSWCDD in Dahlgren, V A and at NSWCDD Dam Neck Activity (DNA) which is located
in Virginia Beach, V A. The NSWCDD originally established itself as the major testing area for naval guns and ammunition. Today, it
continues to provide the military with the development and integration of warfare systems for the warfighter, warfighting, and the future</t>
        </is>
      </c>
      <c r="D39" s="11" t="inlineStr">
        <is>
          <t>ADMINISTRATIVE</t>
        </is>
      </c>
      <c r="E39" s="11" t="inlineStr">
        <is>
          <t>A</t>
        </is>
      </c>
      <c r="F39" s="11" t="inlineStr">
        <is>
          <t>Mandatory</t>
        </is>
      </c>
      <c r="G39" s="11" t="n">
        <v>1</v>
      </c>
      <c r="H39" s="11" t="inlineStr"/>
      <c r="I39" s="11" t="inlineStr">
        <is>
          <t>C.8.4</t>
        </is>
      </c>
    </row>
    <row r="40">
      <c r="A40" s="11" t="inlineStr">
        <is>
          <t>TW-A-0039</t>
        </is>
      </c>
      <c r="B40" s="11" t="inlineStr">
        <is>
          <t>A</t>
        </is>
      </c>
      <c r="C40" s="12" t="inlineStr">
        <is>
          <t>NSWCDD’ s mission is to deliver warfare systems to protect our nation and defeat our adversaries. The vision is to design, develop,
and integrate technologically superior, 21st century warfare systems. NSWCDD has a broad and diverse research, development, test and
evaluation (RDTE) portfolio with an emphasis on warfare systems development and integration. NSWCDD is determined to standardize and
automate processes and procedures to become more efficient, structured, and transparent in its mission to provide services such as RDTE,
analysis, systems engineering, integration and certification of complex naval warfare systems. NSWCDD is comprised of the Naval Surface
Warfare Center (NSWC) in Dahlgren, Virginia, and detachment sites located at Dam Neck Activity in Virginia Beach, Virginia, Wallops
Flight Facility in Wallops, Virginia, Naval Observatory in Washington, DC, Quantico Marine Corps Base in Quantico, Virginia, Norfolk
Naval Shipyards in Norfolk, Virginia, and Naval Base San Diego in San Diego, California.
PROPOSAL DUE DATE : Proposals are required to be submitted through the SeaPort Next Generation (NxG)-Portal on or before the date
and time specified in Block 9 of Page 1. The ability to upload/submit a proposal in response to Solicitation No. N0017826R3002 will end at
the date and time specified even if uploading is not complete. Offerors are encouraged to start the process of uploading their proposal
documents early to avoid a late proposal submission.
CRITICAL DATES:  This solicitation represents the Government's requirements and shall be the governing document. All questions
regarding this requirement shall be submitted through the SeaPort NxG Portal. The questions and answer period, the estimated date of
award, and proposal validity are provided in Section L. (L-211-H001 UPDATES TO PERIOD OF PERFORMANCE AND DELIVERY
DATES (NA VSEA), (L-215-H006 SUBMISSION OF QUESTIONS BY OFFERORS - BASIC (NA VSEA)), L-216-H001-TASK ORDER
GENERAL INFORMATION (NA VSEA)).
ADV ANCE NOTICE/PRE-SOLICITATION CONFERENCE:  An Advance Notice was posted on 30 May 2024 and Industry Day was
held on 11 June 2024 for this requirement.  Offerors may access all pertinent information via the SeaPort NxG Portal under the event title:
IT Support Services.
COMPETITION APPROACH: This requirement is set-aside for Small Businesses in SeaPort NxG.
INCUMBENT CONTRACTOR : This work is currently being performed under SeaPort-NxG Contract No. N0017819D7266, Task Order
No. N0017821F3009 with Bowhead Program Management and Operations LLC.
GENERAL INFORMATION:  A conformed copy of the solicitation will be issued with each amendment. This General Information</t>
        </is>
      </c>
      <c r="D40" s="11" t="inlineStr">
        <is>
          <t>ADMINISTRATIVE</t>
        </is>
      </c>
      <c r="E40" s="11" t="inlineStr">
        <is>
          <t>A</t>
        </is>
      </c>
      <c r="F40" s="11" t="inlineStr">
        <is>
          <t>Mandatory</t>
        </is>
      </c>
      <c r="G40" s="11" t="n">
        <v>1</v>
      </c>
      <c r="H40" s="11" t="inlineStr"/>
      <c r="I40" s="11" t="inlineStr">
        <is>
          <t>Section L</t>
        </is>
      </c>
    </row>
    <row r="41">
      <c r="A41" s="11" t="inlineStr">
        <is>
          <t>TW-A-0040</t>
        </is>
      </c>
      <c r="B41" s="11" t="inlineStr">
        <is>
          <t>A</t>
        </is>
      </c>
      <c r="C41" s="12" t="inlineStr">
        <is>
          <t>N0017826R30020003 - FINAL
Page 3 of 3
Section will be used to summarize the nature of subsequent modifications including total current funding being obligated, total funded value
of the Task Order, and any other change made to the Task Order. A conformed copy of the Task Order will be issued with each modification.
The information contained in this General Information Section is only part of the modification being issued at the time; the information will
not be repeated in the subsequent conformed copies of the Task Order.
THIS SOLICITATION AND PREVIOUS POSTINGS:  Offerors should not rely on information contained in previous postings. This
solicitation represents the Government's requirements and shall be the governing document.
ORGANIZATIONAL CONFLICT OF INTEREST QUESTIONS:  Questions relating solely to the Offeror's possible Organizational
Conflict of Interest may be addressed directly to the Contract Specialist and the Contracting Officer listed in Section G (G-242-H001
GOVERMENT CONTRACT ADMINISTRATION POINTS OF CONTACT AND RESPONSIBILITIES (NA VSEA)).
BEST V ALUE SELECTION PROCEDURES: Best Value Source Selection procedures will be employed in accordance with Section M of
this solicitation.</t>
        </is>
      </c>
      <c r="D41" s="11" t="inlineStr">
        <is>
          <t>ADMINISTRATIVE</t>
        </is>
      </c>
      <c r="E41" s="11" t="inlineStr">
        <is>
          <t>A</t>
        </is>
      </c>
      <c r="F41" s="11" t="inlineStr">
        <is>
          <t>Mandatory</t>
        </is>
      </c>
      <c r="G41" s="11" t="n">
        <v>1</v>
      </c>
      <c r="H41" s="11" t="inlineStr"/>
      <c r="I41" s="11" t="inlineStr">
        <is>
          <t>Section i, Section G, Section M</t>
        </is>
      </c>
    </row>
    <row r="42">
      <c r="A42" s="11" t="inlineStr">
        <is>
          <t>TW-H-0041</t>
        </is>
      </c>
      <c r="B42" s="11" t="inlineStr">
        <is>
          <t>H</t>
        </is>
      </c>
      <c r="C42" s="12" t="inlineStr">
        <is>
          <t>SPECIAL CONTRACT REQUIREMENTS
NOTE: Item 12 does not apply if the solicitation includes the provisions at 52.214-16, Minimum Bid Acceptance Period.
OFFER (Must be fully completed by offeror)</t>
        </is>
      </c>
      <c r="D42" s="11" t="inlineStr">
        <is>
          <t>ADMINISTRATIVE</t>
        </is>
      </c>
      <c r="E42" s="11" t="inlineStr">
        <is>
          <t>H</t>
        </is>
      </c>
      <c r="F42" s="11" t="inlineStr">
        <is>
          <t>Mandatory</t>
        </is>
      </c>
      <c r="G42" s="11" t="n">
        <v>4</v>
      </c>
      <c r="H42" s="11" t="inlineStr"/>
      <c r="I42" s="11" t="inlineStr"/>
    </row>
    <row r="43">
      <c r="A43" s="11" t="inlineStr">
        <is>
          <t>TW-H-0042</t>
        </is>
      </c>
      <c r="B43" s="11" t="inlineStr">
        <is>
          <t>H</t>
        </is>
      </c>
      <c r="C43" s="12" t="inlineStr">
        <is>
          <t>N0017826R30020003 - FINAL
Page 3 of 114
Item Supplies/Services QtyUnit Est. Cost
7200AA Holding SLIN for Option Period 2 ODCCLIN 7200 (Fund Type - TBD)Option
1.00 Lot
7300 Option Period 3 ODC in accordance withthe SOW (See Note 2 &amp; 3)
7300AA Holding SLIN for Option Period 3 ODCCLIN 7300 (Fund Type - TBD)Option
1.00 Lot
7400 Option Period 4 ODC in accordance withthe SOW (See Note 2 &amp; 3)
7400AA Holding SLIN for Option Period 4 ODCCLIN 7400 (Fund Type - TBD)Option
1.00 Lot
Cost Type / NSP Items:
Item Supplies/Services QtyUnit Est. Cost Fixed Fee CPFF
8000 Data Deliverables for Base Period, NotSeparately Priced in accordance with(IAW) Exhibit A, DD Form 1423 (SeeNote 4)
1.00 Lot NSP
8100 Data Deliverables for Option Period 1,Not Separately Priced IAW Exhibit A,DD Form 1423 (See Note 2 &amp; 4)
1.00 Lot NSP
8200 Data Deliverables for Option Period 2,Not Separately Priced IAW Exhibit A,DD Form 1423 (See Note 2 &amp; 4)
1.00 Lot NSP
8300 Data Deliverables for Option Period 3,Not Separately Priced IAW Exhibit A,DD Form 1423 (See Note 2&amp; 4)
1.00 Lot NSP
8400 Data Deliverables for Option Period 4,Not Separately Priced IAW Exhibit A,DD Form 1423 (See Note 2 &amp; 4)
1.00 Lot NSP
NOTE 1: LABOR HOURS - The Labor Hours (LH) for the Base Period and each Option Period shall be performed consistent with Section H, H-216-H002,Level of Effort - Alternate I (NA VSEA).
NOTE 2: FAR 52.217-9 V AR I "OPTION TO EXTEND THE TERM OF THE CONTRACT (NA VSEA V ARIATION I), in Section I, applies to the OptionCLINs.
NOTE 3: OTHER DIRECT COSTS (ODCs) - ODCs shall include materials, limited to those in Section C, and travel required during the Period of Performanceof the identified CLIN, for the anticipated destinations stated in Section C.
NOTE 4: NOT SEPARATELY PRICED - The price for Not Separately Priced (NSP) Data items shall be included in the price of the corresponding Labor CLIN(s)in accordance with L-215-H004.
NOTE 5: Surge Options - If the Government determines that an increased Level of Effort for support, as provided in Section C, is required, the Governmentreserves the right to exercise a “Surge Option” CLIN (6050, 6150, 6250, 6350, and 6450) for additional work in accordance with the SOW.
B.1 TYPE OF ORDER This is a Level of Effort (term) type Task Order.
-         Items in the 6000 series are Cost-Plus-Fixed-Fee (CPFF) type.
-         Items in the 7000 series are Cost only, excluding fee.
-         Items in the 8000 series are Not Separately Priced (NSP). 
B.2 ADDITIONAL CLINs Additional CLINs may be unilaterally created by the Procuring Contracting Officer (PCO) via a modification during the performanceof this Task Order to allow for additional CLINs/SLINs as needed to accommodate the multiple types of funds that may be used under this Task Order. Thesemodifications will not change the overall Level of Effort or value of the Task Order.
CLAUSESINCORPORATEDBYFULLTEXT
B-215-H001MAXIMUMRATES 
 (a)  MaximumPassThroughRates-ApplicabletoallTaskOrdersTypes.Thepassthroughrateisdefinedasthecumulative amountofthetwoelementslistedbelowdividedbythepricepaidtotheSub-contractororthevendor:
 (1)  anyandallPrimeContractorindirectcostsincluding,butnotlimitedtooverhead,materialhandlingcharges,G&amp;A, burdens and mark-ups; and
 (2)  any and all Prime Contractor profit or fee*
*Forpurposesofthiscontract,"Fee"means"Target-Fee"inCost-Plus-Incentive-Feetypecontracts,"basefee"in Cost-Plus-Award-Feetypecontracts,or"Fixed-Fee"inCost-Plus-Fixed-Feetypecontracts.</t>
        </is>
      </c>
      <c r="D43" s="11" t="inlineStr">
        <is>
          <t>ADMINISTRATIVE</t>
        </is>
      </c>
      <c r="E43" s="11" t="inlineStr">
        <is>
          <t>H</t>
        </is>
      </c>
      <c r="F43" s="11" t="inlineStr">
        <is>
          <t>Mandatory</t>
        </is>
      </c>
      <c r="G43" s="11" t="n">
        <v>4</v>
      </c>
      <c r="H43" s="11" t="inlineStr"/>
      <c r="I43" s="11" t="inlineStr">
        <is>
          <t>Section H, Section I, Section C, Exhibit A, FAR 52.217-9, B.1, B.2</t>
        </is>
      </c>
    </row>
    <row r="44">
      <c r="A44" s="11" t="inlineStr">
        <is>
          <t>TW-H-0043</t>
        </is>
      </c>
      <c r="B44" s="11" t="inlineStr">
        <is>
          <t>H</t>
        </is>
      </c>
      <c r="C44" s="12" t="inlineStr">
        <is>
          <t>OtherDirectCostsandTravel.NofeeisallowedonOtherDirectCostsorTravel.IndirectcostelementssuchasG&amp;A and material handling may be applied toODCs but may not include fee.</t>
        </is>
      </c>
      <c r="D44" s="11" t="inlineStr">
        <is>
          <t>ADMINISTRATIVE</t>
        </is>
      </c>
      <c r="E44" s="11" t="inlineStr">
        <is>
          <t>H</t>
        </is>
      </c>
      <c r="F44" s="11" t="inlineStr">
        <is>
          <t>Desirable</t>
        </is>
      </c>
      <c r="G44" s="11" t="n">
        <v>4</v>
      </c>
      <c r="H44" s="11" t="inlineStr"/>
      <c r="I44" s="11" t="inlineStr"/>
    </row>
    <row r="45">
      <c r="A45" s="11" t="inlineStr">
        <is>
          <t>TW-H-0044</t>
        </is>
      </c>
      <c r="B45" s="11" t="inlineStr">
        <is>
          <t>H</t>
        </is>
      </c>
      <c r="C45" s="12" t="inlineStr">
        <is>
          <t>N0017826R30020003 - FINAL
Page 5 of 114
clauseofthiscontractentitled"AllowableCostandPayment"(FAR52.216-7), subjecttothewithholdingtermsandconditionsofthe"Fixed-Fee"or"IncentiveFee"clause,asapplicable.Feepaidper hourshallbebasedontotalfeedollarsdividedbytotalhourstobeprovided.Totalfee(s)paidtotheContractorshallnotexceedthefeeamount(s)setforthinthiscontract.InnoeventshalltheGovernmentberequiredtopaytheContractorany amount in excess of the funds obligatedunder this contract.
B-232-H006LIMITATIONOFCOSTORLIMITATIONOFFUNDSCLARIFICATION(NA VSEA)(OCT2018)
Theclauseentitled"LimitationofCost"(FAR52.232-20)or"LimitationofFunds"(FAR52.232-22),asappropriate,shall apply separately and independently toeach separately identified estimated cost.</t>
        </is>
      </c>
      <c r="D45" s="11" t="inlineStr">
        <is>
          <t>ADMINISTRATIVE</t>
        </is>
      </c>
      <c r="E45" s="11" t="inlineStr">
        <is>
          <t>H</t>
        </is>
      </c>
      <c r="F45" s="11" t="inlineStr">
        <is>
          <t>Mandatory</t>
        </is>
      </c>
      <c r="G45" s="11" t="n">
        <v>4</v>
      </c>
      <c r="H45" s="11" t="inlineStr"/>
      <c r="I45" s="11" t="inlineStr"/>
    </row>
    <row r="46">
      <c r="A46" s="13" t="inlineStr">
        <is>
          <t>TW-C-0001</t>
        </is>
      </c>
      <c r="B46" s="13" t="inlineStr">
        <is>
          <t>C.1</t>
        </is>
      </c>
      <c r="C46" s="14" t="inlineStr">
        <is>
          <t>N0017826R30020003 - FINAL
Page 7 of 114
system administration, data management, Helpdesk, installation, configuration, end-user support) and IM (e.g., collecting,organizing, storing, and distributing information) providing technical and operational support services and expertise to meet theneeds of NSWCDD which includes the Naval Surface Warfare Center in Dahlgren, Virginia, all existing and future detachment sites,programs, solutions, and departments.The roles and responsibilities defined within this SOW ensure full lifecycle support of IT including but not limited to acquisition,management, security, administration, upgrades to equipment and software, and the establishment and maintenance of day-to-dayoperations. The following sections of the SOW define the overarching services that the Contractor shall perform across the fullspectrum of IT and IM and their lifecycles.C.2 Applicable DocumentsThe Contractor shall ensure compliance with the most current versions of these documents throughout the life of the contract:2.1CJCSI 6510.01F Information Assurance (IA) and Support to Computer Network Defense (CND)2.2CJCSM 6510.01B Cyber Incident Handling Program2.3DoDI 8500.01 Cybersecurity2.4DoDI 8510.01 Risk Management Framework (RMF) for DoD Systems2.5DoDI 8551.01 Ports, Protocols, and Services Management (PPSM)2.6SECNA V 5239.20A Depart of The Navy Cyberspace Information Technology and Cybersecurity Workforce Managementand Qualification2.7DoD 8570.01-M, Chg. 4 Information Assurance Workforce Improvement Program2.8DoDI 8520.02 Public Key Infrastructure (PKI) and Public Key (PK) Enabling2.9DoDI 8520.03 Identity Authentication for Information Systems2.10DoDI 8530.01 Cybersecurity Activities Support to DoD Information Network Operations2.11NA VSEAINST 5239.2B Cybersecurity Program2.12DoDI 8540.01 Cross Domain (CD) Policy2.13Navy Authorizing Official (NAO) RMF Business Rules2.14NSWCDD Information Technology Division Standard Operating Procedures (SOPs)2.15SECNA VINST 5239.19A Department of the Navy Computer Network Incident Response and Reporting Requirements2.16OPNA VINST 5239.1D U.S. Navy Cybersecurity Program2.17SECNA VINST 5239.3C Department of the Navy Cybersecurity Policy2.18Department of Defense Intelligence Information System (DoDIIS)-Joint Security Implementation Guide DJSIG August 20112.19SECNA VINST 2201.1 Department of The Navy Communications Security Material Program Implementation2.20JWICS Security Classification Guide2.21SECNA V M-5239.3 Department of The Navy Cybersecurity Manual2.22Defense Information Systems Network (DISN) Secret Internet Protocol Routing Network (SIPRNet) Security ClassificationGuide2.23SECNA VINST 5000.36A2.24NSWCDLINST 5530.4B2.25National Institute of Standards and Technology (NIST) SP 800-532.26ISO 20000 International Standard for IT Service Management (ITSM)2.27MIL-HDBK-61B/EIA-649B2.28DISA Security Requirements Guide and Security Technical Implementation Guides (STIGs)2.29DoD Instruction 5200.482.30NSWCDDINST 5100.1 Occupational Safety and Health Instruction (current revision)2.31Secretary of Navy Instruction (SECNA VINST) 5210.8FC.3 Navy Cyber Workforce (CWF) and Facility Location RequirementsThe requirements must be maintained throughout the life of the Contract. The requirements are as follows:C.3.1 Identify CWF Personnel - Qualification and Clearance RequirementsAll individuals performing support under this Contract identified with cyber related duties shall have the proper and currentcertification in accordance with DoD-M 8570.01-M or successor.C.3.2 All individuals performing support under this Contract identified as CWF shall be officially designated in writing by the LocalCommand Authority (LCA). The designation letter will outline duties, responsibilities, and qualifications. DoD-M 8570.01designations of Information Assurance Technical Level (IAT-I, II or III), or Information Assurance Manager Level (IAM-I, II, or III)are based on working environment. To stay Fully Qualified (FQ) as a member of the command’ s CSWF all qualificationrequirements shall be obtained and maintained per applicable CSWF policy. Those Key and Non-Key personnel designated as</t>
        </is>
      </c>
      <c r="D46" s="13" t="inlineStr">
        <is>
          <t>TECHNICAL</t>
        </is>
      </c>
      <c r="E46" s="13" t="inlineStr">
        <is>
          <t>C</t>
        </is>
      </c>
      <c r="F46" s="13" t="inlineStr">
        <is>
          <t>Mandatory</t>
        </is>
      </c>
      <c r="G46" s="13" t="n">
        <v>9</v>
      </c>
      <c r="H46" s="13" t="inlineStr"/>
      <c r="I46" s="13" t="inlineStr">
        <is>
          <t>C.2, C.3, C.3.1, C.3.2</t>
        </is>
      </c>
    </row>
    <row r="47">
      <c r="A47" s="13" t="inlineStr">
        <is>
          <t>TW-C-0002</t>
        </is>
      </c>
      <c r="B47" s="13" t="inlineStr">
        <is>
          <t>C.3.4</t>
        </is>
      </c>
      <c r="C47" s="14" t="inlineStr">
        <is>
          <t>N0017826R30020003 - FINAL
Page 8 of 114
“Senior” are required to meet the level of III or Advanced proficiency level per the applicable policy.C.3.4 The Contractor shall provide a contractor Cybersecurity Workforce (CSWF) membership qualification status report to thecommand CSWF Program Manager (PM) at a minimum of quarterly, format to be provided. (CDRL A027)C.3.5 All CSWF designated personnel, and those requiring a T5/T5R must have a favorable adjudicated investigation every five (5)years.  The CSWF qualifications, certifications, investigations, and clearances shall be the sole responsibility of the ContractingCompany and at their expense.C.3.6 Facility LocationThe Contractor must have a facility within a sixty-mile (60-mile) commuting radius of the Naval Surface Warfare Center inDahlgren, Virginia.C.4 RequirementsC.4.1 GeneralC.4.1.1 The Contractor shall provide all technically qualified and technically accredited and approved support service employeeswith favorably adjudicated personnel security investigations to provide classified and unclassified IT and IM technical andoperational support services across all life-cycle phases as defined in this SOW to the performance standards set forth herein and inthe Quality Assurance Surveillance Plan (QASP), Attachment J.3. The required support includes, but is not restricted to, technicalsupport, system administration support, cybersecurity and traditional security support, telecommunications support, IM, applicationdevelopment support (e.g., enterprise applications, web applications, iPhone apps, Android apps), Information Technology ServiceManagement (ITSM) support, Information Technology Experience Management (ITXM) support, automation support, businessprocess support, digital transformation support, and ordering, service usage, and oversight support for NMCI and JWICs. TheContractor shall follow and apply industry best practices and standards to the maximum extent practicable. Contractor personnelshall understand these best practices and standards as appropriate for their specialized areas. The contractor is responsible forensuring that their staff is well trained on technologies they are required to support and on industry best practices. The GovernmentContractor shall deliver current and innovative solutions in all work areas.C.4.1.2 The Contractor shall adhere to best practices, frameworks, and methodologies from the most current versions of: theInformation Technology Infrastructure Library (ITIL)® framework (formerly referred to as the Information TechnologyInfrastructure Library®), the DoD Enterprise Service Management Framework (DESMF), and the Project Management Institute’ sProject Management Body of Knowledge, and other relevant frameworks and methodologies to perform the tasks and subtasks ofthis SOW ensuring a disciplined and responsive business management approach to end-to-end IT service delivery. The Contractorshall also provide expertise and support in accordance with development, security, and operations (DevSecOps) practices and tools,and agile frameworks. The Contractor shall support systems and users operating on unclassified and classified networks. TheContractor shall provide services such as ITSM support, IM support, endpoint support, Helpdesk services and support, technicalsupport, IT project management support, cybersecurity and traditional security support, applications development and support, IMsupport, digital transformation support, and IT operational support to include the following work areas:(a) ITSM Support(b) Contractor Workforce Management(c) Endpoint Support(d) Enterprise Applications Support(e) Cybersecurity and Traditional Security Support(f) Information Management and Digital Transformation SupportC.4.1.3 Systems Engineering, Analysis, and DesignC.4.1.3.1 The Contractor shall provide systems engineering, analysis, and design support for development and implementation of ITsystems, IT capabilities, and IT services. The Contractor shall provide computing plant engineering support services to includerequirements identification, change control, acquisition &amp; logistics and operations and maintenance in support of developing andsustaining computing capabilities.C.4.1.3.2 The Contractor shall, depending on the stage of implementation, identify and report functional and non-functionalrequirements, recommend, design, develop, operate, manage, and maintain current, replacement, and new technologies andcapabilities required to meet the Government’ s evolving IT operations and IT support needs and requirements.C.4.1.4 Contractor Transition-InThis contract allows for a transition-in period if required. The Contractor transition-in period shall begin upon receipt andacceptance of the contractor’ s Transition In-plan (CDRL A001). The transition-in period shall cause no disruption in the operation</t>
        </is>
      </c>
      <c r="D47" s="13" t="inlineStr">
        <is>
          <t>TECHNICAL</t>
        </is>
      </c>
      <c r="E47" s="13" t="inlineStr">
        <is>
          <t>C</t>
        </is>
      </c>
      <c r="F47" s="13" t="inlineStr">
        <is>
          <t>Mandatory</t>
        </is>
      </c>
      <c r="G47" s="13" t="n">
        <v>9</v>
      </c>
      <c r="H47" s="13" t="inlineStr"/>
      <c r="I47" s="13" t="inlineStr">
        <is>
          <t>Attachment J, C.3.4, C.3.5, C.3.6, C.4, C.4.1, C.4.1.1, J.3, C.4.1.2, C.4.1.3, C.4.1.3.1, C.4.1.3.2, C.4.1.4</t>
        </is>
      </c>
    </row>
    <row r="48">
      <c r="A48" s="13" t="inlineStr">
        <is>
          <t>TW-C-0003</t>
        </is>
      </c>
      <c r="B48" s="13" t="inlineStr">
        <is>
          <t>C.1</t>
        </is>
      </c>
      <c r="C48" s="14" t="inlineStr">
        <is>
          <t>N0017826R30020003 - FINAL
Page 9 of 114
of services and existing applications. The Transition Plan shall include, at minimum:(a) The Contractor shall agree that all deliverables, products, licenses, designs, data, documentation, tests, user research notes,source code, configuration settings and files, and materials developed through this contract will be the property of NSWCDD.(b) Transition roadmap.(c) Identify transition risks and risk mitigation.(d) Define roles and responsibilities with an initial Staffing Plan.(e) Define a knowledge transfer approach.(f) Provide a checklist of critical transition activities and milestones.(g) Schedule of events and timelines.(h) Provide Communication Plan/Strategy.(i) On-Call/Production Support Strategy.C.4.1.5 The Government reserves the right to call meetings at any time during the transition-in period to review all transitionrequirements.C.4.1.6 Contractor Transition-OutThis contract allows for a transition-out period. Within 45 days of the beginning of the final period of Task Order performance, theContractor shall develop and submit a transition-out plan that assumes re-compete of the contract requirements resulting in awardand successful transition to another Contractor. The Transition-out Plan will address:(a) Goals of the transition.(b) Minimum duration of transition.(c) Staff requirements and their role in transition.(d) Contractor staff level of tasking required and any impact it will have on transition.(e) Knowledge transfer.(f) Intellectual property transfer.(g) Gantt schedule of transition.(h) Formal handover (conclusion of transition) and Government acceptance.(i) List of any Government Furnished/Contractor Acquired Property.C.4.1.7 The Government reserves the right to call meetings at any time during the transition-out period to review all transitionrequirements.C.4.1.8 Project ManagementC.4.1.8.1 The Contractor shall provide project management support and support for Government project management activities.Project management support includes activities such as risk, issue, and opportunity management, identification of performancerequirements, estimation of project costs, development of project plans, and identification of and achieving milestones throughoutthe project life cycle, from concept development, and formulation through initial system design, development, deployment, andmaintenance. The Contractor shall provide effective management of project(s), project schedule(s), performance, risks, warranties,subcontracts (if applicable), deliverables, and data that enables the successful management and completion of all projects.C.4.1.8.2 The Contractor shall provide support services to include requirements identification, change control, acquisition &amp;logistics, and operations and maintenance in support of developing and sustaining computing capabilities (CDRL A001).C.4.1.8.3 The Contractor shall provide support to answer data calls, respond to Cyber Directives (e.g., Command Task Orders(CTOs), Information Assurance Vulnerability Messages (IA VMs), Fragmentary Orders (FRAGORDS)), and other direction toensure IT and cybersecurity controls are maintained.C.4.1.8.4 The Contractor shall provide technical representation and attend technical In-Process Reviews/ Interim Progress Reviews(IPRs), Configuration Design Review (CDRs), System Design Review (SDRs), Change Control Board (CCB) meetings, ChangeAdvisory Board (CAB) meetings, as well as technical working group meetings and briefings (e.g., as an IT Project technical, ormanagement representative). The Contractor shall present information relative to current government IT Project managementposition, policies and plans but should not be construed as representing functions that are inherently governmental in nature.C.4.1.9 Testing</t>
        </is>
      </c>
      <c r="D48" s="13" t="inlineStr">
        <is>
          <t>TECHNICAL</t>
        </is>
      </c>
      <c r="E48" s="13" t="inlineStr">
        <is>
          <t>C</t>
        </is>
      </c>
      <c r="F48" s="13" t="inlineStr">
        <is>
          <t>Mandatory</t>
        </is>
      </c>
      <c r="G48" s="13" t="n">
        <v>9</v>
      </c>
      <c r="H48" s="13" t="inlineStr"/>
      <c r="I48" s="13" t="inlineStr">
        <is>
          <t>C.4.1.5, C.4.1.6, C.4.1.7, C.4.1.8, C.4.1.8.1, C.4.1.8.2, C.4.1.8.3, C.4.1.8.4, C.4.1.9</t>
        </is>
      </c>
    </row>
    <row r="49">
      <c r="A49" s="13" t="inlineStr">
        <is>
          <t>TW-C-0004</t>
        </is>
      </c>
      <c r="B49" s="13" t="inlineStr">
        <is>
          <t>C.4.1.9.1</t>
        </is>
      </c>
      <c r="C49" s="14" t="inlineStr">
        <is>
          <t>N0017826R30020003 - FINAL
Page 10 of 114
C.4.1.9.1 The Contractor shall support User and Government Acceptance Testing, perform software testing, perform hardwaretesting, perform service validation and testing (e.g., in conjunction with the deployment of system changes), and report results withrecommendations for resolving identified issues. (CDRL A002, A003, A004)C.4.1.10 Documentation Management and SupportThe Contractor shall develop technical documentation prepared in accordance with all applicable Government standards. Thistechnical documentation shall consist of but is not limited to elements such as physical database tables, on-line queries, standardizedreports, data extract and population routines, ad-hoc capabilities as specified by the Government, and modifications to existingoperating system software and system files or scripts. Technical documentation also includes but is not limited to:(a) Standard operating procedures (SOPs) and operations plans (CDRL A019)(b) Process guides(c) Service Design Packages(d) Customer/User Acceptance Criteria(e) Informational papers(f) Project plans(g) User stories(h) Communication plans(i) Requirements traceability matrices(j) Technical reports and notes(k) Miscellaneous publications(l) Configuration Management (CfM) documents(m) Risk registers(n) Logistics support plans(o) Performance or product specifications(p) Correspondence(q) Cybersecurity and Accreditation documentation(r) Technical Presentations(s) Integrated Master Schedules(t) Presentation materials (e.g., charts, briefings, viewgraphs, slide shows, videos, etc.)(u) Program related documentation(v) Other necessary technical and miscellaneous documentation.(CDRL A006, A019, A020, A021)C.4.1.10.1 The Contractor shall support the development of cybersecurity documentation (e.g., Disaster Recovery Plan &amp; SafetyManual, Emergency Action Plan, RMF and its successor, Authentication and Authorization (A&amp;A) documentation and associatedreports, and draft cybersecurity related SOPs).C.4.1.10.2 The Contractor shall recommend and develop draft Cybersecurity and system security procedures and practices, inaccordance with NSWCDD, DON, DoD Cybersecurity and Compliance Office standards, and administer approved procedures andpractices.C.4.1.10.3 Contractor format for reports, documents, drawings, and narrative type deliverables is acceptable with Governmentapproval. Otherwise, the Contractor shall use the Government provided format. Reports, documents, drawings, and narrative typedeliverables shall be delivered in accordance with the agreed upon schedule allowing mutually (Contractor and Government) agreedamount of time for Government comment. If the deliverable is adequate, the Government may provide comments for incorporationinto a final version. All Government comments shall either be incorporated in each succeeding version or the contractor mustdemonstrate, to the Government's satisfaction, why such comments should not be incorporated. If the Government finds that adeliverable does not conform to Government requirements, the document may be immediately rejected without further review andreturned to the contractor with Government direction on how to proceed.C.4.1.11 Contractor’ s Required On-site Response to Incidents, Outages, and Service Requests</t>
        </is>
      </c>
      <c r="D49" s="13" t="inlineStr">
        <is>
          <t>TECHNICAL</t>
        </is>
      </c>
      <c r="E49" s="13" t="inlineStr">
        <is>
          <t>C</t>
        </is>
      </c>
      <c r="F49" s="13" t="inlineStr">
        <is>
          <t>Mandatory</t>
        </is>
      </c>
      <c r="G49" s="13" t="n">
        <v>9</v>
      </c>
      <c r="H49" s="13" t="inlineStr"/>
      <c r="I49" s="13" t="inlineStr">
        <is>
          <t>C.4.1.9.1, C.4.1.10, C.4.1.10.1, C.4.1.10.2, C.4.1.10.3, C.4.1.11</t>
        </is>
      </c>
    </row>
    <row r="50">
      <c r="A50" s="13" t="inlineStr">
        <is>
          <t>TW-C-0005</t>
        </is>
      </c>
      <c r="B50" s="13" t="inlineStr">
        <is>
          <t>C.4.1.11.1</t>
        </is>
      </c>
      <c r="C50" s="14" t="inlineStr">
        <is>
          <t>N0017826R30020003 - FINAL
Page 11 of 114
C.4.1.11.1 During normal working hours, all required Contractor personnel shall respond with the appropriate subject matterexpert(s) to respond to and fulfill service requests, and to respond to and resolve service outages and other incidents or problems inaccordance with Government requirements such as Government service level agreements (SLAs).C.4.1.11.2 The Contractor shall dispatch technicians when incidents or problems cannot be resolved remotely or requests cannot befulfilled remotely. All Contractor personnel working off-site that are designated or required to fulfill service requests or resolveservice outages and other incidents/problems that require onsite work during and outside of normal working hours shall respondon-site arriving at the appropriate facility within one (1) hour of notification, alert, or request to begin work and promptly resolveoutages and other incidents that can’t be resolved remotely and to fulfill service requests that can’t be fulfilled remotely.C.4.1.11.3 For outages of services that the Government deems critical, the Contractor shall respond to call back requests on ayear-round 24-hour, 7-day basis.C.4.1.11.4 Upon request by the Government, the Contractor shall provide on-site support, callback support, or both outside of corehours in response to non-standard events (e.g., critical incidents, events that require immediate attention), adjusting work hours tonot exceed forty (40) hours per week, unless otherwise agreed to by the Government.C.4.1.11.5 The Contractor shall respond on-site with required subject matter expert(s) arriving at the appropriate facility within one(1) hour of notification, alert, or request to promptly provide services (e.g., resolve outages and other incidents that can’t be resolvedremotely, to fulfill service requests that can’t be fulfilled remotely). The Contractor shall contact each customer prior to an on-sitevisit to arrange for an appointment and acquire any additional information needed to resolve the incident/problem or fulfill therequest. The Contractor shall collect customer feedback (preferably via the Government’ s ITSM tool(s)) that shall be provided to theContractor and directly to the Government. All support shall satisfy service-level requirements.C.4.1.12 Cooperation and CollaborationC.4.1.12.1 All Contractor personnel shall work collaboratively and cohesively with Government personnel, customers, and othersupport Contractors as an integrated team to ensure delivery of reliable and responsive support to accomplish Governmentrequirements, goals, and objectives as efficiently and effectively as possible. The Contractor is expected to cooperate andcollaborate with all relevant IT personnel to achieve required service levels, availability, reliability, resiliency, and cybersecuritywith a posture of compliance.C.4.1.12.2 The Contractor shall develop, document, and execute Government-approved processes and procedures needed to manageday-to-day relationships with the Government, customers, other stakeholders, and other support vendors. The Contractor shalladhere to the processes.C.4.1.13 Surge SupportC.4.1.13.1 The Government may require surge support during the ordering period or any option period. Surge modifications must bein scope to provide increased support during or beyond normal business hours for the defined task areas of the SOW. Surge supportis OPTIONAL and is not a guarantee. If the Government determines that an increased quantity of support is required for the taskareas defined in the contract, the Government reserves the right to exercise the Surge Option unilaterally.C.4.1.13.2 The Contractor shall provide personnel to support mission essential situations. On occasion, IT support services may berequired to support mission essential situations (i.e., accident and rescue operations, civil disturbances, natural disasters, militarycontingency operations, exercises, continuing resolutions, etc.). Mission essential situations may necessitate the Contractor provideincreased or reduced support for beyond normal duty hours in one (1) or all work areas and tasks listed within the scope of thisSOW.C.4.1.13.3 The Contractor shall provide surge IT support for continuity exercises and missions when required by the Government.C.4.2 IT Service Management SupportThe Government's ITSM focus is not on “implementing ITIL" or merely implementing ITIL processes. The goal is to leverage andintegrate industry standards, best practices, lessons learned, principles, methodologies, and frameworks in a practical way thatcreates a cohesive, integrated, and pragmatic approach to ITSM practices. The Government seeks to understand and manage ITvalue streams/chains with a view to apply the appropriate level of rigor (no more, no less) in a way that maximizes the value ITco-creates with its customers. The Government is also seeking to improve the IT customer experience by employing ExperienceLevel Agreements (XLAs) managed according to ITXM best practices and lessons learned.The Contractor shall demonstrate successful integration, execution, and support of the Government’ s tailored and practicalimplementation of the latest versions of ITIL®, the DESMF, and other frameworks and methodologies (e.g., Agile, Scrum,DevSecOps, Lean), as appropriate. The Contractor shall ensure that all relevant Contractor employees know, understand, and followthe Government’ s ITSM processes and practices that each uses to perform their support duties.C.4.2.1 Service Level Management</t>
        </is>
      </c>
      <c r="D50" s="13" t="inlineStr">
        <is>
          <t>TECHNICAL</t>
        </is>
      </c>
      <c r="E50" s="13" t="inlineStr">
        <is>
          <t>C</t>
        </is>
      </c>
      <c r="F50" s="13" t="inlineStr">
        <is>
          <t>Mandatory</t>
        </is>
      </c>
      <c r="G50" s="13" t="n">
        <v>9</v>
      </c>
      <c r="H50" s="13" t="inlineStr"/>
      <c r="I50" s="13" t="inlineStr">
        <is>
          <t>C.4.1.11.1, C.4.1.11.2, C.4.1.11.3, C.4.1.11.4, C.4.1.11.5, C.4.1.12, C.4.1.12.1, C.4.1.12.2, C.4.1.13, C.4.1.13.1, C.4.1.13.2, C.4.1.13.3, C.4.2, C.4.2.1</t>
        </is>
      </c>
    </row>
    <row r="51">
      <c r="A51" s="13" t="inlineStr">
        <is>
          <t>TW-C-0006</t>
        </is>
      </c>
      <c r="B51" s="13" t="inlineStr">
        <is>
          <t>C.4.2.1.1</t>
        </is>
      </c>
      <c r="C51" s="14" t="inlineStr">
        <is>
          <t>N0017826R30020003 - FINAL
Page 12 of 114
C.4.2.1.1 The Contractor shall support the Government’ s Service Level Management practices. The Contractor shall review existingSLAs and collaborate with customers to propose and develop new SLAs, The Contractor shall provide recommendations to identifyand enhance alignment to Service Level Objectives (SLOs) and Service Level Indicators (SLIs).  The Contractor shall monitor andreport on existing SLAs with external providers to ensure service providers adhere to defined service level targets. Whereinterdependent or internal dependencies exist for SLAs, the Contractor shall provide recommendations for establishing OperationalLevel Agreements (OLAs), Memorandums of Agreement (MOA), and Memorandums of Understanding (MOU), or other agreementto define the required end-to-end service, level of services required, and roles and responsibilities of the stakeholders. TheContractor shall ensure a cohesive and integrated approach exists in executing Service Level Management. The Contractor shall:(a) Provide timely IT service reporting using information from ITSM tools, user surveys, and other sources as required to measurethe performance and progress of IT services delivery, projects, and Contractor performance.(b) Support and maintain the performance of IT services in accordance with SLAs/MOAs/MOUs/OLAs/SLOs/SLIs and PrivacyImpact Assessments (PIAs).(c) Perform systems engineering analysis to determine the appropriate equipment and computer programs required to establish andsustain capabilities needed to accomplish existing and emerging IT missions.(d) Support the collection of data, analysis, and delivery of IT reports.(e) Provide ad hoc performance, workload, or other reports at the request of the Government. These requests generally arise fromexternal requests for information or special projects requiring data other than that normally provided to the Government duringnormal reporting activities.C.4.2.1.2 The Contractor shall provide Scrum project management support and Scrum Master services.C.4.2.2 ITSM Tool(s)C.4.2.2.1 The Contractor shall use the Government’ s ITSM tool(s) in support of the Government’ s ITSM practices for IT and IMactivities such as end-to-end IT service delivery, Service Availability Assurance, Change Enablement, Incident Management,Release Management, Deployment Management, CfM, Service Catalog Management, Architecture Management, RequestFulfillment, Problem Management, Continual Improvement, patch management, ticket queue management, and for analyzing andreporting IT metrics. (CDRL A020)C.4.2.2.2 The Contractor shall collaborate with the Government to mature existing business and ITSM processes and workflows,and implementing new processes that reflect industry best practices, maturity models, and frameworks (e.g., ITIL®, DESMF, Agile,Scrum, DevSecOps) ensuring a cohesive service delivery capability that integrates all relevant business and IT service managementprocesses and workflows.C.4.2.2.3 The Contractor shall perform ITSM tool(s) administration and update tasks with Government approval to create new useraccounts, delete user accounts, and modify user interface schemas.C.4.2.3 Service Catalog ManagementC.4.2.3.1 The Contractor shall provide expertise and support for the Government’ s implementation of a comprehensive, easy-to-use,IT service catalog with customer-specific views that deliver a personalized experience. The service catalog shall be a single sourceof accurate and consistent information on all operational services that are available to stakeholders (internal and external) andcustomers who are authorized to access it.C.4.2.4 Change EnablementC.4.2.4.1 The Contractor shall support the Government’ s Change Enablement practice and Change Management process goals.C.4.2.4.2 The Contractor shall participate in and provide required expertise, support, and input for the Government’ s CAB(s), CCB(s), or both.C.4.2.4.3 The Contractor shall adhere to the Government’ s risk, issue, and opportunity management practices and processes. TheContractor shall support the Government’ s efforts to effectively plan for and manage risks, issues, and opportunities. The Contractorshall manage and prepare risk and opportunity registers, risk assessments, analyses, studies, and risk mitigation and issue resolutionrecommendations.C.4.2.4.4 The Contractor shall provide expertise and support for NSWCDD’ s Organizational Change Management efforts.C.4.2.4.5 The Contractor shall perform critical ITSM tasks including but not limited to opening/closing, tracking, reporting, andmonitoring ITSM Change Requests.C.4.2.5 Service Configuration ManagementC.4.2.5.1 The Contractor shall provide expertise and support for NSWCDD's IT Service CfM practice (ITIL / ISO 20000) and the</t>
        </is>
      </c>
      <c r="D51" s="13" t="inlineStr">
        <is>
          <t>TECHNICAL</t>
        </is>
      </c>
      <c r="E51" s="13" t="inlineStr">
        <is>
          <t>C</t>
        </is>
      </c>
      <c r="F51" s="13" t="inlineStr">
        <is>
          <t>Mandatory</t>
        </is>
      </c>
      <c r="G51" s="13" t="n">
        <v>9</v>
      </c>
      <c r="H51" s="13" t="inlineStr"/>
      <c r="I51" s="13" t="inlineStr">
        <is>
          <t>C.4.2.1.1, C.4.2.1.2, C.4.2.2, C.4.2.2.1, C.4.2.2.2, C.4.2.2.3, C.4.2.3, C.4.2.3.1, C.4.2.4, C.4.2.4.1, C.4.2.4.2, C.4.2.4.3, C.4.2.4.4, C.4.2.4.5, C.4.2.5, C.4.2.5.1</t>
        </is>
      </c>
    </row>
    <row r="52">
      <c r="A52" s="13" t="inlineStr">
        <is>
          <t>TW-C-0007</t>
        </is>
      </c>
      <c r="B52" s="13" t="inlineStr">
        <is>
          <t>C.1</t>
        </is>
      </c>
      <c r="C52" s="14" t="inlineStr">
        <is>
          <t>N0017826R30020003 - FINAL
Page 13 of 114
DoD CfM process (MIL-HDBK-61B / EIA-649B) to provide accurate information and control of all service assets, configurationitems (CIs), and their relationships, that comprise NSWCDD's IT infrastructure. The IT Service CfM practice is meant to enable theestablishment and maintenance of a robust configuration management system (CMS) that serves as the cornerstone of IT operations.It ensures accurate and reliable information about the configuration of services, systems, and infrastructure components, which isavailable to support effective IT service management. DoD CfM is defined as the discipline that applies technical and administrativedirection and surveillance for identifying a system’ s configuration at discrete points in time to systematically control changes to theconfiguration. It also maintains the configuration’ s integrity and traceability throughout the system’ s life cycle. Further, DoD CfMidentifies baselines, as well as controls and reports changes to hardware, software, and relevant documentation. The scope of CfMalso extends to non-IT assets and to internal and external service providers, where shared assets need to be managed and controlled.(CDRL A020)C.4.2.5.2 The Contractor shall identify, control, and account for service assets and CIs, protecting and ensuring their integrity acrossthe service lifecycle.C.4.2.5.3 Using Government ITSM Tool(s), the Contractor shall maintain an extensible CfM Database (CMDB) structure thatdepicts the relationships between CIs in a way that supports end-to-end IT service delivery including but not limited to ChangeManagement, incident resolution, issue resolution, what-if scenarios, and problem resolution.C.4.2.5.4 Using Government ITSM tool(s), the Contractor shall develop and maintain the Government’ s CMS, which shall be arepository of all records and information pertaining to the installation and maintenance of IT hardware and software assets.C.4.2.5.5 The Contractor shall develop and maintain a complete and Government-approved IT asset inventory database and aCMDB as components of the CMS that are readily accessible to Government personnel as needed.C.4.2.5.6 The Contractor shall provide CfM support to include all the elements of IM resources with a proficient level of detail formanaging the information. The Contractor shall support the Government's CfM baseline ensuring it provides accurate informationabout IM and IT resources, implementing and maintaining Incident Management, Problem Management, Change Management,Release Management, and Deployment Management, and other relevant processes and practices. The goals include but are notlimited to ensuring that incidents can be managed and resolved effectively and finding the cause of problems rapidly and making thechanges necessary to solve them, keeping the CfM baseline up to date within SLA requirements, periodically monitoring theconfiguration of the systems in the production environment and comparing it with that held in the CfM baseline to correct anydiscrepancies.C.4.2.6 Service Continuity ManagementC.4.2.6.1 The Contractor shall provide expertise and support for Service Continuity Management planning. The Contractor shallprovide input for improving IT resiliency and for IT services recovery plans.C.4.2.6.2 The Contractor shall provide IT support for continuity exercises and missions.C.4.2.7 Availability ManagementC.4.2.7.1 The Contractor shall provide support and expertise for Availability Management ensuring application systems areoperational and available and shall:-Ensure system availability meets SLA/MOA/MOU/OLA requirements.-Provide input for After Action Reports.C.4.2.8 Capacity ManagementC.4.2.8.1 The Contractor shall provide support for Capacity Management ensuring that IT resources are in place or available tosatisfy planned needs and that those assets are effectively used.C.4.2.9 Incident Management and Request FulfillmentC.4.2.9.1 The Contractor shall support the Government’ s Incident Management and Request Fulfillment practices. The Contractorshall effectively respond to assigned incidents and problems and fulfill assigned service requests within service-level requirements.C.4.2.9.2 The Contractor shall provide support and expertise for integrating Incident Management processes with ITSM tool(s), theHelpdesk, Problem Management, Change Management, Configuration Management, and other processes as needed.C.4.2.10 Problem ManagementC.4.2.10.1 The Contractor shall support the Government’ s Problem Management practice and conduct corrective work to preventrecurrences of IT problems.C.4.2.11 Knowledge ManagementC.4.2.11.1 The contractor shall support the Government’ s Knowledge Management (KM) practice and contribute to the</t>
        </is>
      </c>
      <c r="D52" s="13" t="inlineStr">
        <is>
          <t>TECHNICAL</t>
        </is>
      </c>
      <c r="E52" s="13" t="inlineStr">
        <is>
          <t>C</t>
        </is>
      </c>
      <c r="F52" s="13" t="inlineStr">
        <is>
          <t>Mandatory</t>
        </is>
      </c>
      <c r="G52" s="13" t="n">
        <v>9</v>
      </c>
      <c r="H52" s="13" t="inlineStr"/>
      <c r="I52" s="13" t="inlineStr">
        <is>
          <t>C.4.2.5.2, C.4.2.5.3, C.4.2.5.4, C.4.2.5.5, C.4.2.5.6, C.4.2.6, C.4.2.6.1, C.4.2.6.2, C.4.2.7, C.4.2.7.1, C.4.2.8, C.4.2.8.1, C.4.2.9, C.4.2.9.1, C.4.2.9.2, C.4.2.10, C.4.2.10.1, C.4.2.11, C.4.2.11.1</t>
        </is>
      </c>
    </row>
    <row r="53">
      <c r="A53" s="13" t="inlineStr">
        <is>
          <t>TW-C-0008</t>
        </is>
      </c>
      <c r="B53" s="13" t="inlineStr">
        <is>
          <t>C.4.2.11.2</t>
        </is>
      </c>
      <c r="C53" s="14" t="inlineStr">
        <is>
          <t>The Contractor shall maintain the KM database while capturing, centralizing, and maintaining the knowledge anddocumentation repository published in the ITSM tool(s).C.4.2.11.2 The Contractor shall provide updates to KM artifacts such as, workarounds, solutions, application SOPs, online help/wikipages, and user-community “how-to” documentation as needed.C.4.2.12 IT Asset Management (ITAM)C.4.2.12.1 The Contractor shall support the Government's ITAM practice to include but not limited to accurate record keeping ofinformation such as installations, moves, adds and changes (IMACs), asset receipts, transfers, location, assigned custodian,hardware/software inventory, purchase orders, purchase cost, maintenance cost, lifecycle repair costs, and turn-in; as well asupdating and maintaining current data in the Government's ITSM tool(s).C.4.2.12.2 The Contractor shall provide expertise and support for Software Asset Management (SAM). SAM activities may includebut are not limited to establishing, managing, and maintaining an enterprise definitive media library, assessments of softwareinstallations, license compliance, purchase order information, maintenance contract start and end dates, timely maintenance andsubscription renewal notices, and analysis of software usage data needed to optimize software usage and eliminate excess costsassociated with unused software licenses.C.4.2.12.3 The Contractor shall provide expertise and support for Hardware Asset Management (HAM). HAM activities shallinclude but are not limited to tracking assets, knowing where those assets are deployed, how they are used, financial information,purchase order information, supply vendor information, monitoring and reporting maintenance contract start and end dates, timelynotices for maintenance renewal and refresh schedule, how frequently hardware assets are used, their repair status, lifecycleinformation (including costs), and when they need to be replaced or disposed of.C.4.2.12.4 The Contractor shall develop, implement, and adhere to a Government-approved process that ensures IT assets aretracked, managed, patched, supported in accordance with SLAs/MOAs/MOUs/MOAs, SLO and SLI requirements, refreshed, anddisposed of in accordance with all legal, regulatory, Department of the Navy (DON), and NSWCDD, and other requirements.C.4.2.12.5 The Contractor shall identify equipment and software requirements and develop a proposed annual buy-list to addresstechnology obsolescence issues for Government approval. (CDRL A024)C.4.2.13 IT Inventory ManagementC.4.2.13.1 The Contractor shall be responsible for the delivery, deployment, and support of all IT assets and configuration itemsincluding but not restricted to telephones, pads, computers, and peripherals, such as printers and scanners.C.4.2.13.2 The Contractor shall track and record the receipt, management, and delivery of all equipment and related items (e.g.,domain controllers, servers, endpoints).C.4.2.13.3 The Contractor shall develop and adhere to a Government-approved process for the receipt, management, delivery, andtracking of all equipment and related items throughout their lifecycles (from cradle to grave). The Contractor shall adhere to theprocess.C.4.2.13.4 The Contractor shall verify material or merchandise against receiving documents, noting and reporting discrepancies andobvious damages.C.4.2.13.5 The Contractor shall route materials to prescribed storage locations or bins and store, stack, or palletize materials inaccordance with Government prescribed storage methods.C.4.2.13.6 The Contractor shall update procurement tracker for materials received.C.4.2.13.7 The Contractor shall track where hardware and software is installed and stored at all times as a part of its inventorymanagement responsibilities. The Contractor shall track and maintain the inventory of stored materials from acceptance to deliveryto the end user. (CDRL A026)C.4.2.13.8 The Contractor shall deliver material to end-user within Government provided timeline and track and record the receipt,management, and delivery of them using the Government provided tool(s).C.4.2.13.9 The Contractor shall coordinate the return of equipment for repair or replacement under warranty and coordinate therepairs for hardware no longer under warranty.C.4.2.13.10 The Contractor shall regularly examine stored materials and report all deterioration or damage. The Contractor shallremove material from storage and prepare for return.C.4.2.13.11 The Contractor shall provide IT acquisition and logistics support for the areas including but not restricted torequisitions, material management, inventory control, and associated database management.C.4.2.13.12 The Contractor shall receive and inventory IT assets including but not limited to workstations and peripherals.</t>
        </is>
      </c>
      <c r="D53" s="13" t="inlineStr">
        <is>
          <t>TECHNICAL</t>
        </is>
      </c>
      <c r="E53" s="13" t="inlineStr">
        <is>
          <t>C</t>
        </is>
      </c>
      <c r="F53" s="13" t="inlineStr">
        <is>
          <t>Mandatory</t>
        </is>
      </c>
      <c r="G53" s="13" t="n">
        <v>9</v>
      </c>
      <c r="H53" s="13" t="inlineStr"/>
      <c r="I53" s="13" t="inlineStr">
        <is>
          <t>C.4.2.11.2, C.4.2.12, C.4.2.12.1, C.4.2.12.2, C.4.2.12.3, C.4.2.12.4, C.4.2.12.5, C.4.2.13, C.4.2.13.1, C.4.2.13.2, C.4.2.13.3, C.4.2.13.4, C.4.2.13.5, C.4.2.13.6, C.4.2.13.7, C.4.2.13.8, C.4.2.13.9, C.4.2.13.10, C.4.2.13.11, C.4.2.13.12</t>
        </is>
      </c>
    </row>
    <row r="54">
      <c r="A54" s="13" t="inlineStr">
        <is>
          <t>TW-C-0009</t>
        </is>
      </c>
      <c r="B54" s="13" t="inlineStr">
        <is>
          <t>C.4.2.13.13</t>
        </is>
      </c>
      <c r="C54" s="14" t="inlineStr">
        <is>
          <t>N0017826R30020003 - FINAL
Page 15 of 114
C.4.2.13.13 The Contractor shall manage Activity Telecommunications Control Office (ATCO) device inventory and advise theATCO when orders are required.C.4.2.13.14 The Government will provide access to a government provided vehicle (GPV) for Authorized Drivers to perform taskswithin the scope of this SOW that require a GPV , subject to Government approval and availability (see C.22).C.4.2.14 Service Financial ManagementC.4.2.14.1 The Contractor shall provide inputs to cost estimates.C.4.2.14.2 The Contractor shall provide expertise and support for Technology Business Management in order to quantify theexpected business value of IT initiatives and to ensure a consistent way to connect IT value to technology investments whileenabling IT, finance, and mission/business leaders to react quickly to changing dynamics and optimally leverage IT to deliver onmission/business objectives.C.4.2.14.3 The Contractor shall provide decision support with technical analysis and financial analysis, including but not limited toalternative analysis, business case analysis (BCA), cost estimating, and manpower analysis, that support the Government’ s ability tomake informed technology, business, and investment decisions. (CDRLs A009, A013)C.4.2.15 Risk ManagementC.4.2.15.1 The Contractor shall practice effective risk, issue, and opportunity management. The Contractor shall identify, report, andmitigate project and technical risks and issues and provide meaningful metrics to report status.  The Contractor shall participate withthe Government to review and collaborate on risk assessments and mitigation approaches.C.4.2.16 Continual ImprovementC.4.2.16.1 Continual Improvement focuses on the monitoring and reporting of service and performance metrics as well as theongoing evaluation of the collected data to maximize efficiency and effectiveness in a balanced way while remaining affordable.The Contractor shall manage opportunities as part of the Continual Improvement practice. The Contractor shall monitor IT servicedelivery performance, practices, and processes to identify opportunities for Continual Improvement endeavoring to optimizeNSWCDD’ s IT ecosystem and actively explore new technologies and ways of working while preparing its personnel to supportthem as they are implemented.C.4.2.16.2 The Contractor shall identify, recommend, measure, and report the results of improvements to on-going operations andprovide recommendations for planning, organizing, and managing critical aspects of the development, design, testing, deployment,and effectiveness of capabilities.  (CDRL A010)C.4.2.16.3 The Contractor shall continuously monitor systems, capabilities, and services from an end-to-end perspective forperformance degradation and service interruptions. If performance degradation, faults, or interruptions are detected, the Contractorshall report it to the Government.C.4.2.16.4 The Contractor shall work with the Government to collect user surveys and provide analysis and recommendations toenhance end-to-end IT service performance, reduce costs, and achieve efficiencies. (CDRL A006)C.4.2.17 Customer IT Experience Management SupportC.4.2.17.1 An IT customer's experience encompasses all aspects of the customer's interaction with IT, its services, and its products.ITXM is the continual, end-to-end measurement, analysis, and sharing of customer experience data to identify and successfullyaddress key areas where customer experience can be improved resulting in increased business value for customers and otherstakeholders. With the help of human-centric metrics, ITXM helps answer questions such as: Did the customer feel good about theend-to-end interaction with IT? Did IT help the customer solve a problem? Did IT help the customer be more productive? Whatwent well? What needs improvement? As such, ITXM is not as much about improving technology as it is about improving thecustomer’ s happiness during their interactions with IT and fulling IT’ s commitments as specified in XLAs. The Contractor shallprovide effective subject matter expertise and operational support for planning, implementing, evaluating, analyzing XLAs, XLAdata, and the Government's ITXM practice.C.4.2.17.2 The Contractor shall ensure NSWCDD stakeholders are happy with its quality of services and deliverables, speed ofdelivery, technical knowledge, approachability, and communications.C.4.3 Contractor Workforce ManagementC.4.3.1 The Contractor shall provide fully trained, skilled, certified, and experienced personnel capable of achieving programrequirements and that meet the qualifications provided in the Task Order for the duration of the Task Order.C.4.3.2 The normal hours of work at NSWCDD are provided in G-242-H002 Hours of Operation and Holiday Schedule. TheContractor shall maintain a core work schedule of 0900-1500, Monday through Friday except for Federal Holidays.C.4.3.3 The Government may require extended hours of support beyond the core-working schedule provided in G-242-H002 Hours</t>
        </is>
      </c>
      <c r="D54" s="13" t="inlineStr">
        <is>
          <t>TECHNICAL</t>
        </is>
      </c>
      <c r="E54" s="13" t="inlineStr">
        <is>
          <t>C</t>
        </is>
      </c>
      <c r="F54" s="13" t="inlineStr">
        <is>
          <t>Mandatory</t>
        </is>
      </c>
      <c r="G54" s="13" t="n">
        <v>9</v>
      </c>
      <c r="H54" s="13" t="inlineStr"/>
      <c r="I54" s="13" t="inlineStr">
        <is>
          <t>C.4.2.13.13, C.4.2.13.14, C.22, C.4.2.14, C.4.2.14.1, C.4.2.14.2, C.4.2.14.3, C.4.2.15, C.4.2.15.1, C.4.2.16, C.4.2.16.1, C.4.2.16.2, C.4.2.16.3, C.4.2.16.4, C.4.2.17, C.4.2.17.1, C.4.2.17.2, C.4.3, C.4.3.1, C.4.3.2, C.4.3.3</t>
        </is>
      </c>
    </row>
    <row r="55">
      <c r="A55" s="13" t="inlineStr">
        <is>
          <t>TW-C-0010</t>
        </is>
      </c>
      <c r="B55" s="13" t="inlineStr">
        <is>
          <t>C.1</t>
        </is>
      </c>
      <c r="C55" s="14" t="inlineStr">
        <is>
          <t>N0017826R30020003 - FINAL
Page 16 of 114
of Operation and Holiday Schedule. Extended hours of support will be in-scope to provide after-normal-working hours support forthe defined task areas of the SOW. Extended hours of support are OPTIONAL and is not a guarantee. If the Government determinesthat extended hours of support is required for the task areas defined in the SOW is required.C.4.3.4 The Contractor shall be in daily contact, weekly contact, or both (as mutually agreed by Contractor and Government) withits government counterparts. The frequency of these contacts will change depending upon the workload or issues identified. TheContractor shall keep the Government apprised of its activities on a regular basis. The Contractor shall notify the Government viaCOR per G-242-W001 for all delayed arrival or absence of Contractor personnel for Government Awareness.C.4.3.5 The Contractor shall submit its Workforce Management Plan to successfully attract, hire, train, and retain personnelqualified to perform the work described herein and its approach for professional growth and development of personnel to maintainpace with technology, IT support methodologies and frameworks, and changes to government standards, practices, technologies, andmission. (CDRL A027)C.4.3.6 The Contractor shall continually deliver all required expertise, support, and contract deliverables at the requiredperformance standards regardless of departing or on-boarding of personnel, personnel on short-term or long-term leave, or vacantpositions.C.4.3.7 The Contractor shall plan and execute employee transitions in a way that:(a) Facilitates smooth knowledge transfer(b) Ensures the transitioning-in employee has the skills and knowledge to perform the work(c) Ensures business continuity and avoids disruptions(d) Prevents losses, missed opportunities, and other risks that can occur during transitional phases(e) Ensures the transitioning-in employee understands their duties and responsibilities, is aware of critical projects and initiatives,and understands the Government's priorities and deadlines.C.4.4 Endpoint SupportC.4.4.1 The Contractor shall provide end-to-end, full-lifecycle endpoint (computer and network) support of IT assets and resources.C.4.4.2 The Contractor shall perform troubleshooting and reconfigurations to resolve problems and performance issues or to satisfyneed and requirement changes.C.4.4.3 The Contractor shall provide support for troubleshooting, repair, hardware and software upgrades and updates, operatingsystem installation, system imaging, deployment and removal, and customer support (e.g., desktops, workstations, zero/thin clients,virtual desktops, printers and mobile IT).C.4.4.4 The Contractor shall maintain a patch repository for all operating system, 3rd party and vendor software, andhardware/firmware upgrades for all supported software and hardware. The Contractor shall download and centralize all requiredupdates on a monthly and ad hoc basis as needed. The Contractor shall create media for assets that cannot access the centralizedrepository.C.4.4.5 The Contractor shall provide hardware configuration and software configuration of endpoints including but not limited todesktop, laptop, thin clients, virtual desktops, mobile devices, and printer/scanner devices. This shall include setup, staging,installation, initialization, and testing of hardware and software, operating systems, interfaces (e.g., user, network, and application),applications, and delivery of endpoints.C.4.4.6 The Contractor shall verify that workstations are built using the Government-approved baseline image. The Contractor shallperform physical and logical IMACs. Baseline configurations shall be applied using Government-approved disk-imaging utilities.The vendor shall use Government-approved standard workstation images, deploy the images to the staged hardware, deliver anddeploy the system(s).C.4.4.7 The Contractor shall plan for technology refreshes as determined by the Government. The Contractor shall anticipate, plan,and augment staff appropriately for the deployment of technology refreshes.  The Contractor shall ensure user data is safeguardedand properly secured during device replacements or refreshes. The Contractor shall plan for a minimum of 20% asset replacementsper year.C.4.4.8 The Contractor shall install, configure, manage, and maintain printers.C.4.4.9 The Contractor shall configure and upgrade hardware and software for servers, endpoints and their operating systems (e.g.,Windows, Linux, UNIX, macOS, Android, and iOS).C.4.4.10 The Contractor shall provide technical support and assistance for users with special needs. This support includes activitiessuch as responding to service requests and incidents for hardware and software needed to support people with disabilities.</t>
        </is>
      </c>
      <c r="D55" s="13" t="inlineStr">
        <is>
          <t>TECHNICAL</t>
        </is>
      </c>
      <c r="E55" s="13" t="inlineStr">
        <is>
          <t>C</t>
        </is>
      </c>
      <c r="F55" s="13" t="inlineStr">
        <is>
          <t>Mandatory</t>
        </is>
      </c>
      <c r="G55" s="13" t="n">
        <v>9</v>
      </c>
      <c r="H55" s="13" t="inlineStr"/>
      <c r="I55" s="13" t="inlineStr">
        <is>
          <t>C.4.3.4, C.4.3.5, C.4.3.6, C.4.3.7, C.4.4, C.4.4.1, C.4.4.2, C.4.4.3, C.4.4.4, C.4.4.5, C.4.4.6, C.4.4.7, C.4.4.8, C.4.4.9, C.4.4.10</t>
        </is>
      </c>
    </row>
    <row r="56">
      <c r="A56" s="13" t="inlineStr">
        <is>
          <t>TW-C-0011</t>
        </is>
      </c>
      <c r="B56" s="13" t="inlineStr">
        <is>
          <t>C.4.4.11</t>
        </is>
      </c>
      <c r="C56" s="14" t="inlineStr">
        <is>
          <t>C.4.4.11 Unified IT Helpdesk Operations and SupportC.4.4.12 The Contractor shall operate, maintain, and provide the Unified Helpdesk with all required staff to provide effectivecoverage and support services (meets or exceeds SLA, and XLA targets) available to the NSWCDD community. The Contractorshall also meet evolving needs in response to changing and future NSWCDD requirements and optional surge support requirements.The Contractor shall staff the Helpdesk in the most efficient manner consistent with SLAs, and XLAs. The Contractor is responsiblefor providing all required expertise and support to perform Helpdesk functions and activities including but not limited to thefollowing:(a) Managing Helpdesk processes.(b) Incident management and resolution.(c) Problem management and resolution.(d) Service request management and fulfillment.(e) Monitoring and event management.(f) Customer relationship management.(g) Knowledge management.(h) Disseminating information regarding planned outages or incidents impacting production services.(i) Providing information to users regarding the status and closure of their respective service requests.(j) Soliciting user feedback regarding the quality of service provided by the Helpdesk.(k) Working with the Government to resolve system access issues.(l) Continual improvement.(m) Providing customers and other stakeholders with assistance and end-user training.(n) Resolving and managing Mission Assurance Decision Support System (MADSS) trouble calls.(o) Improving customer IT experience.C.4.4.12.1 The Contractor shall maintain a database of important ITSM information such as incidents, changes, user requests,assistance and resolutions in the ITSM Tool(s) provided by the Government. The Contractor shall use this tool to provide metricsand reports to inform the Government (e.g., statuses, progress, risks, changes, incidents, customer sentiment, problems, trends,issues, Total Issues Opened and Closed by Severity, Issues Opened and Closed by Product, and Total Issues Currently Opened).C.4.4.12.2 The Contractor shall employ multiple bidirectional channels to communicate with customers and other stakeholders.Helpdesk communication channels shall be secure, accessible, and compliant with all applicable regulations, policies, and rules, andbe available where needed and when needed with relevant contextual information. All interfaces shall be clear, intuitive, helpful,and functional. The Contractor shall complete all incident resolutions and service requests within Government established serviceand operational level agreements. The Contractor shall enable and continually improve effective, efficient, and convenientcommunications between the Helpdesk and its users while enabling the effective integration of user communications into valuestreams.C.4.4.12.3 The Government may require extended hours of Helpdesk support beyond the normal working hours during the orderingperiod or any option period. Extended hours of Helpdesk support will be in-scope to provide after-normal working hours support forthe defined task areas of the SOW. Extended hours of Helpdesk support are OPTIONAL and is not a guarantee. If the Governmentdetermines that extended hours of Helpdesk support are required for the task areas defined in the SOW.C.4.4.12.4 The Contractor shall employ various sources of information including but not limited to industry best practices, customersatisfaction surveys, and huma-centric IT Experience surveys and other collected experience data to implement, staff, and operatethe unified Helpdesk as a single point-of-contact that is suitable to meet the needs of customers and other stakeholders.C.4.4.12.5 The Contractor shall contact each customer prior to an on-site visit to arrange for an appointment and acquire anyadditional information needed to resolve the incident/problem or fulfill the request. The Contractor shall provide a means to collectcustomer feedback that shall be provided to the Contractor and directly to the Government. All support shall satisfy service-levelrequirements.C.4.4.12.6 The Contractor shall provide expertise and support for processes and practices that the Government will establish as itsITSM practices and processes as they mature and expand beyond just the processes and practices explicitly listed in this contract toinclude up to the entire scope of ITSM activities as described in the most current versions of the frameworks, practices, andmethodologies (e.g., ITIL® framework, the DESMF, Scrum, Agile, DevSecOps).</t>
        </is>
      </c>
      <c r="D56" s="13" t="inlineStr">
        <is>
          <t>TECHNICAL</t>
        </is>
      </c>
      <c r="E56" s="13" t="inlineStr">
        <is>
          <t>C</t>
        </is>
      </c>
      <c r="F56" s="13" t="inlineStr">
        <is>
          <t>Mandatory</t>
        </is>
      </c>
      <c r="G56" s="13" t="n">
        <v>20</v>
      </c>
      <c r="H56" s="13" t="inlineStr"/>
      <c r="I56" s="13" t="inlineStr">
        <is>
          <t>C.4.4.11, C.4.4.12, C.4.4.12.1, C.4.4.12.2, C.4.4.12.3, C.4.4.12.4, C.4.4.12.5, C.4.4.12.6</t>
        </is>
      </c>
    </row>
    <row r="57">
      <c r="A57" s="13" t="inlineStr">
        <is>
          <t>TW-C-0012</t>
        </is>
      </c>
      <c r="B57" s="13" t="inlineStr">
        <is>
          <t>C.4.4.12.7</t>
        </is>
      </c>
      <c r="C57" s="14" t="inlineStr">
        <is>
          <t>N0017826R30020003 - FINAL
Page 18 of 114
C.4.4.12.7 The Contractor shall manage the Helpdesk that is the single point-of-contact for users requesting support, services, forthe reporting of incidents, and maintaining and using the Knowledge Management Repository. The Contractor shall collect datanecessary for and incidental to, the efficient resolution of all service requests and incidents. In the event the ITSM Tool(s) are notproperly configured to facilitate the collection of all required data, the Contractor is expected to proactively suggest improvementsto the ITSM Tool(s). For data not accessible via the ITSM Tool(s), the Contractor shall work with the Government to obtain thatdata.C.4.4.12.8 The Contractor shall maintain a database of user requests, assistance, and resolutions in the ITSM tool(s) provided by theGovernment. The Contractor shall use the tool(s) to raise and track tickets, process and record IT service requests, record andprovide metrics, and reports to inform the Government of problems, trends and issues; as well as total Issues Opened and Closed bySeverity; Issues Opened and Closed by Product; and Total Issues Currently Opened.C.4.4.12.9 The Contractor shall manage Helpdesk processes including the capture, routing, tracking, closing, and reporting of allservice requests and reported incidents.C.4.4.12.10 The Contractor shall immediately escalate Incidents or Service Requests that are outside the scope of their responsibilityto the appropriate work group.C.4.4.12.11 The Contractor shall provide digital signage lifecycle support services including design, professional installation,seamless content management, and ongoing maintenance ensuring Government displays are operational and provide important andtimely notices and information.C.4.4.13 Telecommunications SupportC.4.4.13.1 The Contractor shall provide expertise and integrated support services that satisfy the requirements of the Government'sV oice solution(s) (e.g., V oIP, POTS, cellular).C.4.4.13.2 The Contractor shall perform operations, administration, and management of the Government's TelecommunicationsServices which includes but is not limited to managing and communicating outages to alert end users (unscheduled outages) and forplanning purposes (scheduled outages/maintenance), management of user accounts and telephone devices, voice network securitymanagement, and coordinating and performing IMACs in cooperation with the Government’ s voice services providers.C.4.4.13.3 In coordination with the Government’ s ATCO and Departmental Technical Representatives (DTRs) the Contractor shalltrack, issue, and manage NSWCDD’ s phones (e.g., voice over IP (V oIP), analog), wireless devices and telecommunications services.C.4.4.13.4 The Contractor shall track requests for telecommunications service and equipment.C.4.4.13.5 The Contractor shall receive, process, and breakdown the vendor provided wireless billing for delivery to theDepartments for validation. The Contractor shall identify and report potential discrepancies of billing for vendor-provided services.C.4.4.13.6 The Contractor shall record and report ATCO-related metrics, and develop telecommunications related reports, anddocuments.C.4.4.13.7 The Contractor shall track requests for service and equipment (e.g., phones, cell phones, pads, jetpacks, VOIP phonesand accounts, and landlines) and provide relevant ad hoc and monthly reports. (CDRL A006)C.4.4.13.8 The Contractor shall provide knowledge and expertise for the design, implementation, maintenance, management, andoperation of the Government’ s V oIP systems.C.4.4.13.9 The Contractor shall liaise with the wireless service provider Helpdesk for ATCO services and devices.C.4.4.13.10 The Contractor shall develop Government-approved procedures and proposed techniques for use by the ATCO for theprovision of communication services and tracking of issued devices. The Contractor shall adhere to the processes and procedures.C.4.4.13.11 The Contractor shall distribute ATCO-approved devices, accessories and peripherals.C.4.4.13.12 The Contractor shall provide expertise and support for billing analysis for V oice, and for analyzing call pattern anomalydetection, and prevention for real-time detection of toll fraud, dialing, and service abuse/misuse for voice networks.C.4.4.13.13 The Contractor shall identify and report potential discrepancies of ATCO departmental billing for vendor-providedservices.C.4.4.13.14 The Contractor shall process telecommunications requests for landlines, cell phones jetpacks, iPhones, and iPads.C.4.4.13.15 The Contractor shall train end users on the use of V oIP, and mobile device technology.C.4.4.13.16 The Contractor shall conduct telecommunications user surveys and analyze the communication systems services toensure they meet the needs of customers.C.4.4.13.17 The Contractor shall keep pace with new products and enhancements to mobile technology.</t>
        </is>
      </c>
      <c r="D57" s="13" t="inlineStr">
        <is>
          <t>TECHNICAL</t>
        </is>
      </c>
      <c r="E57" s="13" t="inlineStr">
        <is>
          <t>C</t>
        </is>
      </c>
      <c r="F57" s="13" t="inlineStr">
        <is>
          <t>Mandatory</t>
        </is>
      </c>
      <c r="G57" s="13" t="n">
        <v>20</v>
      </c>
      <c r="H57" s="13" t="inlineStr"/>
      <c r="I57" s="13" t="inlineStr">
        <is>
          <t>C.4.4.12.7, C.4.4.12.8, C.4.4.12.9, C.4.4.12.10, C.4.4.12.11, C.4.4.13, C.4.4.13.1, C.4.4.13.2, C.4.4.13.3, C.4.4.13.4, C.4.4.13.5, C.4.4.13.6, C.4.4.13.7, C.4.4.13.8, C.4.4.13.9, C.4.4.13.10, C.4.4.13.11, C.4.4.13.12, C.4.4.13.13, C.4.4.13.14, C.4.4.13.15, C.4.4.13.16, C.4.4.13.17</t>
        </is>
      </c>
    </row>
    <row r="58">
      <c r="A58" s="13" t="inlineStr">
        <is>
          <t>TW-C-0013</t>
        </is>
      </c>
      <c r="B58" s="13" t="inlineStr">
        <is>
          <t>C.4.4.13.18</t>
        </is>
      </c>
      <c r="C58" s="14" t="inlineStr">
        <is>
          <t>N0017826R30020003 - FINAL
Page 19 of 114
C.4.4.13.18 The Contractor shall perform Purebred Agent Functions for activation of encryption on wireless devices beingdeployed.C.4.4.13.19 The Contractor shall provide expertise and support services for managing V oice networks, for network monitoring, fornetwork planning and optimization, for trouble-handling, for fault management, for incident management, and performancemanagement.C.4.4.13.20 The Contractor shall perform phone IMACs, V oIP phone hardware refreshes, and troubleshoot V oIP phones.C.4.4.13.21 The Contractor shall provide enterprise-wide call details record collection, call accounting, resource utilizationreporting, and traffic analysis for proactive network management.C.4.4.13.22 The Contractor shall develop and maintain a dashboard(s) in the appropriate ITSM tool(s) for enterprise-wide visibilityof V oice infrastructure performance, with real-time and continuous monitoring of circuit health &amp; status, and call qualityperformance, and Quality of Service metrics.C.4.4.13.23 The Contractor shall develop, implement, and manage a shared V oice Services knowledge base that is accessible usingthe ITSM tool(s).C.4.4.13.24 The Contractor shall develop, implement, and execute management and operations processes for the effective, efficient,and affordable support of the Government's V oice solution(s).C.4.4.13.25 The Contractor shall operate and manage current and emerging V oice Services required to meet the Government’ sbusiness and operational requirements as they evolve.C.4.4.13.26 The Contractor shall apply the Government-approved geographic information system database (e.g., Esri’ s ArcGIS) tomap and use as a repository for the infrastructure architecture. The Contractor shall map the network to be used as an automated toolfor network management.C.4.4.13.27 The Contractor shall perform scheduled maintenance, upgrades, changes, and installs or other activity affectingtelecommunications equipment or software after hours or on weekends at the Government’ s discretion.C.4.4.13.28 The Contractor shall supply to the Government a scheduled maintenance plan that shall include proactive activities tokeep the network functioning at peak efficiency.  The Contractor shall ensure that no maintenance activities conflict with otherscheduled initiatives or application testing or turn ups. C.4.4.13.29 Acting as the system integrator on behalf of the Government, the Contractor shall work with the Government to placeorders for all necessary interconnect and other equipment. The Contractor shall order all required components including, but notlimited to, telephone circuits, trunks, and service features from the Government’ s carrier(s), V oice service provider(s), and othervendors.  The Contractor shall notify the Government of installation dates and shall provide a copy of all orders in the requiredformat (e.g., electronic copy, paper copy, entered into the Government database(s)).  C.4.4.13.30 The Contractor shall collect and centrally monitor major failures, alarms, and other error conditions that couldpotentially threaten the success of the voice solution’ s operation.C.4.4.13.31 The Contractor shall clearly define each severity alarm type in order to provide the Government with a clear explanationto be used in assigning severity to alarms throughout the contract term.  For example, the Contractor shall clearly identify whatconstitutes a Severity 1 alarm, Severity 2 alarm, etc.  This shall be submitted in writing to the Government within 30 days of thecontract award. (CDRL A019)C.4.4.13.32 The Contractor shall provide and clearly define escalation levels for the Government to use in escalating trouble tickets.These levels shall include contact names, numbers and clearly defined procedures for escalating  trouble tickets within theContractor organization.C.4.4.13.33 The Contractor shall support the provision of services for obtaining and troubleshooting various capacity leased linesand associated equipment used for interface into RDTE network(s) and NSWCDD’ s detachment and partner (e.g., Warfare Centers,universities) sites.C.4.4.13.34 The Contractor shall maintain and update circuit information to avoid inadvertent interruption of service.C.4.4.13.35 The Contractor shall prepare circuit diagrams and update service agreements, where needed.C.4.4.13.36 The Contractor shall provide support for Video Conferencing Services.C.4.4.14 Flank Speed SupportC.4.4.14.1 The Contractor shall provide Flank Speed administrative duties including but not limited to monitoring and ensuringcommand compliance with business rules and information assurance policies.C.4.4.14.2 The Contractor shall provide special project management and oversight. The Contractor shall perform account and</t>
        </is>
      </c>
      <c r="D58" s="13" t="inlineStr">
        <is>
          <t>TECHNICAL</t>
        </is>
      </c>
      <c r="E58" s="13" t="inlineStr">
        <is>
          <t>C</t>
        </is>
      </c>
      <c r="F58" s="13" t="inlineStr">
        <is>
          <t>Mandatory</t>
        </is>
      </c>
      <c r="G58" s="13" t="n">
        <v>20</v>
      </c>
      <c r="H58" s="13" t="inlineStr"/>
      <c r="I58" s="13" t="inlineStr">
        <is>
          <t>C.4.4.13.18, C.4.4.13.19, C.4.4.13.20, C.4.4.13.21, C.4.4.13.22, C.4.4.13.23, C.4.4.13.24, C.4.4.13.25, C.4.4.13.26, C.4.4.13.27, C.4.4.13.28, C.4.4.13.29, C.4.4.13.30, C.4.4.13.31, C.4.4.13.32, C.4.4.13.33, C.4.4.13.34, C.4.4.13.35, C.4.4.13.36, C.4.4.14, C.4.4.14.1, C.4.4.14.2</t>
        </is>
      </c>
    </row>
    <row r="59">
      <c r="A59" s="13" t="inlineStr">
        <is>
          <t>TW-C-0014</t>
        </is>
      </c>
      <c r="B59" s="13" t="inlineStr">
        <is>
          <t>C.4.4.11</t>
        </is>
      </c>
      <c r="C59" s="14" t="inlineStr">
        <is>
          <t>N0017826R30020003 - FINAL
Page 20 of 114
service management that consists of but not limited to managing Flank Speed accounts and services (including Teams Telephony).This shall include creation, modification, and tracking accounts. Service management shall include IMAC submittals, IMACtracking, and hardware and software tracking, and inventory management. End user communications shall consist of but not limitedto providing written communication to end users and customers on account and services status.C.4.4.15 Naval Enterprise Network Support (NEN)C.4.4.15.1 The Contractor shall provide special project management and oversight. The Contractor shall perform account andservice management which consists of but is not limited to managing Nautilus accounts and services. This shall include creation,modification, and tracking accounts. Service management shall include but is not limited to IMAC submittals, IMAC tracking, andhardware and software tracking, and inventory management. End user communications shall consist of providing writtencommunication to end users and customers on account and services status.C.4.4.15.2 The Contractor shall coordinate and maintain NEN site documentation (e.g., Seat Deployment Schedule, classified NENSeat Deployment, and technical refresh documentation) utilizing the Navy Enterprise Tool(s) (e.g., NET).C.4.4.15.3 The Contractor shall perform scheduling of endpoint deployment, managing the status of deployed seats, and trackingequipment shipped (e.g., via DD Form 1149s), requisition, and invoice, and shipping document. (CDRL A014)C.4.4.15.4 The Contractor shall coordinate NEN assets and shall use NET for IMAC requests, ordering services, and Task Ordermanagement. When necessary, the Contractor shall provide training on the use of NEN tools and procedures. The Contractor willelicit student evaluations of the training using Government-approved method(s), evaluation questionnaire(s), or both.C.4.4.15.5 The Contractor shall perform file storage coordination including permission and administrator roles for theimplementation and management of share drives.C.4.4.15.6 The Contractor shall develop and maintain work areas from current NEN to future NEN solutions. This shall includeidentification of new requirements, analyses of NEN solutions against Government requirements, review and analysis ofdocumentation, development of policies and procedures throughout the transition, and coordination of efforts between theGovernment and future service providers.C.4.4.15.7 The Contractor shall develop procedures and perform data migration per request during seat replacement.C.4.4.15.8 The Contractor shall assist users with NEN Scientific and Technical seats’ trouble calls. Elevated Permissions shall beprovided to the Contractor for installation of approved hardware and software; as well as the ability to perform troubleshooting.C.4.4.15.9 The Contractor shall provide tier 0 and tier 1 seat support to troubleshoot and assist NEN users with unresolved issues.C.4.4.15.10 The Contractor shall generate a monthly technical department report to the Business Office.C.4.4.15.11 The Contractor shall maintain and update the NET database for assets.C.4.4.15.12 The Contractor shall enter orders in NET, submit these orders for approval, request additional funding for NET ordersvia the ACTR, and initiate requests for delivery.C.4.4.15.13 The Contractor shall evaluate new NEN CLIN offerings and provide recommendations on these offerings to meet userrequirements.C.4.4.15.14 The Contractor shall support the development and maintenance of SOPs for all NET processes.C.4.4.15.15 The Contractor shall support NMCI activities for NSWCDD, seat orders and deployment, seat pools, peripheralinventories, seat moves/adds/changes, seat coordination, printers and print queues, day-to-day troubleshooting, and other similartasks.C.4.4.15.16 The Contractor shall provide the functions of the Cryptographic Log On Trusted Agent (TA) for the purpose of issuingSIPRNet Tokens.C.4.4.15.17 The Contractor shall provide customer support and technical assistance to users, NEN users, via the advocacy role, withescalation of complex problems to the NEN Helpdesk, other Government support teams, or both.C.4.4.15.18 The Contractor shall develop and maintain spreadsheets, databases, and automated tools by which data calls andinformation consolidation is performed and completed for NEN.C.4.4.16 System Administration OperationsC.4.4.16.1 The Contractor shall provide system administration and management support for various hardware and OperatingSystems (OSs) for existing and future Corporate, Department, and Fleet development and sustainment (e.g., Windows, RedHat,RedHawk, macOS, HPUX, Solaris, AIX, OpenVMS, CentOS, Real-time operating systems).C.4.4.16.2 The Contractor shall provide support for various desktop, and mobile IT hardware architectures that support Departmentand existing and future fleet development and sustainment (e.g., V AX, ALPHA, SPARC, x86, PA-RISC, Concurrent).</t>
        </is>
      </c>
      <c r="D59" s="13" t="inlineStr">
        <is>
          <t>TECHNICAL</t>
        </is>
      </c>
      <c r="E59" s="13" t="inlineStr">
        <is>
          <t>C</t>
        </is>
      </c>
      <c r="F59" s="13" t="inlineStr">
        <is>
          <t>Mandatory</t>
        </is>
      </c>
      <c r="G59" s="13" t="n">
        <v>20</v>
      </c>
      <c r="H59" s="13" t="inlineStr"/>
      <c r="I59" s="13" t="inlineStr">
        <is>
          <t>C.4.4.15, C.4.4.15.1, C.4.4.15.2, C.4.4.15.3, C.4.4.15.4, C.4.4.15.5, C.4.4.15.6, C.4.4.15.7, C.4.4.15.8, C.4.4.15.9, C.4.4.15.10, C.4.4.15.11, C.4.4.15.12, C.4.4.15.13, C.4.4.15.14, C.4.4.15.15, C.4.4.15.16, C.4.4.15.17, C.4.4.15.18, C.4.4.16, C.4.4.16.1, C.4.4.16.2</t>
        </is>
      </c>
    </row>
    <row r="60">
      <c r="A60" s="13" t="inlineStr">
        <is>
          <t>TW-C-0015</t>
        </is>
      </c>
      <c r="B60" s="13" t="inlineStr">
        <is>
          <t>C.4.4.16.3</t>
        </is>
      </c>
      <c r="C60" s="14" t="inlineStr">
        <is>
          <t>N0017826R30020003 - FINAL
Page 21 of 114
C.4.4.16.3 The Contractor shall provide support for various local and remote terminal and thin client solutions (e.g., Thin clients,Zero clients, VT Terminals, X Terminals, terminal servers).C.4.4.16.4 The Contractor shall provide support for various IT peripherals, including tape drives, magneto optical drives, opticaldrives (e.g., CD-ROM, DVD, Blu-Ray), flash media drives, printers and print servers, and plotters.C.4.4.16.5 The Contractor shall provide hardware support, including performing hardware troubleshooting, diagnostics and repair,opening vendor support requests and coordinating vendor on-site support, planning hardware upgrades and installations, relocatinghardware, and updating asset databases and diagrams following hardware changes.C.4.4.16.6 The Contractor shall work with Government and other Contractor personnel to schedule and perform updates tooperating system, software applications, and hardware, evaluate the impact to the system and networks and develop a contingencyplan, and notify stakeholders prior to installation.C.4.4.16.7 The Contractor shall maintain records of system administration activities on all supported IT via ITSM tools. Ticketsshall be opened, thoroughly documented, and closed within service level requirements.C.4.4.16.8 The Contractor shall develop, execute, maintain, and update a Government-approved system administration plan for allsupported IT. The plan describes the execution of all activities to keep IT operating effectively while adhering to cybersecurityrequirements (e.g., patching, antivirus updates, performing and verifying system backups, performing/remediating vulnerabilityscans, updating A&amp;A documentation).C.4.4.16.9 The Contractor shall provide an activity status report detailing the statuses of all activities contained in the systemadministration plan, as needed (e.g., monthly, quarterly).C.4.4.16.10 The Contractor shall provide IT support to Department Information Officers (DIOs).C.4.4.16.11 The Contractor shall perform tasks including but not limited to tracking and reconciling database records, NMCI andtelecom invoices, memos, applications, and other related information associated with Department IT assets, resources, and recordssuch as RDTE, DADMS, CWF CfM details and logistic, telecommunications devices, A&amp;A status, Transfer Agent, EndpointSecurity Solution (ESS), System Authorization Request Navy; update databases, spreadsheets, web sites, and other recordsassociated with Department Information Technology assets and resources; attend meetings and communicate results to theappropriate DIO.C.4.4.16.12 The Contractor shall provide system administration support to include design, installation, operation, maintenance,disaster recovery, and administration of stand-alone workstation and server systems, networked workstation and server systems,local area networks (LANs), wireless networks, and wide area networks. All systems shall be configured to comply with DISASecurity Requirements Guide and Security Technical Implementation Guides (STIGs). The Contractor shall provide STIGChecklists for all applicable systems on a quarterly basis. (A006)C.4.4.17 IT Support for Command Training FacilitiesC.4.4.17.1 The Contractor shall provide technical and implementation services for NSWCDD’ s workforce development programsthat incorporate video teleconferencing (VTC), collaboration tools (e.g., Microsoft Teams), Learning Management Systems (e.g.,Elluminate), audiovisual technology, and other learning technology-based equipment.C.4.4.17.2 The Contractor shall communicate and interface with all NSWCDD academic partners (universities and colleges)pertaining to satellite, landline, and Internet services used to deliver distance learning-based classes.C.4.4.17.3 The Contractor shall maintain classroom audiovisual technology-based equipment and make improvementrecommendations to the Government.C.4.4.17.4 The Contractor shall provide support to the Enterprise Resource Planning (ERP) Site Training Lead to coordinate ERPtraining facilities, schedule Train the Trainer (TTT) and End-User Training (EUT) events, and maintain and manage ERPclassrooms including configuration of NEN equipment.C.4.4.17.5 The Contractor shall support NSWCDD on-site training programs by scheduling, configuring classrooms, maintainingand operating audio-visual technology, and printing and distributing training and other materials to classrooms.C.4.4.17.6 The Contractor shall maintain video teleconferencing, IT-based resources, and audio/visual equipment located inconference rooms.C.4.4.17.7 The Contractor shall support NSWCDD on-site training programs by scheduling, configuring classrooms, maintainingand operating audio-visual technology, and printing and distributing training materials to classrooms.C.4.5 Enterprise Applications SupportC.4.5.1 The Contractor shall provide IM services to include CfM, technical documentation for SOP development and baselinemaintenance, and database development and maintenance for database applications. (CDRLs A016, A017)</t>
        </is>
      </c>
      <c r="D60" s="13" t="inlineStr">
        <is>
          <t>TECHNICAL</t>
        </is>
      </c>
      <c r="E60" s="13" t="inlineStr">
        <is>
          <t>C</t>
        </is>
      </c>
      <c r="F60" s="13" t="inlineStr">
        <is>
          <t>Mandatory</t>
        </is>
      </c>
      <c r="G60" s="13" t="n">
        <v>20</v>
      </c>
      <c r="H60" s="13" t="inlineStr"/>
      <c r="I60" s="13" t="inlineStr">
        <is>
          <t>C.4.4.16.3, C.4.4.16.4, C.4.4.16.5, C.4.4.16.6, C.4.4.16.7, C.4.4.16.8, C.4.4.16.9, C.4.4.16.10, C.4.4.16.11, C.4.4.16.12, C.4.4.17, C.4.4.17.1, C.4.4.17.2, C.4.4.17.3, C.4.4.17.4, C.4.4.17.5, C.4.4.17.6, C.4.4.17.7, C.4.5, C.4.5.1</t>
        </is>
      </c>
    </row>
    <row r="61">
      <c r="A61" s="13" t="inlineStr">
        <is>
          <t>TW-C-0016</t>
        </is>
      </c>
      <c r="B61" s="13" t="inlineStr">
        <is>
          <t>C.4.5.2</t>
        </is>
      </c>
      <c r="C61" s="14" t="inlineStr">
        <is>
          <t>C.4.5.2 The Contractor shall support the Government in the development and implementation of user stories, release plans, systemsengineering products, and acceptance criteria.C.4.5.3 The Contractor shall provide application and database development and lifecycle support, and technical documentation forservices, systems, and capabilities such as web applications, Corporate Operations ISs, Government-off-the-shelf applications, andbusiness applications.C.4.5.4 The Contractor shall support verification and validation (V&amp;V) activities related to all development, enhancements, andmodifications to ISs and business applications.C.4.5.5 In coordination with the appropriate systems administrator, the Contractor shall provide database tuning, monitoring,security, upgrades, and software installation as well as migrating existing databases to different hardware platforms and operatingsystems. (CDRL A018)C.4.5.6 The Contractor shall develop and publish web pages on NSWCDD web platforms as directed by the Government.C.4.5.7 The Contractor shall provide technical and development support for web-based applications and systems (e.g., MicrosoftSharePoint) that provide capabilities such as collaboration, storing, organizing, and sharing content and information (e.g.,documents, images, videos, links, lists of data, web pages, tasks).C.4.5.8 Using tools such as, but not limited to, Microsoft SQL database, SharePoint Designer and SharePoint Development, theContractor shall provide web and database development related to the Potomac River Test Range (Range) schedules, notices andclosures, test readiness, repository for test plans, ammunition inventory, SOPs, Range and RDTE form automation, Range utilizationand confliction, and Range resources.C.4.5.9 The Contractor shall provide development services for web portal(s) and applications.C.4.5.10 The Contractor shall support ERP IT efforts to include developing alternative technology options, providing expertise andinput for BCAs, and making recommendations for enhancing the overall sharing of ERP information.C.4.5.11 ITSM Tool(s) SupportC.4.5.11.1 The Contractor shall manage the ITSM Tool(s) platform(s).C.4.5.11.2 The Contractor shall provide expertise and support to design, code, build, deploy, maintain, and troubleshoot ITSMTool(s) workflows and applications.C.4.5.11.3 The Contractor shall provide ITSM Tool(s) expertise, development, troubleshooting, repair, sustainment, and SubjectMatter Expert (SME) reach-back support. Post go-live support shall ensure the Government has a smooth transition to using thesystem in a production capacity and shall allow major issues to be resolved quickly. The Contractor shall provide ITSM Tool(s)sustainment expertise and support to administer, troubleshoot, repair, maintain the tool(s), and ensure a quality, consistent,satisfying, and happy experience for customers (e.g., end users and other stakeholders). ITSM Tool(s) SME(s) shall also be availablefor reach-back advisory support to troubleshoot issues and provide guidance on integrations, and further platform changes andmigrations. The Contractor shall perform tasks in support of Government ITSM Tool(s) such as:(a) Participate in the Government’ s CCB(s), CAB(s), or both to coordinate deployment of changes to the ITSM Tool(s).(b) The Contractor shall advise the Government on the impact of proposed changes to the ITSM Tool(s) environment or hostinglocation.(c) Monitor ITSM Tool(s) instance(s) and optimize them for performance.(d) Manage user accounts &amp; permissions for users within the applications installed on the platform.(e) Manage the data within the applications and in databases installed on the platform.(f) Control internal configuration of the applications on the platform and be responsible for configuration changes.(g) Coordinate the installation of patches and upgrades to the Government’ s ITSM Tool(s) instances.(h) Respond appropriately to service issues with the enterprise ITSM Tool(s) application(s).(i) Implement DISA STIGs on all Government ITSM Tool(s) servers to ensure security compliance.(j) Provide server maintenance, patching, and all operational duties that will ensure continuity of service for Government ITSMTool(s) servers.(k) Integrate Government ITSM Tool(s) with other systems.(l) Ensure that all integrations and the relationships between systems are maintained.(m) Open tickets with Government ITSM Tool(s) for activation of plugins and resolution of product-specific incidents.</t>
        </is>
      </c>
      <c r="D61" s="13" t="inlineStr">
        <is>
          <t>TECHNICAL</t>
        </is>
      </c>
      <c r="E61" s="13" t="inlineStr">
        <is>
          <t>C</t>
        </is>
      </c>
      <c r="F61" s="13" t="inlineStr">
        <is>
          <t>Mandatory</t>
        </is>
      </c>
      <c r="G61" s="13" t="n">
        <v>25</v>
      </c>
      <c r="H61" s="13" t="inlineStr"/>
      <c r="I61" s="13" t="inlineStr">
        <is>
          <t>C.4.5.2, C.4.5.3, C.4.5.4, C.4.5.5, C.4.5.6, C.4.5.7, C.4.5.8, C.4.5.9, C.4.5.10, C.4.5.11, C.4.5.11.1, C.4.5.11.2, C.4.5.11.3</t>
        </is>
      </c>
    </row>
    <row r="62">
      <c r="A62" s="13" t="inlineStr">
        <is>
          <t>TW-C-0017</t>
        </is>
      </c>
      <c r="B62" s="13" t="inlineStr">
        <is>
          <t>C.4.5.2</t>
        </is>
      </c>
      <c r="C62" s="14" t="inlineStr">
        <is>
          <t>Ensure a fully operational environment, providing technical expertise where necessary to maintain operations.(o) Capture long-term objectives and plans to adopt new capabilities, expanded additional capabilities, or both.(p) Capture the functional and non-functional requirements necessary to develop long-range network growth plans and adoption ofnew technologies and capabilities.(q) Participate in the Development of the Business Continuity planning and the Continuity of Operations planning.(r) Leverage documentation and lessons learned.(s) The Contractor shall provide a Senior ITSM Tool(s) SME with the knowledge and skills to provide successful, in-personresponses to support requests for on-site, desk-side support within one hour of notice.C.4.5.12 Artificial Intelligence (AI) and Machine Learning SupportC.4.5.12.1 The Contractor shall provide expertise and support for the design, deployment, and operation of Artificial Intelligenceand Machine Learning capabilities along with the associated processes, hardware, and software assets.C.4.5.12.2 The Contractor shall provide support to the Government for integrating, enabling, and employing Artificial Intelligenceand Machine Learning (e.g., develop Artificial Intelligence and Machine Learning, implement Artificial Intelligence and MachineLearning, and mature Artificial Intelligence and Machine Learning; data and analytics support; improve end-user self-service;improve quality of services; improve and enhance cybersecurity posture).C.4.5.12.3 The Contractor shall collaborate with Government personnel (e.g., scientists, engineers, developers, operations andsecurity personnel) to build enterprise architecture for Artificial Intelligence and Machine Learning pipelines.C.4.5.12.4 The Contractor shall provide expertise and support for documenting, optimizing, automating business and IT processesand integrating them with Artificial Intelligence and Machine Learning capabilities.C.4.5.12.5 The Contractor shall design, implement and support Artificial Intelligence and Machine Learning for IT operations (i.e.,AIOPs) to provide capabilities such as but not limited to analyzing large amounts of data from different sources, detecting andresolve issues in real-time, and predicting and preventing future incidents before they occur.C.4.5.13 Web Development and MaintenanceC.4.5.13.1 The Contractor shall provide life-cycle support for various Government-off-the-shelf (GOTS) web applications and fordeveloping new websites and applications that meet Government requirements.C.4.5.13.2 The Contractor shall test, support, troubleshoot, and maintain various GOTS web applications.C.4.5.13.3 The Contractor shall use the Government's software development (e.g., Visual Studio) and work management tool(s) tomanage software development projects in real time.C.4.5.13.4 The Contractor shall manage GOTS software and applications while taking into consideration and understanding theimpacts the software has to relational databases, web servers, and other software and applications.C.4.5.13.5 The Contractor shall modify, test, and troubleshoot software, applications, web pages, code, database integrations (e.g.,MySQL and MS Access), and scripts written in multiple programming languages (e.g., Visual Basic, C#, JavaScript, HTML5, CSS,and SQL). (CDRL A002, A003, A004)C.4.5.13.6 The Contractor shall modify, test, and troubleshoot applications and web pages that interact with multiple types ofdatabases (e.g., MySQL, MS Access). (CDRLs A002, A012)C.4.5.13.7 The Contractor shall manage and maintain websites.C.4.5.13.8 The Contractor shall provide report of metrics per supported application that shows performed patches, hotfixes, and bugfixes.C.4.5.13.9 The Contractor shall use the Government’ s specified ITSM tool(s) to log and track software bugs and feature requests.C.4.5.13.10 The Contractor shall provide web page development with ongoing maintenance and management.C.4.5.13.11 The Contractor shall provide portal expertise, web development, and support (e.g., MS IIS, Flank Speed, MSSharePoint, and MS Power Platform) including portal integration with various data sources.C.4.5.14 Department of Navy (DON) ApplicationsC.4.5.14.1 The Contractor shall use DoD Information Technology Portfolio Repository–Department of the Navy (DITPR–DON),the authoritative source for DON IT systems and data, for multiple internal and external reports and processes.C.4.5.14.2 The Contractor shall provide basic IT asset management functions of registering, transferring, and archiving DON ITsystems within DITPR–DON.</t>
        </is>
      </c>
      <c r="D62" s="13" t="inlineStr">
        <is>
          <t>TECHNICAL</t>
        </is>
      </c>
      <c r="E62" s="13" t="inlineStr">
        <is>
          <t>C</t>
        </is>
      </c>
      <c r="F62" s="13" t="inlineStr">
        <is>
          <t>Mandatory</t>
        </is>
      </c>
      <c r="G62" s="13" t="n">
        <v>25</v>
      </c>
      <c r="H62" s="13" t="inlineStr"/>
      <c r="I62" s="13" t="inlineStr">
        <is>
          <t>C.4.5.12, C.4.5.12.1, C.4.5.12.2, C.4.5.12.3, C.4.5.12.4, C.4.5.12.5, C.4.5.13, C.4.5.13.1, C.4.5.13.2, C.4.5.13.3, C.4.5.13.4, C.4.5.13.5, C.4.5.13.6, C.4.5.13.7, C.4.5.13.8, C.4.5.13.9, C.4.5.13.10, C.4.5.13.11, C.4.5.14, C.4.5.14.1, C.4.5.14.2</t>
        </is>
      </c>
    </row>
    <row r="63">
      <c r="A63" s="13" t="inlineStr">
        <is>
          <t>TW-C-0018</t>
        </is>
      </c>
      <c r="B63" s="13" t="inlineStr">
        <is>
          <t>C.4.5.14.3</t>
        </is>
      </c>
      <c r="C63" s="14" t="inlineStr">
        <is>
          <t>N0017826R30020003 - FINAL
Page 24 of 114
C.4.5.14.3 The Contractor shall perform data entry of foundational information necessary to support all major IT managementprocesses such as system name, acronym, description, approval authority, points of contact in DITPR–DON.C.4.5.14.4 The Contractor shall enforce best practices and standard processes to help NSWCDD satisfy compliance and internal andexternal reporting requirements such as but not restricted to the Federal Information Security Modernization Act of 2014 and52.224-2 Privacy Act. This includes generating regularly scheduled reports driven by legislative or regulatory mandates, annualreports required by other federal departments, and ad hoc reports.C.4.5.14.5 The Contractor shall support investment management requirements for IT defense business systems (DBS) in accordancewith current regulations. This functionality includes specialized documentation generation and workflow to track documentssubmitted through the Business Mission Area (BMA) Investment Review Board (IRB) and the Defense Business SystemsManagement Committee (DBSMC) for certification of architecture compliance and approval to obligate funds.C.4.5.14.6 The Contractor shall develop and provide training on DITPR–DON to Government and Contractor personnel using avariety of methods including but not limited to cheat sheets, Knowledge articles, Microsoft Teams meetings, and Lunch and Learnsessions. The Contractor will elicit student evaluations of the training using Government-approved method(s), evaluationquestionnaire(s), or both.C.4.5.14.7 The Contractor shall perform data entry of foundational information necessary to add, modify and delete records withinthe Department of Navy Application and Database Management System (DADMS) system.C.4.5.14.8 The Contractor shall obtain ITSM Tools(s) and DADMS knowledge on government ruleset in order to process recordsrequests.C.4.5.14.9 The Contractor shall provide DADMS support to internal and external personnel and management via phone, e-mail,Microsoft Teams and in-person.C.4.5.14.10 The Contractor shall develop and provide training on DADMS for Government and Contractor personnel using avariety of methods including but not limited to cheat sheets, Knowledge articles, Microsoft Teams meetings and Lunch and Learnsessions. The Contractor will elicit student evaluations of the training using Government-approved method(s), evaluationquestionnaire(s), or both.C.4.5.14.11 The Contractor shall use the DADMS as directed by SECNA VINST 5000.36A to register and attain approval of DONSoftware prior to installation and before being used across the NEN and NSWCDD IT systems. IT procurements will be processedusing the Navy Information Technology Acquisition System (NA V-ITAS).C.4.5.14.12 The Contractor shall collect, review, track, and submit IT Procurement requests from the technical DIOs and submitthem (e.g., to the Activity Command Information Officer (ACIO)) for action (e.g., via the (NA V-ITAS)).C.4.5.14.13 The Contractor shall prepare, edit, track, and manage requests in the NA V-ITAS and submit them to the ACIO foraction.C.4.5.14.14 The Contractor shall develop and provide training on the NA V-ITAS to NSWCDD staff through but not limited to cheatsheets and articles on the Microsoft Teams NA V-ITAS Channel, One-Stop Knowledge articles, Microsoft Teams meetings, andNSWCDD Lunch and Learn sessions. The Contractor will elicit student evaluations of the training using Government-approvedmethod(s), evaluation questionnaire(s), or both.C.4.5.15 IT Procurement SupportC.4.5.15.1 The Contractor shall collect, review, and manage procurement requirements from end-users.C.4.5.15.2 The Contractor shall verify existing market research and perform, if necessary, market research to identify sources inmeeting stakeholders’ specifications using resources such as but not limited to the General Services Administration, NationalAeronautics and Space Administration Solutions for Enterprise-Wide Procurement, and the Enterprise Software Initiative(ESI.MIL), and other sources.C.4.5.15.3 The Contractor shall consult with vendors to obtain availability information, valid market research quotes, V oluntaryProduct Accessibility Templates (VPATs), 508 compliances, and all other needed documentation.C.4.5.15.4 The Contractor shall resolve and communicate all acquisition issues to the requester, IT procurement lead, andmanagement.C.4.5.15.5 The Contractor shall create, review, update as needed, and submit IT Procurement requests into NA V-ITAS based on theinformation obtained from the end user, and vendor(s).C.4.5.15.6 The Contractor shall create, review, update as needed, and submit Tech Screen and Military Standard Requisitioning andIssue Procedures (Milstrip) Waivers as needed for IT material procurements.C.4.5.15.7 The Contractor shall prepare, update, manage, and submit IT procurement packages, artifacts, or both for the procuring</t>
        </is>
      </c>
      <c r="D63" s="13" t="inlineStr">
        <is>
          <t>TECHNICAL</t>
        </is>
      </c>
      <c r="E63" s="13" t="inlineStr">
        <is>
          <t>C</t>
        </is>
      </c>
      <c r="F63" s="13" t="inlineStr">
        <is>
          <t>Mandatory</t>
        </is>
      </c>
      <c r="G63" s="13" t="n">
        <v>25</v>
      </c>
      <c r="H63" s="13" t="inlineStr"/>
      <c r="I63" s="13" t="inlineStr">
        <is>
          <t>C.4.5.14.3, C.4.5.14.4, C.4.5.14.5, C.4.5.14.6, C.4.5.14.7, C.4.5.14.8, C.4.5.14.9, C.4.5.14.10, C.4.5.14.11, C.4.5.14.12, C.4.5.14.13, C.4.5.14.14, C.4.5.15, C.4.5.15.1, C.4.5.15.2, C.4.5.15.3, C.4.5.15.4, C.4.5.15.5, C.4.5.15.6, C.4.5.15.7</t>
        </is>
      </c>
    </row>
    <row r="64">
      <c r="A64" s="13" t="inlineStr">
        <is>
          <t>TW-C-0019</t>
        </is>
      </c>
      <c r="B64" s="13" t="inlineStr">
        <is>
          <t>C.4.5.2</t>
        </is>
      </c>
      <c r="C64" s="14" t="inlineStr">
        <is>
          <t>The IT procurement packages consist of but are not limited to Brand Name Mandatory, Limited Source PurchaseJustification, Sole Source Purchase Justification, Procurement Data Package Cover, VPAT(s), 508 compliances as needed,Inherently Government Determination, approved ITPR, approved Tech Screen as needed, and approved Milstrip Waiver as needed.C.4.5.15.8 The Contractor shall create, review, update as needed and submit Funding Requests for Simplified AcquisitionProcedures and Purchasing Card IT procurements.C.4.5.15.9 The Contractor shall work closely with Shipping and Receiving to ensure procurements with material items are deliveredin accordance with the terms and conditions of the awarded contract.C.4.5.15.10 The Contractor shall verify purchase orders to ensure accuracy of receipt.C.4.5.15.11 The Contractor shall notify the end-users at 180 days, and 90 days, and 60 days in advance of the expiration ofsoftware/hardware contracts and digital certificates.C.4.5.15.12 The Contractor shall corroborate and rectify all discrepancies related to goods and/or services to the end user, ITProcurement Lead, management, and other key stakeholders.C.4.6 Cybersecurity and Traditional Security SupportC.4.6.1 Objectives of Cybersecurity and Traditional Security Support include enhancing existing cybersecurity and traditionalsecurity capabilities, introducing new cybersecurity and traditional security capabilities, and providing support to NSWCDDcybersecurity and traditional security capabilities and solutions in order to strengthen NSWCDD's overall cybersecurity andtraditional security posture. A&amp;A Validation is not included in this SOW and is outside its scope. Other cybersecurity and traditionalsecurity objectives that the Contractor shall support include but are not limited to:(a)     Reduce NSWCDD threat surface through strengthening cybersecurity of IT assets and traditional security practices.(b)    Deliver flexible services that can accommodate dynamic cyber environments.(c)    Timely completion of work to ensure delivered cybersecurity and traditional security capabilities are fully implemented.(d)    Promote transparent and effective communications that accurately present status to stakeholders.(e)    Provide accurate reporting of NSWCDD environments while achieving successful governance of NSWCDD cybersecurity andtraditional security programs.C.4.6.2 Information System Security ManagementC.4.6.2.1 The Contractor shall provide cybersecurity and Information Systems Security Officer (ISSO) support to the InformationSystem Security Manager (ISSM), and support the development of complete A&amp;A packages that conform to the requirements of theresponsible Authorizing Official (AO) (e.g., NA VSEA, NA V AIR), and provide support to NSWCDD ISs for related efforts. All toolsand processes used by the Contractor shall be provided to the Government for the lifecycle of the authorization/accreditation orother level of approval gained during this contract. If any Contractor-proprietary tools are used in the support of this contract, theContractor shall make them available at no cost to the Government through the lifecycle of the accreditation or associatedequipment.C.4.6.2.2 The Contractor shall work with the Government to ensure that all A&amp;A documentation complies with applicable DoD,DON, NA VSEA, DISA and other applicable cybersecurity requirements and guidance.C.4.6.2.3 For the Information Systems Security function, the Contractor shall monitor ISs’ activity that is occurring on a continuingbasis, perform first order security analysis of data, interpret and report the results to the NSWCDD ISSM.C.4.6.2.4 The Contractor shall operate, maintain, and perform upgrades to the Network Intrusion-Detection Systems.C.4.6.2.5 The Contractor shall assist with and perform some Technical Assistance (TA) functions, as directed by the Government,for the issuance or enabling, inventorying, and use of tokens, and public and private certificates.C.4.6.2.6 The Contractor shall collaborate with the Government to perform TA functions for the issuance or enabling, inventorying,and use of tokens, and public and private certificates.C.4.6.2.7 The Contractor shall conduct host and network-based vulnerability assessments on NSWCDD RDTE and SDRENcomputers and networks.C.4.6.2.8 The Contractor shall employ the Navy and NSWCDD approved application(s) for vulnerability scanning, configurationassessment, and security control compliance evaluation (e.g., Assured Compliance Assessment Solution (ACAS)) and shalldocument, report, and maintain results.C.4.6.2.9 The Contractor shall conduct and confidentially report forensic analysis on unclassified and classified computers,peripherals, and network entities. The Contractor shall provide software, hardware, and wireless support, including mobile forensicexamination. The Contractor shall also interpret submitted documentation, including user and functional requirements, and develop</t>
        </is>
      </c>
      <c r="D64" s="13" t="inlineStr">
        <is>
          <t>TECHNICAL</t>
        </is>
      </c>
      <c r="E64" s="13" t="inlineStr">
        <is>
          <t>C</t>
        </is>
      </c>
      <c r="F64" s="13" t="inlineStr">
        <is>
          <t>Mandatory</t>
        </is>
      </c>
      <c r="G64" s="13" t="n">
        <v>25</v>
      </c>
      <c r="H64" s="13" t="inlineStr"/>
      <c r="I64" s="13" t="inlineStr">
        <is>
          <t>C.4.5.15.8, C.4.5.15.9, C.4.5.15.10, C.4.5.15.11, C.4.5.15.12, C.4.6, C.4.6.1, C.4.6.2, C.4.6.2.1, C.4.6.2.2, C.4.6.2.3, C.4.6.2.4, C.4.6.2.5, C.4.6.2.6, C.4.6.2.7, C.4.6.2.8, C.4.6.2.9</t>
        </is>
      </c>
    </row>
    <row r="65">
      <c r="A65" s="13" t="inlineStr">
        <is>
          <t>TW-C-0020</t>
        </is>
      </c>
      <c r="B65" s="13" t="inlineStr">
        <is>
          <t>C.4.6.2.10</t>
        </is>
      </c>
      <c r="C65" s="14" t="inlineStr">
        <is>
          <t>N0017826R30020003 - FINAL
Page 26 of 114
forensic examination reports.C.4.6.2.10 The Contractor shall monitor and verify adherence to applicable acceptable-use policies. Reports and documentation willbe forwarded to the ISSM.C.4.6.2.11 The Contractor shall develop training materials and provide training for Cybersecurity initiatives. The Contractor willelicit student evaluations of the training using Government-approved method(s), evaluation questionnaire(s), or both. (CDRL A015)C.4.6.2.12 The Contractor shall review, verify, and maintain A&amp;A and related records, documentation, and artifacts for IT andnetwork systems for the ISSM.C.4.6.2.13 The Contractor shall identify and report Cybersecurity metrics to the NSWCDD ISSM.C.4.6.2.14 The Contractor shall provide risk management and mitigation for electronic spillages and incident handling, InternetProtocol (IP) conflict resolution, media sanitation, response to and tracking and recording of cybersecurity data calls, and reportingwithin established timelines. (CDRL A021)C.4.6.2.15 At the Government’ s request, Contractors shall serve as ISSOs for system accreditations to create and maintain conceptof operations (CONOPS), create and maintain documentation and associated artifacts in accordance with current Governmentstandard requirements (i.e., RMF) for A&amp;A packages, and maintain records of IT equipment in Government databases andrepositories.C.4.6.2.16 The Contractor shall provide A&amp;A information, updates, and documentation in the maintenance of uRDTE, cRDTE, andSDREN and other networks, systems, solutions, and labs.C.4.6.2.17 The Contractor shall perform routine systems maintenance on networks (e.g., uRDTE, cRDTE and SDREN, NREN),systems, and other associated IT equipment.C.4.6.2.18 The Contractor shall prepare RMF or current guidance and applicable requirement documentation for classified andunclassified computers and equipment for ISSM review and other actions.C.4.6.2.19 The Contractor shall complete data calls and attend meetings as needed for the ISSM, ACIO, and the CybersecurityBranch Head.C.4.6.2.20 The Contractor shall manage Internet Protocol (IPv4 and IPv6) network address schemes and allocations in accordancewith SOPs. IP address management support also includes but is not limited to modifying field entries to reflect current informationand granting access to new users.C.4.6.2.21 The Contractor shall conduct thorough assessments of IT systems, applications, and networks to ensure compliance withDoD and DON security standards and practices. This includes the RMF and the Navy’ s specific validation procedures.C.4.6.2.22 The Contractor shall perform testing, and risk assessment of IT assets (e.g., networks, servers, appliances, desktopsystems, VDI) and provide results and reports to the Government. (CDRL A022)C.4.6.2.23 The Contractor shall perform classified and unclassified tasking and actions to support A&amp;A activities.C.4.6.2.24 The Contractor shall utilize NSWCDD or NSWC tools and repositories such as, but not limited to, Enterprise MissionAssurance Support Service (eMASS), eMASSTer, STIG Manager, Evaluate STIG, Findings Management and Tracking System(FMATS), NSWCDD’ s Authoritative A&amp;A Database, Flank Speed, NSWCDD’ s ITSM tools, and applications developed forNSWCDD Package creation and maintenance.C.4.6.3 Special Security Office (SSO) SupportC.4.6.3.1 The Contractor shall review JWICS activity and audit trails to ensure compliance with DoD and DON security directives,procedures, and to identify signs of unauthorized activity (e.g., probing, surreptitious data exfiltration, penetration attempts).C.4.6.3.2 In conjunction with relevant managers and the Incident Handling Team, the Contractor shall support investigationsinvolving suspected inappropriate use of IT systems.C.4.6.3.3 The Contractor shall perform research, development, testing, evaluation and implementation of Special Compartmentalized Information (SCI) security policies.C.4.6.3.4 The Contractor shall monitor, build, repair, configure, patch, deploy, and troubleshoot SCI server and client systems.C.4.6.3.5 The Contractor shall perform, and report to the SSO, physical security requirement assessments of spaces where JWICSterminals will reside.C.4.6.3.6 The Contractor shall review, edit, and format NSWCDD Security Office publications for security guidelines and policy.C.4.6.3.7 The Contractor shall verify, and report to the NSWCDD SSO, compliance with NSWCDD Special Security Office policies, guidance, and recommendations.</t>
        </is>
      </c>
      <c r="D65" s="13" t="inlineStr">
        <is>
          <t>TECHNICAL</t>
        </is>
      </c>
      <c r="E65" s="13" t="inlineStr">
        <is>
          <t>C</t>
        </is>
      </c>
      <c r="F65" s="13" t="inlineStr">
        <is>
          <t>Mandatory</t>
        </is>
      </c>
      <c r="G65" s="13" t="n">
        <v>25</v>
      </c>
      <c r="H65" s="13" t="inlineStr"/>
      <c r="I65" s="13" t="inlineStr">
        <is>
          <t>C.4.6.2.10, C.4.6.2.11, C.4.6.2.12, C.4.6.2.13, C.4.6.2.14, C.4.6.2.15, C.4.6.2.16, C.4.6.2.17, C.4.6.2.18, C.4.6.2.19, C.4.6.2.20, C.4.6.2.21, C.4.6.2.22, C.4.6.2.23, C.4.6.2.24, C.4.6.3, C.4.6.3.1, C.4.6.3.2, C.4.6.3.3, C.4.6.3.4, C.4.6.3.5, C.4.6.3.6, C.4.6.3.7</t>
        </is>
      </c>
    </row>
    <row r="66">
      <c r="A66" s="13" t="inlineStr">
        <is>
          <t>TW-C-0021</t>
        </is>
      </c>
      <c r="B66" s="13" t="inlineStr">
        <is>
          <t>C.4.6.3.8</t>
        </is>
      </c>
      <c r="C66" s="14" t="inlineStr">
        <is>
          <t>N0017826R30020003 - FINAL
Page 27 of 114
C.4.6.3.8 The Contractor shall process and disseminate clearance information to new hires and assemble, review, and submit personnel security investigations to appropriate agencies.C.4.6.3.9 The contracting Facility Security Officer (FSO) shall initiate applicable investigations (e.g., within the ElectronicQuestionnaires for Investigations Processing (E-QIP) system).C.4.6.3.10 The Contractor shall review and validate accuracy of need-to-know certification requests for Contractor visits to Government agencies and other Contractor facilities under the cognizance of NSWCDD classified contracts.C.4.6.3.11 The Contractor shall process outgoing visit requests and documentation for hand carrying of classified material.C.4.6.3.12 The Contractor shall operate and maintain Secret Inventory Control Points and verify with Secondary and Tertiarycontrol points that on-site libraries with classified documents maintain proper accountability, safeguarding, and control of classifiedmaterials in the Librarian's custody.C.4.6.3.13 The Contractor shall perform Sensitive Compartments Information Facilities (SCIF) functions including:(a) Establish, operate, and maintain Classified Inventory Control and on-site SCI libraries for the SSO.(b) Schedule and perform quarterly alarm tests of SCIFs under SSO cognizance.(c) Conduct inspections and searches in accordance with NSWCDLINST 5530.4B (or successor(s)) SECURITYADMINISTRATIVE INSPECTION (AI) PROGRAM FOR SCIFs AND SPECIAL ACCESS PROGRAM FACILITIES (SAPFs).(d) Maintain the Non-Disclosure Statement database(e) Generate Non-Disclosure Agreements for NSWCDD employees with TOP SECRET/SCI (SI/TK/GG/HCS) clearance.C.4.6.3.14 The Contractor shall maintain Enterprise Security Incident and Event Management (SIEM) tool(s) on all networks,including dashboard implementations. SIEM tools are used for tasks such as asset tracking, A&amp;A, storing firewall information andto associate assets with Authority to Operate. They also serve as the accreditation database(s). SIEM maintenance shall be incompliance with all applicable DoD/DON policies, standards, laws, regulations, and industry standards.C.4.6.3.15 The Contractor shall analyze and interpret system logs to search, filter, and analyze log data to identify threats, gaininsights, and troubleshoot problems. The Contractor shall create log visualizations and reports.C.4.6.3.16 The Contractor shall manage and update the multi-record database to include modifying field entries to reflect currentinformation and granting access to new users.C.4.6.4 Operational and Information Cybersecurity SupportC.4.6.4.1 The Contractor shall perform classified and unclassified tasks and actions to support A&amp;A activities, A&amp;A packagereviews, scanning, reporting and remediation, and overall system security. The Contractor shall consult with relevant A&amp;AValidation teams in the normal course of its activities.C.4.6.4.2 The Contractor shall assist in development and execution of A&amp;A plans for complex networks and IT systems. This mayinclude providing ISSO, Information Systems Security Engineer, and DIO support, and A&amp;A analysis supporting documentationand artifacts in support of A&amp;A, and compliant system administration across a variety of environments supporting departmentoffices, conference facilities and land-based tactical equipment suites and laboratories. (CDRLs A021)C.4.6.4.3 The Contractor shall provide IT Project and System Administrative support for accreditation including full authority tooperate, interim authority to operate, authority to connect, Interim authority to test, Local authority to proceed and other requiredauthorizations to support normal operations, special user events and requirements, and test events.C.4.6.4.4 The Contractor shall implement and maintain system security requirements, including STIGs, anti-virus softwareinstallations and updates, ESS installation and monitoring, responding to Cyber Directives (e.g., CTOs, IA VMs, FRAGORDS), andother direction to ensure Information Technology and Information Assurance controls are maintained.C.4.6.4.5 The Contractor shall perform and review vulnerability scans on all ISs using the latest approved vulnerability scanningtools and signatures and ensure that results are properly mitigated, reviewed, documented, and reported.C.4.6.4.6 The Contractor shall support, test, monitor, and report any changes in ISs that may affect the security posture and/orperformance of that IS.C.4.6.4.7 The Contractor shall monitor all system and audit logs and report any potential security issues to the ISSM. TheContractor shall assist the ISSM. The Cybersecurity Branch Head, the DIO, the incident handling team, and law enforcementpersonnel in any investigations involving suspected security violations.C.4.6.4.8 The Contractor shall maintain accurate and up-to-date information in all required A&amp;A applications (e.g., FindingsManagement and Tracking System (FMATs), Vulnerability Remediation Asset Manager (VRAM)).</t>
        </is>
      </c>
      <c r="D66" s="13" t="inlineStr">
        <is>
          <t>TECHNICAL</t>
        </is>
      </c>
      <c r="E66" s="13" t="inlineStr">
        <is>
          <t>C</t>
        </is>
      </c>
      <c r="F66" s="13" t="inlineStr">
        <is>
          <t>Mandatory</t>
        </is>
      </c>
      <c r="G66" s="13" t="n">
        <v>25</v>
      </c>
      <c r="H66" s="13" t="inlineStr"/>
      <c r="I66" s="13" t="inlineStr">
        <is>
          <t>C.4.6.3.8, C.4.6.3.9, C.4.6.3.10, C.4.6.3.11, C.4.6.3.12, C.4.6.3.13, C.4.6.3.14, C.4.6.3.15, C.4.6.3.16, C.4.6.4, C.4.6.4.1, C.4.6.4.2, C.4.6.4.3, C.4.6.4.4, C.4.6.4.5, C.4.6.4.6, C.4.6.4.7, C.4.6.4.8</t>
        </is>
      </c>
    </row>
    <row r="67">
      <c r="A67" s="13" t="inlineStr">
        <is>
          <t>TW-C-0022</t>
        </is>
      </c>
      <c r="B67" s="13" t="inlineStr">
        <is>
          <t>C.4.6.4.9</t>
        </is>
      </c>
      <c r="C67" s="14" t="inlineStr">
        <is>
          <t>N0017826R30020003 - FINAL
Page 28 of 114
C.4.6.4.9 The Contractor shall provide subject matter expertise to perform cybersecurity operations for Corporate Operations IT andTechnical Department IT.C.4.6.4.10 The Contractor shall collaborate with Government and other Contractor personnel to coordinate test and operationactivities for Department IT.C.4.6.4.11 The Contractor shall develop, collect, maintain and submit A&amp;A artifacts (e.g. CONOPS documents, hardware lists,software lists, ports, protocols, and services (PPS) lists, firewall modification documentation, authority to operate/connect/testdocumentation, and security scans, checklists, and STIGs needed to obtain and maintain appropriate A&amp;A approvals).C.4.6.4.12 The Contractor shall provide support for installing, managing, and troubleshooting any issues with vulnerability scanningsoftware (e.g., ACAS, Nessus, DISA Security Content Automation Protocol (SCAP) Compliance Checker, STIGs). The Contractorshall perform scans on a monthly and ad hoc basis for all Department IT and generate/consolidate scanning reports in a centralizedlocation. The Contractor shall provide vulnerability scanning support for Department IT. The Contractor shall be responsible foropening trouble tickets with respective scanning software support for scanning issues and IA support.C.4.6.4.13 In the A&amp;A Analyst role, the Contractor shall be responsible for the creation, development, support and lifecyclesustainment of all NSWCDD RMF A&amp;A processes.  The Information Systems Security Engineer (ISSE) role will be required toperform actions such as, but not limited to:(a)     Supporting A&amp;A Cybersecurity policy and control evaluations.(b)    Preparing supporting RMF activities or current Government-approved processes for packages and artifacts.(c)     Obtaining approvals to operate.(d)    Implementation of security postures.(e)     Providing SME support in Information Assurance and Cybersecurity Life-Cycle management, coordination, andimplementation as required by the applicable Authorizing Official (e.g., Information System Security Manager (ISSM), NA VSEAFunctional Authorizing Official (FAO), or Navy Authorizing Official (NAO)).C.4.6.4.14 The contractor shall provide RMF A&amp;A ISSE support for all ashore and afloat packages.C.4.6.4.15 The Contractor shall submit all A&amp;A analyst-required tasks for each RMF step within the required timelines.C.4.6.4.16 In the A&amp;A Analyst role, the Contractor shall provide maintenance and sustainment services for any newly createdpackages during the initial year of the Authorization to Operate award for that package, while also providing support for the AnnualSecurity Review.C.4.6.4.17 The ISSE is responsible for developing and maintaining the cybersecurity architecture of a program, organization,system, or enclave, and is accountable to the PM/System Owner. ISSE Roles and Responsibilities include, but are not limited to:(a) Oversee the development and maintenance systems’ cybersecurity solutions.(b) Identify AO and Security Controls Assessment cognizance of the system as well as any specific authorization requirements suchas reciprocity, cross domain, and applicable overlays to support System Categorization.(c) Identify and tailor the security control baseline with applicable overlays.(d) Assist with development, maintenance, and tracking of the SP.(e) Lead the security control implementation and testing efforts.(f) Perform vulnerability-level risk assessment on the Corrective Action Plan.(g) Ensure the execution of any security testing required as part of A&amp;A or annual reviews.(h) Ensure the mitigation and closure of open vulnerabilities under the system’ s change control process.(i) Oversee cybersecurity testing to assess security controls and recording security control compliance status during the continuousmonitoring phase of the lifecycle.(j) Ensure data entered into the Government's cybersecurity management system's (e.g., eMASS) record, and is consistent withimplementation results.(k) Utilize the Government's cybersecurity management system (e.g., Collaboration Board in the eMASS workflow) for all formalcoordination during the RMF process. Detailed findings will be posted (e.g., in the Artifacts tab), if necessary.(l) Document and provide all requested rework to the Package Submitting Officer/Program Management Office for review.(m) Participate in the system engineering process to ensure the systems security and cybersecurity requirements, design and testingare properly addressed throughout the system lifecycle.</t>
        </is>
      </c>
      <c r="D67" s="13" t="inlineStr">
        <is>
          <t>TECHNICAL</t>
        </is>
      </c>
      <c r="E67" s="13" t="inlineStr">
        <is>
          <t>C</t>
        </is>
      </c>
      <c r="F67" s="13" t="inlineStr">
        <is>
          <t>Mandatory</t>
        </is>
      </c>
      <c r="G67" s="13" t="n">
        <v>25</v>
      </c>
      <c r="H67" s="13" t="inlineStr"/>
      <c r="I67" s="13" t="inlineStr">
        <is>
          <t>C.4.6.4.9, C.4.6.4.10, C.4.6.4.11, C.4.6.4.12, C.4.6.4.13, C.4.6.4.14, C.4.6.4.15, C.4.6.4.16, C.4.6.4.17</t>
        </is>
      </c>
    </row>
    <row r="68">
      <c r="A68" s="13" t="inlineStr">
        <is>
          <t>TW-C-0023</t>
        </is>
      </c>
      <c r="B68" s="13" t="inlineStr">
        <is>
          <t>C.4.6.5</t>
        </is>
      </c>
      <c r="C68" s="14" t="inlineStr">
        <is>
          <t>C.4.6.5 Cyber Hunt SupportC.4.6.5.1 The primary purpose of Cyber Hunt support is to proactively and iteratively detect, isolate, and neutralize cyber threatsthat evade other security solutions.C.4.6.5.2 Cyber Hunt tasks include but are not limited to: collecting intrusion artifacts (e.g., source code, malware, and Trojans) andusing discovered data to enable mitigation of potential cybersecurity incidents within the NSWCDD enterprise; coordinating withand providing expert technical support to NSWCDD cybersecurity technicians to resolve cybersecurity incidents; and correlatingincident data to identify specific vulnerabilities, and make recommendations that enable expeditious remediation. Deliverables forCyber Hunt include, but are not limited to, a Cyber Hunt Report including an artifact list, a summary of potential incidents andresolved incidents, and remediation recommendations for vulnerabilities found based on previous incident data.C.4.7 Information Management and Digital Transformation SupportC.4.7.1 Information Management SupportC.4.7.1.1 The Contractor shall support establishing and implementing a comprehensive data architecture, the design and engineeringof consolidated and consistent data management solutions, development and deployment of data integration analytics solutions, andthe design and development of end-user data visualization capabilities.C.4.7.1.2 The Contractor shall provide lifecycle support of software, applications, endpoints, and cybersecurity artifacts. Thisrequires analysis, design, development, deployment and user support, and operations and maintenance of ISs, business applications,and supporting integrating capabilities. This shall include products such as Data Warehouse, business applications, visualizations,documentation, and supporting integrating capabilities such as interfaces to standard systems and special analyses and studiesrelated to IT, IM, and IS capabilities. (CDRLs A007, A008)C.4.7.1.3 The Contractor shall be required to work during non-Prime hours, outside of the normal business hours, in support ofcertain maintenance and operational system requirements such as scheduled software version releases and data loads.C.4.7.2 Analysis and Design SupportC.4.7.2.1 The Contractor shall provide analysis, design, development, and operations of ISs, business applications, and integratingcapabilities and conduct and special analyses and studies related to business capabilities (e.g., Corporate). (CDRL A006)C.4.7.2.2 The Contractor shall integrate technical capabilities such as interfaces to standard systems, and data feeds from sourcesystems (e.g., Navy Enterprise Resource Planning, APIs, Mutual TLS Authentication, Active Directory, ServiceNow).C.4.7.2.3 The Contractor shall develop application and data designs in the form of logical data models, data interface specifications,on-line query and report specifications for ISs, the Enterprise Data Warehouse (EDW), business applications, and technicalarchitecture support, database load specifications, data governance specifications, and data validation specifications. This includeswriting and analyzing SQL, development of web-based applications, applying analytical skills in DoD Working Capital Fund(WCF) and General Fund (GF) accounting and methods, and applying strategies for business intelligence and data warehousing.C.4.7.2.4 The Contractor shall enhance the technical architectures by developing and integrating new system components andsoftware/hardware technologies into ISs’ infrastructure(s). (CDRL A011)C.4.7.2.5 The Contractor shall perform operations and maintenance support for ISs, business, and technical applications. Activitiesshall include but are not limited to routine update of database applications, upgrades to database and application software, upgradesand patches to technical architectures, mandated modifications, weekly updates and data file interfaces, and other requiredmaintenance activities.C.4.7.2.6 The Contractor shall perform tasks as set forth in SOPs, as well as develop SOPs for new processes. These tasks shallinclude backup and recovery procedures for all systems, tracking system downtime and usage, and system status checks.C.4.7.2.7 The Contractor shall provide systems administration and technical support for ISs including but not limited to installing,patching, and maintaining software such as Sun Solaris, Linux, Microsoft Windows, Oracle, and Internet Information Services (IIS).C.4.7.2.8 The Contractor shall provide ISSO support for Government designated ISs.C.5 Task Order ManagementThe Contractor shall provide sufficient supervision to ensure all personnel work instructions and schedules originate with theContractor rather than with the Government technical office. This supervision shall ensure that the Contractor’ s personnel are notassigned work instructions and schedules outside this SOW. Any perceived conflicts with the SOW shall be directed to theContracting Officer and Contracting Officer’ s Representative (COR).C.5.1.1 Progress and Status ReportsC.5.1.1.1 The Contractor shall submit a Contracting Officer’ s Management Report. (CDRL A005)</t>
        </is>
      </c>
      <c r="D68" s="13" t="inlineStr">
        <is>
          <t>TECHNICAL</t>
        </is>
      </c>
      <c r="E68" s="13" t="inlineStr">
        <is>
          <t>C</t>
        </is>
      </c>
      <c r="F68" s="13" t="inlineStr">
        <is>
          <t>Mandatory</t>
        </is>
      </c>
      <c r="G68" s="13" t="n">
        <v>32</v>
      </c>
      <c r="H68" s="13" t="inlineStr"/>
      <c r="I68" s="13" t="inlineStr">
        <is>
          <t>C.4.6.5, C.4.6.5.1, C.4.6.5.2, C.4.7, C.4.7.1, C.4.7.1.1, C.4.7.1.2, C.4.7.1.3, C.4.7.2, C.4.7.2.1, C.4.7.2.2, C.4.7.2.3, C.4.7.2.4, C.4.7.2.5, C.4.7.2.6, C.4.7.2.7, C.4.7.2.8, C.5, C.5.1.1, C.5.1.1.1</t>
        </is>
      </c>
    </row>
    <row r="69">
      <c r="A69" s="13" t="inlineStr">
        <is>
          <t>TW-C-0024</t>
        </is>
      </c>
      <c r="B69" s="13" t="inlineStr">
        <is>
          <t>C.5.1.1.2</t>
        </is>
      </c>
      <c r="C69" s="14" t="inlineStr">
        <is>
          <t>N0017826R30020003 - FINAL
Page 30 of 114
C.5.1.1.2 The Contractor shall maintain and provide a list of all personnel assigned to the Task Order.C.5.1.1.3 The Contractor shall provide comprehensive progress reports and comprehensive IT project metrics detailing all aspects ofcontract execution, project risks and proposed mitigations.C.5.1.2 In-Progress Reviews (IPRs)C.5.1.2.1 The Contractor shall participate in both formal and informal In-Progress Reviews (IPRs) of work being performed. IPRsmay be conducted at the overall contract level or for specific Task Orders/projects/work areas.  Reviews will be scheduled by theGovernment. An initial formal IPR is planned within 90 days of the contract award date and will follow the agenda agreed to by theCOR. Subsequent formal IPRs shall be held quarterly thereafter unless waived by the Government. The IPRs shall be conducted at alocation mutually agreed upon by the Contractor and the Government.  One (1) week in advance of the IPR, the Contractor shallsubmit a copy of the data to be presented at the IPR which shall address staffing, the status of action items from the previous IPR,pertinent issues, and a financial analysis. All information presented shall be up to date as of the final agreed upon agenda. Emergentor future interest items and meetings shall be discussed during the IPR. At the time the review is scheduled, the Government willcommunicate and advise the Contractor as to any additional desired content of the presentation. (CDRL A023, A024)C.5.1.2.2 The Contractor shall submit electronic monthly progress and status reports. (CDRL A005)C.5.1.2.3 The Contractor shall hold informal monthly meetings with assigned NSWCDD personnel upon request of the Governmentto discuss ongoing and financial status for each work element.C.5.1.3 Task Prioritization MeetingsC.5.1.3.1 The Contractor shall participate in periodic Task Prioritization Meetings with the COR and Subject Matter experts(SMEs).  The purpose of these meetings is to address tasking and management strategy and to convey the Government’ s technicalprogram schedules and priorities and to identify corresponding task priorities for this Task Order.  The Contractor shall documentminutes of the meetings and action items. (CDRL A006)C.5.2 TeleworkC.5.2.1 Telework is permitted subject to Government requirements. Telework is dependent upon the type of work being performed.In accordance with H-216-H002 Level of Effort-Alternate I (NA VSEA) and concurrence from the Government SME and COR,teleworking at an alternative worksite is permitted for personnel who are performing tasks related to work classified below SECRETwith no more than 40% of the work being performed at an alternative worksite. All personnel performing work classified asSECRET or above must do so in assigned Government facilities and are not eligible to telework. Alternative worksites must beconducive to performing the contracted work with reliable internet connectivity, adequate workspace free from distractions, andavailability of necessary equipment (if not government-furnished).C.5.2.2 Qualified Contractor personnel may provide virtual support from off-site locations within the continental United States fortasks related to work classified below SECRET and with concurrence from the Government SME and COR. Qualified Contractorpersonnel are required for on-site and desk-side support if personnel working virtually are unable to resolve an incident or problemwithin service-level requirements or are unable to fulfill a request within service-level requirements. In such cases, on-site anddesk-side support personnel shall resolve incidents or problems and fulfill requests within service-level requirements.C.5.2.3 In the event of telework, the Contractor shall track all Government Furnished Property, listing personnel, asset tag numbersand serial numbers for all RDTE and NMCI computer equipment in the Contractor’ s possession.  All equipment shall be returned tothe Government by the end of the Task Order or when equipment is no longer in use, whichever comes first.C.5.3 Skills and TrainingC.5.3.1 The Contractor shall provide capable personnel with qualifications, experience levels, security clearances, and necessarylicenses, certifications, and training required by Federal, State, and Local laws and regulations.  Information assurance functionsrequire certifications specified in DFARS 252.239-7001 Information Assurance Contractor Training and Certification.C.5.3.2 Per the requirements set forth in DOD 8570.01-M Information Assurance Workforce Improvement Program, as a conditionof meeting requirements, personnel performing Information Assurance (IA) functions outlined in the manual will be tracked forcompliance, designated in writing from the Local Command Authority as Cyberspace Workforce (CWF), shall already be inpossession of an approved commercial certification for their environment at time of performance start, and shall satisfy bothpreparatory and sustaining DOD IA training and certification requirements as outlined in Chapters 2-5 of DOD 8570.01-M.Additionally, personnel with Privileged Access must sign acknowledging duties on a "Privileged Access Agreement", be able tomaintain the appropriate investigation type, sign a System Authorization Access Request-Navy (SAAR-N) with “privileged”indicated, complete applicable Operating System/Computer Environment (OS/CE) training to Navy’ s standards, and maintain avalid commercial certification that meets outlined designations. Failure to maintain all requirements at the appropriate level mayresult in the removal of elevated access and removal from tasks being performed. Non-privileged Information Assurance. Workforce(IAWF) members may be removed from tasks being performed. In both situations, access will be returned once the failure(s) are</t>
        </is>
      </c>
      <c r="D69" s="13" t="inlineStr">
        <is>
          <t>TECHNICAL</t>
        </is>
      </c>
      <c r="E69" s="13" t="inlineStr">
        <is>
          <t>C</t>
        </is>
      </c>
      <c r="F69" s="13" t="inlineStr">
        <is>
          <t>Mandatory</t>
        </is>
      </c>
      <c r="G69" s="13" t="n">
        <v>32</v>
      </c>
      <c r="H69" s="13" t="inlineStr"/>
      <c r="I69" s="13" t="inlineStr">
        <is>
          <t>DFARS 252.239-7001, C.5.1.1.2, C.5.1.1.3, C.5.1.2, C.5.1.2.1, C.5.1.2.2, C.5.1.2.3, C.5.1.3, C.5.1.3.1, C.5.2, C.5.2.1, C.5.2.2, C.5.2.3, C.5.3, C.5.3.1, C.5.3.2</t>
        </is>
      </c>
    </row>
    <row r="70">
      <c r="A70" s="13" t="inlineStr">
        <is>
          <t>TW-C-0025</t>
        </is>
      </c>
      <c r="B70" s="13" t="inlineStr">
        <is>
          <t>C.5.3.3</t>
        </is>
      </c>
      <c r="C70" s="14" t="inlineStr">
        <is>
          <t>N0017826R30020003 - FINAL
Page 31 of 114
corrected.C.5.3.3 Training on non-commercial and department-specific tools and procedures will be provided by the Government.C.5.3.4 Notwithstanding the above, it is understood that the Government may order services requiring knowledge and skills of anewly emergent technology.  The Contracting Officer may, on a case-by-case basis, authorize the expenditure of Government fundsfor the training of Contractor personnel.  Advance approval is required.  The Contractor is encouraged to suggest a cost-sharingarrangement that addresses registration, tuition, travel, and labor costs.C.5.3.5 The Contractor shall complete all mandatory training as prescribed by the Government. These training requirements areaccessed through Government web-based training (WBT), classroom training, or combination of both.C.5.3.6 Mandatory Training Completion Log - The Contractor shall submit a Mandatory Training Completion Log for trainingcompleted.  The Mandatory Training Completion Log shall identify Contractor personnel by name, company assignment, trainingtopic, completion no later than date, actual completion date, and completed on time yes/no.  The Mandatory Training CompletionLog shall address required CSWF training including annual continuous learning training requirements.C.6 OTHER DIRECT COSTSDuring the performance of this Task Order the Contractor will have to travel and procure material and consumables to perform thetasking of the SOW.C.6.1 TravelThe Contractor shall be required to travel in performance of this Task Order.  The numbers of trips and types of personnel travelingshall be limited to the minimum required to accomplish work requirements and shall be requested of and authorized in advance bythe COR in writing or by electronic e-mail.  All requests shall show the appropriate Task Order number, the number of peopletraveling, the number of days for the trip, the reason for the travel, an estimated cost (with G&amp;A separate) and any high cost orunusual costs expected.  The Contractor is not authorized to perform any travel that is not in conjunction with this effort.  All travelshall be conducted in accordance with FAR 31.205-46 Travel Costs.Locations will be determined by the Government and are subject to change. Representative travel locations and sites may include:
Baltimore, MarylandCarderock, MarylandCorona, CaliforniaIndian Head/Stump Neck, MarylandMiddletown, Rhode IslandNewport, Rhode IslandPanama City, FloridaPort Hueneme, CaliforniaQuantico, VirginiaSan Diego, CaliforniaVirginia Beach, VirginiaWallops, VirginiaWashington Navy Yard, District of ColumbiaWashington, District of Columbia</t>
        </is>
      </c>
      <c r="D70" s="13" t="inlineStr">
        <is>
          <t>TECHNICAL</t>
        </is>
      </c>
      <c r="E70" s="13" t="inlineStr">
        <is>
          <t>C</t>
        </is>
      </c>
      <c r="F70" s="13" t="inlineStr">
        <is>
          <t>Mandatory</t>
        </is>
      </c>
      <c r="G70" s="13" t="n">
        <v>32</v>
      </c>
      <c r="H70" s="13" t="inlineStr"/>
      <c r="I70" s="13" t="inlineStr">
        <is>
          <t>FAR 31.205-46, C.5.3.3, C.5.3.4, C.5.3.5, C.5.3.6, C.6, C.6.1</t>
        </is>
      </c>
    </row>
    <row r="71">
      <c r="A71" s="13" t="inlineStr">
        <is>
          <t>TW-C-0026</t>
        </is>
      </c>
      <c r="B71" s="13" t="inlineStr">
        <is>
          <t>C.6.1.1</t>
        </is>
      </c>
      <c r="C71" s="14" t="inlineStr">
        <is>
          <t>C.6.1.1 The Contractor shall submit trip reports following any travel under this effort. (CDRL A028)              C.6.2 Direct Charge of Materials(a) During the performance of this Task Order it may be necessary for the Contractor to procure materials to respond to the missionrequirements listed in the SOW. This Task Order is issued under a services contract and the procurement of materials of any kindthat are not directly related to and necessary for performance may be determined to be unallowable costs pursuant to FAR Part 31.Any material provided by the Contractor is subject to the requirements of the FAR, DFARS, and the applicable Department of Navyregulations and instructions. Charges related to materials costs may include general and administrative (G&amp;A) expenses but shallnot include fee or profit.(b) The materials listed in paragraph (e) below shall be the only ones approved for purchase under this Task Order. The numbers of,and types of, material purchases shall be limited to the minimum required to accomplish work requirements and shall be coordinatedwith the COR. Splitting purchase requirements to defeat purchasing thresholds shall not be approved. If the Contractor (or</t>
        </is>
      </c>
      <c r="D71" s="13" t="inlineStr">
        <is>
          <t>TECHNICAL</t>
        </is>
      </c>
      <c r="E71" s="13" t="inlineStr">
        <is>
          <t>C</t>
        </is>
      </c>
      <c r="F71" s="13" t="inlineStr">
        <is>
          <t>Mandatory</t>
        </is>
      </c>
      <c r="G71" s="13" t="n">
        <v>34</v>
      </c>
      <c r="H71" s="13" t="inlineStr"/>
      <c r="I71" s="13" t="inlineStr">
        <is>
          <t>C.6.1.1, C.6.2</t>
        </is>
      </c>
    </row>
    <row r="72">
      <c r="A72" s="13" t="inlineStr">
        <is>
          <t>TW-C-0027</t>
        </is>
      </c>
      <c r="B72" s="13" t="inlineStr">
        <is>
          <t>C.6.1.1</t>
        </is>
      </c>
      <c r="C72" s="14" t="inlineStr">
        <is>
          <t>N0017826R30020003 - FINAL
Page 32 of 114
Sub-contractor) possesses a Defense Contract Management Agency (DCMA) approved purchasing system, individual itempurchases greater than $3,000 but less than $10,000 shall be approved by the COR; individual item purchases equal to or over$10,000 shall not be executed until the COR reviews the requested purchase and approval is obtained from the Contracting Officer.If the Contractor does not possess an approved purchasing system, individual item purchases less than $3,000 shall be approved bythe COR. For purchase of materials equal to or over $3,000 shall not be executed until the COR reviews the requested purchase andapproval is obtained from the Contracting Officer. No purchases of any amount shall be executed by a Sub-contractor if they do nothave a Defense Contract Audit Agency (DCAA) approved accounting system.(c) Information Technology (IT) Resources shall not be purchased unless DOD and Navy purchasing procedures (includingInformation Technology Procurement Request (ITPR) approval) have been satisfied and approvals obtained. IT Resources includepersonal computers (PCs), laptops, printers, software, servers, hubs, routers, phones, fax machines, and any related maintenance,telecommunications, training, or other support services. All IT Resource Other Direct Cost (ODC) purchases require COR approvalregardless of the dollar value associated with the purchase.(d) The costs of general purpose business expenses required for the conduct of normal business operations will not be consideredallowable direct costs in the performance of the Task Order - unless supported by DCMA as a procedure of the Contractor'saccounting procedures. General purpose business expenses include the costs for items such as telephones (including cell phones)and telephone charges, copy machines, word processing equipment, personal computers, and other office equipment and supplies.(e) The materials and equipment contained in the following list are authorized for purchase once the Contractor has complied withapproval requirements stated in paragraph (b) above and paragraph (f) below:· To be determinedMaterials not fitting the descriptions listed in this section may not be purchased unless mutually agreed to by both the Governmentand Contractor and subsequently added to the contract by Task Order modification.(f) Procedure for obtaining COR and/or Contracting Officer approval, the Contractor shall submit a request for purchase of materialsto the COR through email. The COR will review the request, if it is in accordance with paragraph (b) above and requiresContracting Officer approval, the COR will submit the request via the Contract Specialist to the Contracting Officer for review andapproval. Minimum requirements for a written request for purchase are as follows:(1) Description of the material to be purchased;(2) Quantity;(3) Unit and total cost;(4) Delivery/freight charges;(5) Any associated service charges such as assembly, configuration, packing, etc.;(6) An explanation of the need for the material;(7) Copy of the competitive quotes received from potential suppliers;(8) The basis for the selection of the selected supplier;(9) Explanation of the determination of price reasonableness regarding the selected supplier costs;(10) If the procurement is sole sourced to a particular supplier or manufacturer, include the rationale for limiting the procurement tothat supplier or manufacturer;(11) ITPR request date, and if granted, approval date and tracking number (if applicable);Once the COR and/or Contracting Officer have reviewed the request, the Government will notify the Contractor of the outcome.Issues or details may be discussed with the Contract Specialist acting on behalf of the Contracting Officer until a final Governmentdetermination is made as to whether to approve, modify, or reject the purchase.(g) The Contractor is required to possess and maintain an adequate property management system. The system must track allmaterials/ODCs associated with this Task Order. Upon completion of the Task Order Period of Performance, all material associatedwith this Task Order that were purchased by the Contractor and not depleted or previously delivered to the Government during theperformance of this Task Order shall become the property of the Federal Government. The Contractor shall transfer all materials,not depleted or previously delivered to the Government, to the COR by way of a Material Inspection and Receiving Report (DDForm 250) in accordance with DFARS PGI 245.402-71.C.7 GOVERNMENT FURNISHED EQUIPMENT, INFORMATION, AND MATERIALSC.7.1 Government Furnished Office SpaceC.7.1.1 The Government will not provide office space for Task Order performance. Some of the performance on this Task Order</t>
        </is>
      </c>
      <c r="D72" s="13" t="inlineStr">
        <is>
          <t>TECHNICAL</t>
        </is>
      </c>
      <c r="E72" s="13" t="inlineStr">
        <is>
          <t>C</t>
        </is>
      </c>
      <c r="F72" s="13" t="inlineStr">
        <is>
          <t>Mandatory</t>
        </is>
      </c>
      <c r="G72" s="13" t="n">
        <v>34</v>
      </c>
      <c r="H72" s="13" t="inlineStr"/>
      <c r="I72" s="13" t="inlineStr">
        <is>
          <t>section m, C.7, C.7.1, C.7.1.1</t>
        </is>
      </c>
    </row>
    <row r="73">
      <c r="A73" s="13" t="inlineStr">
        <is>
          <t>TW-C-0028</t>
        </is>
      </c>
      <c r="B73" s="13" t="inlineStr">
        <is>
          <t>C.6.1.1</t>
        </is>
      </c>
      <c r="C73" s="14" t="inlineStr">
        <is>
          <t>N0017826R30020003 - FINAL
Page 33 of 114
will occur at NSWCDD. NSWCDD has laboratory and outdoor experimental facilities and equipment. These resources include: fifty(50) office spaces and six (6) lab spaces. However, access to lab space may be limited at certain times. Contractors shall be providedaccess to these resources, when appropriate. (a) The Government will provide access to NMCI, JWICS, or other Government computer resources as required.(b) Government Furnished Property (hardware, software, firmware) will be provided to support access to NMCI, JWICS, or otherGovernment computer resources as required during performance of this contract.C.7.2 Government Furnished Property(a) GFP may be issued under this Task Order. The Government will make available the Government Property identified in theattachment J.8, Government Furnished Property on a rent-free basis in performance of the Task Order. The Contractor is responsiblefor all costs related to making the property available for use, such as payment of all transportation, installation, or rehabilitationcosts.(b) The Contractor shall maintain and report the inventory of GFP (CDRL A026) issued under this Task Order. This requirement isin addition to anything required by regulation, statute, or the assigned Government Property Administrator.(c) The following will property will be included in the task order: One-hundred and twenty five (125) NMCI Laptops, eighty-five(85) RDT&amp;E Laptops.C.7.3 Government Furnished Information(a) The Government will provide access to information and documentation required for contract performance.(b) All information and documentation shall be digitized and stored in Government designated storage areas.C.8 SECURITYC.8.1 The Contractor will have access to information with a SECRET classification.  All deliverables associated with this TaskOrder are unclassified unless otherwise specified.  Access to classified spaces and material and generation of classified materialshall be in accordance with the attached DD Form 254.  The Department of Defense Contract Security Classification Specification(DD Form 254) provides the security classification requirements for this Task Order. The Contractor shall obtain facility andpersonnel security clearances as required by the National Industrial Security Program prior to starting to work on tasks requiringclearances.  Access to classified spaces and material and generation of classified material shall be in accordance with the 32 Code ofFederal Regulation (CFR) Part 117 and the NSWCDD Command Security Manual.  Some work accomplished under this Contractwill be classified up to the level of TOP SECRET/SCI. All data generated under this Task Order shall be classified in accordancewith the guidance in the 32 CFR Part 117 and the NSWCDD Command Security Manual.  The Contractor must comply withguidelines specified on the DD254.  Contractors SCI indoctrinated in support of this contract shall comply with the reportingrequirements as outlined in DoD policies SEAD-3 DTD 12 June 2017 and SEAD-3 Implementation memo DTD 02 Nov 2020.  Alldeliverables associated with this Contract will be non-SCI.C.8.2 The Contractor shall require access to Communications Security (COMSEC) in order to use crypto keying material.  Accessto NATO is required to obtain a SIPRNet account and to utilize the Defense Technical Information Center system to obtaindocuments on intelligence and to access and administer the classified RDTE network and the data maintained on it. ControlledUnclassified Information (CUI) to include Personally Identifiable Information (PII) generated and/or provided under this Contractshall be safeguarded and marked as specified in DoD Instruction 5200.48.  All above accesses are needed to provide IT support andIM support for NSWCDD.C.8.3 Facility Clearance:  The Contractor shall possess and maintain a TOP SECRET facility clearance as verified within theNational Industrial Security System (NISS).C.8.4 Physical Security:  The Contractor shall be responsible for safeguarding all Government information or property provided forContractor use.  At the end of each work period, Government information, facilities, equipment and materials shall be secured asspecified by the 32 CFR Part 117 and the NSWCDD Command Security Manual. C.8.5 Personnel Security Clearances and Investigation Types: All individuals performing support under this requirement arerequired to have, as a minimum, a DoD Personnel Security Clearance of SECRET in Defense Information System for Security(DISS) or subsequent system of record with the ability to successfully obtain a TOP SECRET or TOP SECRET/SCI Clearance.Interim SECRET clearances are acceptable. Interim SECRET clearances are acceptable.C.8.5.1 The work to be performed under this contract is up to the TOP SECRET (TS) level and will require SCI access eligibility forsome personnel, to include subcontractors and Independent Consultants. Personnel requiring TS/SCI clearance must possess acurrent FINAL TS/SCI security clearance granted by the U.S. Government.C.8.5.2 T5 and/or TR5 Investigation - All personnel performing as Privileged Users (individuals who have access to critical systemcontrol, monitoring, or administration functions per Cyberspace Workforce (CWF) policy are required to have and maintain a final</t>
        </is>
      </c>
      <c r="D73" s="13" t="inlineStr">
        <is>
          <t>TECHNICAL</t>
        </is>
      </c>
      <c r="E73" s="13" t="inlineStr">
        <is>
          <t>C</t>
        </is>
      </c>
      <c r="F73" s="13" t="inlineStr">
        <is>
          <t>Mandatory</t>
        </is>
      </c>
      <c r="G73" s="13" t="n">
        <v>34</v>
      </c>
      <c r="H73" s="13" t="inlineStr"/>
      <c r="I73" s="13" t="inlineStr">
        <is>
          <t>attachment J, C.7.2, J.8, C.7.3, C.8, C.8.1, C.8.2, C.8.3, C.8.4, C.8.5, C.8.5.1, C.8.5.2</t>
        </is>
      </c>
    </row>
    <row r="74">
      <c r="A74" s="13" t="inlineStr">
        <is>
          <t>TW-C-0029</t>
        </is>
      </c>
      <c r="B74" s="13" t="inlineStr">
        <is>
          <t>C.8.5.3</t>
        </is>
      </c>
      <c r="C74" s="14" t="inlineStr">
        <is>
          <t>N0017826R30020003 - FINAL
Page 34 of 114
adjudicated T5/T5R in DISS or subsequent system of record.C.8.5.3 The Contractor is responsible for providing personnel with appropriate security clearances to ensure compliance withGovernment security regulations, as specified on individual Task Order. The Contractor shall fully cooperate on all security checksand investigations by furnishing requested information to verify the Contractor employee's eligibility for any required clearance.C.8.6 Electronic SpillageC.8.6.1 Electronic Spillages (ES) are unacceptable and pose a risk to national security.  An electronic spillage is defined as classifieddata placed on an IS, media or hardcopy document possessing insufficient security controls to protect the data at the requiredclassification level, thus posing a risk to national security (e.g., SCI onto collateral, Secret onto Unclassified, etc.).  The Contractor’ sperformance as it relates to ES will be evaluated by the Government.  ES reflects on the overall security posture of NSWCDD and alack of attention to detail with regard to the handling of classified information of IS security discipline and will be reflected in theContractor's performance rating.  In the event that a Contractor is determined to be responsible for an ES, all direct and indirectcosts incurred by the Government for ES remediation will be charged to the Contractor.C.8.6.2 NSWCDD Security will continue to be responsible for the corrective action plan in accordance with the security guidancereflected on the DOD Contract Security Classification Specification - DD254.  NSWCDD Security will identify the Contractorfacility and contract number associated with all electronic spillages during the investigation that involve the Contractor.  NSWCDDSecurity will notify the Contracts Division with the Contractor facility name and contract number, incident specifics and associatedcosts for clean-up.  The Contracting Officer will be responsible to work with the Contractor Facility to capture the costs incurredduring the spillage clean up.  The Contractor is also responsible for taking Information Security Awareness training annually, viatheir Facility Security Officer (FSO), as part of the mandatory training requirements.  If a spillage occurs additional training will berequired to prevent recurrence.C.8.7 Portable Electronic Devices (PEDs)C.8.7.1 Non-Government and/or personally owned portable electronic devices (PEDs) are prohibited in all NSWCDD buildingswith the exception of personally owned cell phones which are authorized for use in General Office Spaces (GOS). All personnelneed to be aware of the PEDs policy and being permitted in a building by asking authorized personnel or reviewing the entrancearea signs and instructions. The Contractor/personnel visiting shall ensure the onsitepersonnel remain compliant with this PED policy. NSWCDD instruction defines PEDs as the following: any electronic devicedesigned to be easily transported, with the capability to store, record, receive or transmit text, images, video, or audio data in anyformat via any transmission medium. PED’ s include, but are not limited to, pagers, laptops, radios, compact discs and cassetteplayers/recorders. In addition, this includes removable storage media such as flash memory, memory sticks, multimedia cards andsecure digital cards, micro-drive modules, ZIP drives, ZIP disks, CD-RWs, DVD-RWs, MP3 players, iPADs, digital picture frames,electronic book readers, kindle, nook, cameras, external hard dish drives, and floppy diskettes.C.8.7.2 Personal Wearable Fitness Devices (PWFDs) marketed primarily as fitness or sleep devices are allowed in all Navy spaces,if they are compliant with NA V ADIN 216/15, where collateral non-Sensitive Compartmented Information (SCI), classifiedinformation is processed, stored, or discussed up to and including SECRET. The user must ensure the PWFD is compliant with allrequirements in NA V ADMIN 216/15, Cyber Hygiene Authorization to use Personal Wearable Fitness Devices (e.g., FitBit, JawboneUP, etc.) in Navy Spaces, dated 14 September 2015 and register PWFD in the NSWCDD Fitness Device Tracker.C.8.7.3 Personnel requiring the use of Medical Portable Electronic Devices (MPEDS) must submit Form NSWCDD 5239/4 forSCIF authorization to the SCIF authorizations to the Special Security Officer (SSO).  For SAFF, authorizations follow the guidanceprovided by the Government Special Access Program Security Officer (GSSO).  Authorizations for use in SAPFs that areco-utilized within NSWCDD SCIFS require coordination between both the GSSO and SSO.  For authorizations to use MPED inCollateral Classified spaces, submit form to the Special Programs Branch, Code 1053.C.8.7.4 PEDs belonging to an external organization shall not be connected to NSWCDD networks or infrastructure without priorapproval from the NSWCDD Command ISSM and the NSWCDD Security Director. This approval will be granted using theTemporary Approval Request for Information System (TARIS) Form and action tracker process, or other processC.8.7.5 Personally owned hardware or software shall not be connected or introduced to any NSWCDD hardware, network or ISinfrastructure.C.8.7.5.1 Navy-issued PeripheralsC.8.7.5.2 Government procured headsets with or without microphones must be wired, use either a 3.5 millimeter (mm) audio jack oruniversal serial bus (USB) port, cannot contain active-noise cancelling functionality and may be used on systems of classification upto and including collateral Top Secret. The headsets are considered unclassified when unplugged, and must be unplugged when notin use.C.8.7.5.3 Government procured Bluetooth earbuds and headsets that do not require a USB dongle or any other physical connection</t>
        </is>
      </c>
      <c r="D74" s="13" t="inlineStr">
        <is>
          <t>TECHNICAL</t>
        </is>
      </c>
      <c r="E74" s="13" t="inlineStr">
        <is>
          <t>C</t>
        </is>
      </c>
      <c r="F74" s="13" t="inlineStr">
        <is>
          <t>Mandatory</t>
        </is>
      </c>
      <c r="G74" s="13" t="n">
        <v>34</v>
      </c>
      <c r="H74" s="13" t="inlineStr"/>
      <c r="I74" s="13" t="inlineStr">
        <is>
          <t>C.8.5.3, C.8.6, C.8.6.1, C.8.6.2, C.8.7, C.8.7.1, C.8.7.2, C.8.7.3, C.8.7.4, C.8.7.5, C.8.7.5.1, C.8.7.5.2, C.8.7.5.3</t>
        </is>
      </c>
    </row>
    <row r="75">
      <c r="A75" s="13" t="inlineStr">
        <is>
          <t>TW-C-0030</t>
        </is>
      </c>
      <c r="B75" s="13" t="inlineStr">
        <is>
          <t>C.6.1.1</t>
        </is>
      </c>
      <c r="C75" s="14" t="inlineStr">
        <is>
          <t>N0017826R30020003 - FINAL
Page 35 of 114
to enable wireless connectivity are allowed for use on Government issued tablets, phones, and personal devices in teleworkenvironments or unclassified general office space where no classified discussion are occurring. However, they must be disconnectedwhen not in use.C.8.7.5.4 Web cameras may only be used on systems at the classification level of the space.  For example, in a collateral SECRETopen storage area an external web camera may be connected to the SECRET workstation only.  No camera pass is required for thesedevices.C.8.7.5.5 Government provided printers and/or scanners are authorized in a telework environment.  Users must ensure that anypaper or media containing CUI or unclassified information not authorized for public release is safeguarded while not attended bylocking in a drawer, cabinet or room.  CUI and unclassified information not approved for public release must be returned to theworksite for destruction.C.8.7.5.6 Government issued peripherals may be used on personal devices.C.8.7.5.7 While connected to any Navy network, whether on site or while in a telework environment, the use of headsets withmicrophones and web cameras are restricted to official Government duties.C.8.8 Operations Security (OPSEC)Contractor personnel shall follow OPSEC concepts and principles in the conduct of this requirement to protect critical information,personnel, facilities, equipment, and operations from compromise.  All Contractors (including Sub-contractors) shall supplementtheir current security practices by requiring any personnel involved in executing this contract to complete Government-sponsoredand administered Operations Security (OPSEC) training.  In addition, all Contractors should be aware of the Critical Informationand Indicators List (CIIL) for the organization they are supporting as well as the OPSEC plan for NSWCDD.  These OPSECrequirements will be in effect throughout the life of the procurement from award through the conclusion of services at the end of theperiod of performance (PoP) or other procurement termination. The Contractor must immediately notify the Government upon thediscovery of any nonconformance with the OPSEC Plan.C.8.9 Privacy Program TrainingPrivacy Program Training.  Privacy training is mandatory for all NSWCDD personnel (military, civilian, and contractor) and mustbe completed annually.  Total Workforce Management Services (TWMS) is the official database for workforce training and is thetool for taking and recording privacy act training.  The contractor is responsible for ensuring individual annual privacy trainingrequirements are met. C.8.10 IT-1 Designation RequirementsC.8.10.1 In accordance with (IAW) DON Chief Information Officer (CIO), NSWC Headquarters, and NSWCDD guidance, ITLevel-1 positions are defined as users with privileged access to critical networking equipment to include workstations, servers,routers, switches and the like. Contractor employees assigned to a privileged user designated position with SECRET access will berequired to have a favorably adjudicated T5/T5R completed every five years.  Contractor employees that require a SECRETClearance as part of their job duties, with a T5/T5R designation, will be initiated by the Government, and will be at theGovernment's expense.  Contractor employees that require a TOP SECRET Clearance as part of their job duties, with T5/T5Rdesignation, shall be initiated by the Contracting Company.C.8.10.2 Any Contractor employee, who has a final clearance and submitted T5/T5R that is accepted by Office of PersonnelManagement (OPM) along with a favorable fingerprint check (SAC), is eligible for IT-1 designation.  The Command SecurityOffice will review all SF-86 paperwork for all Contractor employees nominated for IT Level-I designations if the T5/T5R is notcompleted.C.8.10.3 Contractor employees that do not have a final clearance investigation within DISS, or subsequent system of record, areineligible for IT Level-I designation until the T5/T5R has been favorably adjudicated, shall remain at IT level-II status and shall notbe assigned to a contract position requiring IT Level-I designation.C.9 ON-SITE ENVIRONMENTAL AWARENESSC.9.1 The Contractor shall strictly adhere to all Federal, State and local laws and regulations, Executive Orders, and Department ofDefense and Navy policies.C.9.2 The Contractor shall ensure that each Contractor employee who has been or will be issued a Common Access Card (CAC),performs work in direct support of NSWCDD programs under the NSWCDD Commanding Officer, and sits on-site at NSWCDD,completes the NA VSEA Environmental Awareness Training (TWMS-695388) within 30 days of commencing Task Orderperformance and at least every three (3) years thereafter or as directed by their NSWCDD training coordinator or their COR.C.9.3 The Contractor shall ensure that each Contractor employee not required to complete the training described above (i.e., thosewho do not have and will not be issued a CAC, do not perform work in direct support of NSWCDD programs under the NSWCDD</t>
        </is>
      </c>
      <c r="D75" s="13" t="inlineStr">
        <is>
          <t>TECHNICAL</t>
        </is>
      </c>
      <c r="E75" s="13" t="inlineStr">
        <is>
          <t>C</t>
        </is>
      </c>
      <c r="F75" s="13" t="inlineStr">
        <is>
          <t>Mandatory</t>
        </is>
      </c>
      <c r="G75" s="13" t="n">
        <v>34</v>
      </c>
      <c r="H75" s="13" t="inlineStr"/>
      <c r="I75" s="13" t="inlineStr">
        <is>
          <t>SEC c, C.8.7.5.4, C.8.7.5.5, C.8.7.5.6, C.8.7.5.7, C.8.8, C.8.9, C.8.10, C.8.10.1, C.8.10.2, C.8.10.3, C.9, C.9.1, C.9.2, C.9.3</t>
        </is>
      </c>
    </row>
    <row r="76">
      <c r="A76" s="13" t="inlineStr">
        <is>
          <t>TW-C-0031</t>
        </is>
      </c>
      <c r="B76" s="13" t="inlineStr">
        <is>
          <t>C.6.1.1</t>
        </is>
      </c>
      <c r="C76" s="14" t="inlineStr">
        <is>
          <t>N0017826R30020003 - FINAL
Page 36 of 114
Commanding Officer, and do not sit on-site at NSWCDD) reads the NSWCDD Environmental Policy Statement within 30 days ofcommencing contract performance.  This document will be available from the COR, however, the policy is also provided on thepublicly-available NSWCDD website, https://www.navsea.navy.mil/Home/Warfare-Centers/NSWC-Dahlgren/Resources/.C.9.4 Within 30 days of commencing contract performance, the Contractor shall certify by e-mail to their COR that therequirements captured above have been met.  The e-mail shall include each employee name and work site and shall indicate whichrequirement each employee has satisfied.C.9.5 Contractor copies of the records generated by the actions described above will be maintained and disposed of by theContractor in accordance with Secretary of Navy Instruction (SECNA VINST) 5210.8F.C.9.6 The Contractor shall perform work under this Task Order consistent with the relevant policy and objectives identified in theNSWCDD environmental management system (EMS). The Contractor shall perform work in a manner that conforms to allappropriate EMS Plans of Actions and Milestones identified by the NSWCDD EMS Plan. In the event an environmentalnonconformance or noncompliance associated with the contracted services is identified, the Contractor shall respond and takeimmediate corrective and/or preventative actions to ensure the actions do not continue. In addition, the Contractor shall ensure thattheir employees are aware of their roles and responsibilities identified by the NSWCDD EMS and how these requirements affecttheir work performed under this Task Order.C.10 ON-SITE SAFETY REQUIREMENTSC.10.1 The Contractor shall strictly adhere to Federal Occupational Safety and Health Agency (OSHA) Regulations, EnvironmentalProtection Agency (EPA) Regulations, NSWCDDINST 5100.1 Occupational Safety and Health Instruction (current revision), andall applicable state and local requirements.C.10.2 The Contractor shall ensure that each Contractor employee reads the document entitled, "Occupational Safety and Health(OSH) Policy Statement" within 30 days of commencing performance at NSWCDD.  This document is available at:https://navsea.navy.deps.mil/sites/wc-nswcdd/operations/InfrastructureDiv/SafetyEnvironmental/SitePages/Safety.aspx.C.10.3 The Contractor shall provide each Contractor employee with the training required to do his/her job safely and in compliancewith applicable regulations.  The Contractor shall document and provide, upon request, qualifications, certifications, and licenses asrequired.  Contractors conducting lead or asbestos abatement activities shall also provide a written abatement plan to the Safety &amp;Environmental Branches for review and approval.C.10.4 The Contractor shall provide each Contractor employee with the personal protective equipment required to do their job safelyand in compliance with all applicable regulations.C.10.5 Contractors working with ionizing radiation (radioactive material or machine sources) must comply with NA VSEA S0420-AA-RAD-010 (latest revision) [provided upon request]. Prior to bringing radioactive materials or machine sources on base, theContractor must notify the Command Radiation Safety Officer in the Safety Branch.C.10.6 Contractors shall not procure hazardous material (HAZMAT) on behalf of NSWCDD without following the approvedHAZMAT procurement process in ERP.  For emergency HAZMAT purchases only, the Contractor shall alert the Safety &amp;Environmental Branches and request a waiver to procure outside the HAZMAT procurement process.  For emergency purchases, theContractor shall submit an Authorized Use List Addition form and the Safety Data Sheet to the Safety &amp; Environmental Branchesfor approval.  Once the HAZMAT arrives onsite, the Contractor shall alert the Environmental Branch so that it can be barcoded andadded to the inventory.C.10.7 HAZMAT owned by the Contractor and brought into NSWCDD work spaces for temporary use shall be reviewed andapproved by the Safety &amp; Environmental Branches prior to use.  The Contractor shall submit the Safety Data Sheet that must berouted through the Government supervisor responsible for the specific work area.  This HAZMAT must clearly be marked that it isContractor owned and shall not be stored in NSWCDD spaces.C.10.8 Contractors shall not procure lithium batteries on behalf of NSWCDD without first receiving an approved InitialProcurement Report or certification letter and obtaining approval from the Safety &amp; Environmental Branches.C.10.9 Applicable Contractors shall submit Total Case Incident Rate (TCIR) and Days Away, Restricted and Transfer (DART) ratesfor the past three years upon request by the Safety Branch.  A Contractor meets the definition of applicable if its employees worked1,000 hours or more in any calendar quarter onsite and where oversight is not directly provided in day-to-day activities by thecommand.C.10.10 The Contractor shall report all work-related injuries/illnesses that occurred while working at NSWCDD, or an off-sitelocation (including shipboard), to the Safety Branch.C.11 INFORMATION SYSTEMS (IS) AND COMPUTER USAGEIn accordance with U.S. Navy policy, any personnel, including the Contractor, who utilizes DOD owned systems, shall assume</t>
        </is>
      </c>
      <c r="D76" s="13" t="inlineStr">
        <is>
          <t>TECHNICAL</t>
        </is>
      </c>
      <c r="E76" s="13" t="inlineStr">
        <is>
          <t>C</t>
        </is>
      </c>
      <c r="F76" s="13" t="inlineStr">
        <is>
          <t>Mandatory</t>
        </is>
      </c>
      <c r="G76" s="13" t="n">
        <v>34</v>
      </c>
      <c r="H76" s="13" t="inlineStr"/>
      <c r="I76" s="13" t="inlineStr">
        <is>
          <t>C.9.4, C.9.5, C.9.6, C.10, C.10.1, C.10.2, C.10.3, C.10.4, C.10.5, C.10.6, C.10.7, C.10.8, C.10.9, C.10.10, C.11</t>
        </is>
      </c>
    </row>
    <row r="77">
      <c r="A77" s="13" t="inlineStr">
        <is>
          <t>TW-C-0032</t>
        </is>
      </c>
      <c r="B77" s="13" t="inlineStr">
        <is>
          <t>C.6.1.1</t>
        </is>
      </c>
      <c r="C77" s="14" t="inlineStr">
        <is>
          <t>N0017826R30020003 - FINAL
Page 37 of 114
responsibility for adherence to restrictions regarding internet and e-mail usage. Navy policy prohibits racist, sexist, threatening,pornographic, personal business, subversive or politically partisan communications. All personnel, including the Contractor, areaccountable and must act accordingly. DOD computer systems are monitored to ensure that the use is authorized, to facilitateprotection against unauthorized access, and to verify security procedures, survivability and operational security. During monitoring,information may be examined, recorded, copied, and used for authorized purposes. All information, including personal information,placed on or sent over a DOD system may be monitored. Use of a DOD system constitutes consent to monitoring. Unauthorized usemay result in criminal prosecution. Evidence of unauthorized use collected during monitoring may be used as a basis forrecommended administrative, criminal or adverse action.C.12 USE OF INFORMATION SYSTEM (IS) RESOURCES(a) In the event that the Contractor is required to have access to NSWCDD IS resources, the login name used for access shallconform to the NMCI login naming convention. If the Contractor requires access to applications/systems that utilize clientcertificates for authentication, the Contractor is responsible for obtaining requisite certificates from a DOD or External CertificateAuthority(b) If this Task Order requires that the Contractor be granted access and use of NSWCDD IS resources (at any site), the IS shall beaccredited for Contractor use in accordance with procedures specified by the Information Assurance Office.C.12.1 CONTRACTOR USE OF NSWCDD IS RESOURCESIf there is a requirement (specifically delineated elsewhere in this Task Order) for interconnection (e.g., link level or Virtual PrivateNetwork (VPN)) between any facilities and/or ISs owned or operated by the Contractor and ISs owned or operated by NSWCDD,such interconnection shall take place only after approval from the Information Assurance Office. All such connections as well as theISs connected thereto will be accredited in accordance with DOD policy (DODI 8510.01 Risk Management Framework for DoDSystems) by the cognizant Designated Approving Authority (DAA) and comply with the requirements of Chairman Joint Chiefs ofStaff Instruction (CJCSI) 6211.02D Defense Information Systems Network (DISN) Responsibilities regarding Memorandums ofAgreement. All such connections will be made outside the appropriate NSWCDD firewall.C.13 PRIV ACY INFORMATIONWork under this contract may require that personnel have access to Privacy Information.  Contractor personnel shall adhere to thePrivacy Act, Title 5 of the U.S. Code. Section 552a and applicable agency rules and regulations.  Access to and preparation ofsensitive information subject to privacy Act and Business Sensitive safeguarding and destruction may be required in the executionof tasking associated with this contract.  Administratively sensitive information/data must not be shared outside of the specific workareas.  All personnel with access to privacy act data in support of this contract must sign a privacy act certification.C.14 CONTRACTOR IDENTIFICATIONThe Contractor shall be required to obtain identification badges from the Government for all Contractor personnel requiring regularaccess to Government property.  The identification badge shall be visible at all times while employees are on Government property. The Contractor shall furnish all requested information required to facilitate issuance of identification badges and shall conform toapplicable regulations concerning the use and possession of the badges.  The Contractor shall ensure that all identification badgesissued to Contractor employees are returned to the appropriate Security Office within forty-eight (48) hours following completion ofthe contract, relocation or termination of an employee, and upon request by the Contracting Officer.All Contractor personnel shall identify their company affiliation when answering or making telephone calls and sending e-mail andwhen attending meetings where Government personnel or representatives from other Contractors are present.C.15 CONTROL OF CONTRACTOR PERSONNEL(a) The Contractor shall comply with the requirements of NA VSEA and NSWCDD instructions regarding performance inGovernment facilities. All Contractor personnel engaged in work while on Government property shall be subject to all applicableDOD and Navy Standards of Conduct.(b) The Contractor shall be required to obtain identification badges from the Government for all Contractor personnel requiringregular access to Government property. When on-site in Government office spaces, laboratories, test facilities, or ship assets,Contractor employees shall be clearly identified as a Contractor (e.g., utilizing badge identifications and sign identifications in officespaces). The identification badge shall be visible at all times while employees are on Government property. The Contractor shallfurnish all requested information required to facilitate issuance of identification badges and shall conform to applicable regulationsin the Department of Defense Manual (DODM) 1000.13 DoD Identification (ID) Cards ID Card Life-Cycle concerning the use andpossession of the badges.(c) The Contractor shall ensure that all identification badges issued to Contractor employees are returned to the appropriate SecurityOffice within 48 hours following completion of the Task Order, relocation or termination of an employee, and upon request by theContracting Officer.</t>
        </is>
      </c>
      <c r="D77" s="13" t="inlineStr">
        <is>
          <t>TECHNICAL</t>
        </is>
      </c>
      <c r="E77" s="13" t="inlineStr">
        <is>
          <t>C</t>
        </is>
      </c>
      <c r="F77" s="13" t="inlineStr">
        <is>
          <t>Mandatory</t>
        </is>
      </c>
      <c r="G77" s="13" t="n">
        <v>34</v>
      </c>
      <c r="H77" s="13" t="inlineStr"/>
      <c r="I77" s="13" t="inlineStr">
        <is>
          <t>C.12, C.12.1, C.13, C.14, C.15</t>
        </is>
      </c>
    </row>
    <row r="78">
      <c r="A78" s="13" t="inlineStr">
        <is>
          <t>TW-C-0033</t>
        </is>
      </c>
      <c r="B78" s="13" t="inlineStr">
        <is>
          <t>C.6.1.1</t>
        </is>
      </c>
      <c r="C78" s="14" t="inlineStr">
        <is>
          <t>All Contractor personnel shall identify their company affiliation when answering or making telephone calls and sending emailand when attending meetings where Government personnel or representatives from other Contractors are present. In addition,Contractor personnel cannot lead/manage/supervise Government personnel. Contractor program/project managers shall be clearlyidentified and known as such by Government employees.(e) All persons engaged in work while on Government property shall be subject to search of their persons (no bodily search) andvehicles at any time by the Government and shall report any known or suspected security violations to the appropriate SecurityDepartment. Assignment, transfer, and reassignment of Contractor personnel shall be at the discretion of the Contractor.However, when the Government directs, the Contractor shall remove from Task Order performance any person who endangers life,property, or national security through improper conduct.C.16 CONTRACT PERSONNEL ADMINISTRATIONWhen on-site in Government office spaces, laboratories, test facilities, or ship assets, Contractor employees shall be clearlyidentified as a Contractor (e.g., utilizing badge identifications and sign identifications in office spaces).  In addition, Contractoremployees shall identify themselves as Contractor personnel when answering telephones and sending e-mails.  Contractor personnelcannot lead/manage/supervise Government personnel.  Contractor program/project managers shall be clearly identified and knownas such by Government employees.  As circumstances permit, frequent (at least monthly) meetings are conducted between the CORand the Contractor organization PM/project manager.C.17 TERMINATION OF EMPLOYEES WITH U.S GOVERNMENT BADGES(a) The Contractor shall ensure that all employees who have a DoD Common Access Card (CAC), turn in the CAC immediatelyupon termination of their employment under this Task Order.  The above requirement shall be made a part of the standard employeefacility clearance procedures for all separated personnel.  The Contractor shall advise Command Physical Security of all changes intheir personnel requiring DoD base access.(b) For involuntarily separated personnel and those separated under adverse circumstances, the Contractor shall notify CommandPhysical Security in advance of the date, time, and location where the Command representative retrieve the DOD CAC prior to theemployee departing the Contractor’ s facility. In the event the employee is separated in his or her absence, the Contractor shallimmediately notify Command Physical Security of the separation and make arrangements between the former employee andCommand Physical Security for the return of the CAC. If circumstances arise which necessitate urgent revocation of a CAC afternormal business hours, the Mission Partner Identity, Credential and Access Management (MP ICAM) Mission Partner AffiliationSponsor (MPAS) shall be immediately contacted. MPAS contact information will be provided by the COR after Task Order award.C.18 LABOR CATEGORIES/QUALIFICATIONSSee Attachment J.2, Personnel Qualifications.C.19 NON-PERSONAL SERVICES/INHERENTLY GOVERNMENT FUNCTIONS(a) The Government will neither supervise Contractor employees nor control the method by which the Contractor performs therequired tasks.  The Government will not direct the hiring, dismissal or reassignment of Contractor personnel.  Under nocircumstances shall the Government assign tasks to, or prepare work schedules for, individual Contractor employees.  It shall be theresponsibility of the Contractor to manage its employees and to guard against any actions that are of the nature of personal servicesor give the perception that personal services are being provided. If the Contractor feels that any actions constitute, or are perceivedto constitute personal services, it shall be the Contractor's responsibility to notify the Contracting Officer immediately in accordancewith FAR 52.243-7.(b) Inherently-Governmental functions are not within the scope of this contract.  Decisions relative to programs supported by theContractor shall be the sole responsibility of the Government.  The Contractor may be required to attend technical meetings for theGovernment; however, they are not, under any circumstances, authorized to represent the Government or give the appearance thatthey are doing so.C.20 NON-DISCLOSURE AGREEMENTS (NDAs)(a) Access to and preparation of sensitive information subject to Privacy Act and Business Sensitive safeguarding and destructionmay be required in the execution of tasking associated with this Task Order. NDAs may be utilized to allow for access to companysensitive/proprietary or Privacy Act data. For tasks requiring NDAs, the Contractor shall obtain appropriate agreements for all theiremployees that are associated with the task requiring such an agreement.(b) Contractor personnel may be required, from time to time, to sign NDAs as applicable to specific SOW tasking. The COR willnotify the Contractor of the number and type of personnel that will need to sign the NDAs. The signed NDAs shall be executed priorto accessing data or providing support for information that must be safeguarded. Copies of all executed NDAs shall be provided tothe COR for endorsement and retention.</t>
        </is>
      </c>
      <c r="D78" s="13" t="inlineStr">
        <is>
          <t>TECHNICAL</t>
        </is>
      </c>
      <c r="E78" s="13" t="inlineStr">
        <is>
          <t>C</t>
        </is>
      </c>
      <c r="F78" s="13" t="inlineStr">
        <is>
          <t>Mandatory</t>
        </is>
      </c>
      <c r="G78" s="13" t="n">
        <v>34</v>
      </c>
      <c r="H78" s="13" t="inlineStr"/>
      <c r="I78" s="13" t="inlineStr">
        <is>
          <t>Attachment J, FAR 52.243-7, C.16, C.17, C.18, J.2, C.19, C.20</t>
        </is>
      </c>
    </row>
    <row r="79">
      <c r="A79" s="13" t="inlineStr">
        <is>
          <t>TW-C-0034</t>
        </is>
      </c>
      <c r="B79" s="13" t="inlineStr">
        <is>
          <t>C.21</t>
        </is>
      </c>
      <c r="C79" s="14" t="inlineStr">
        <is>
          <t>C.21 DATA RIGHTS(a) This is a contract for the provision of services by the Contractor.  In accordance with law and policy and with the provisions ofthis contract, Contractor personnel shall perform as required by this contract, and such work shall include working in cooperationand collaboration with Government Personnel.(b) Performance of this contract work shall require, among other things, the Contractor to access and use Government-owned datasuch as software, documentation, technical data, process and report templates, and the like.  Any and all software, documentation,technical data, and the like generated from such access and use shall also be and remain Government-owned data and shall beincluded in an appropriate technical report or other deliverable.  The Contractor’ s use of and access to Government-owned data shallneither constitute nor create any Contractor rights in or license to such data; the only Contractor permissions to use and access thedata shall be those necessarily required by the Contractor to perform the work herein.(c) On occasion and incidental to the provision of support services by the Contractor, the Contractor may be tasked to independentlycreate discrete new data products (e.g., technical analysis, drawings) that do not derive from existing data.  Such products shall bespecifically identified by the Government in writing and shall be delivered pursuant to the appropriate Contract Data RequirementsList (CDRL) document. Rights in such products shall be governed by the appropriate contract clauses.C.22 DIGITAL DELIVERY OF DATA(a) Delivery by the Contractor to the Government of certain technical data and other information is now frequently required to bemade in digital form rather than in hardcopy form. The method of delivery of such data and/or other information (i.e., in electronic,digital, paper hardcopy, or other form) shall not be deemed to affect in any way either the identity of the information (i.e., as“technical data” or “computer software”) or the Government’ s and the Contractor’ s respective rights therein.(b) Whenever technical data and/or computer software deliverables required by this contract are to be delivered in digital form, anyauthorized, required, or permitted markings relating to the Government’ s rights in and to such technical data and/or computersoftware must also be digitally included as part of the deliverable and on or in the same medium used to deliver the technical dataand/or software. Such markings must be clearly associated with the corresponding technical data and/or computer software to whichthe markings relate and must be included in such a way that the marking(s) appear in human-readable form when the technical dataand/or software is accessed and/or used. Such markings must also be applied in conspicuous human- readable form on a visibleportion of any physical medium used to effect delivery of the technical data and/or computer software. Nothing in this paragraphshall replace or relieve the Contractor’ s obligations with respect to requirements for marking technical data and/or computersoftware that are imposed by other applicable clauses such as, where applicable and without limitation, DFARS 252.227-7013and/or DFARS 252.227-7014.(c) Digital delivery means (such as but not limited to Internet tools, websites, shared networks, and the like) sometimes require, as acondition for access to and/or use of the means, an agreement by a user to certain terms, agreements, or other restrictions such as butnot limited to “Terms of Use,” licenses, or other restrictions intended to be applicable to the information being delivered via thedigital delivery means. The Contractor expressly acknowledges that, with respect to deliverables made according to this contract, nosuch terms, agreements, or other restrictions shall be applicable to or enforceable with respect to such deliverables unless suchterms, agreements, or other restrictions expressly have been accepted in writing by the Procuring Contracting Officer; otherwise, theGovernment’ s rights in and to such deliverables shall be governed exclusively by the terms of this contract.C.23 OPERATION OF GOVERNMENT VEHICLES(a) The Contractor may be required to drive Government vehicles onsite at NSWC, Dahlgren Division in the performance of dutiesassociated with the tasking of this contract.  Government provided vehicles shall be used solely for the purposes as described in thePerformance Work Statement.  All drivers must present proof of a valid state driver's license prior to operating a Governmentvehicle.  A valid state driver's license shall be accepted as proper authority for operation of vehicles up to and including tenthousand (10,000) pounds gross vehicle weight and carrying less than fifteen (15) passengers.  For vehicles over ten thousand(10,000) pounds and carrying more than fifteen (15) passengers a valid state driver's license and proof of required Navy training forvehicle are required.  The state driver's license must be valid for the class and weight of the vehicle which the Contractor will beoperating.(b) An authorized drivers list shall be added to the Monthly Status Report and maintained by the Contractor.  The Contractor shallsubmit within the preceding 30 days a Division of Motor Vehicles (DMV) driving record to the COR for review and approval, priorto adding an individual to the Authorized Driver List.  No DUI or DWI convictions in the past 11 years will be considered.C.24 SHIPBOARD PROTOCOL(a) This tasking may involve platform engineering and fleet support onboard ship. As such, the Contractor is reminded of itsresponsibility to assure that shipboard protocol is stringently followed. Specifically, visit clearances must be arranged through theGovernment sponsor and must be forwarded to the individual command being visited as well as to all supporting commands, such asthe base, squadron, tender, etc. that the visitor must pass through to get to the ship; the Contractor is responsible for obtaining and</t>
        </is>
      </c>
      <c r="D79" s="13" t="inlineStr">
        <is>
          <t>TECHNICAL</t>
        </is>
      </c>
      <c r="E79" s="13" t="inlineStr">
        <is>
          <t>C</t>
        </is>
      </c>
      <c r="F79" s="13" t="inlineStr">
        <is>
          <t>Mandatory</t>
        </is>
      </c>
      <c r="G79" s="13" t="n">
        <v>42</v>
      </c>
      <c r="H79" s="13" t="inlineStr"/>
      <c r="I79" s="13" t="inlineStr">
        <is>
          <t>DFARS 252.227-7013, DFARS 252.227-7014, C.21, C.22, C.23, C.24</t>
        </is>
      </c>
    </row>
    <row r="80">
      <c r="A80" s="13" t="inlineStr">
        <is>
          <t>TW-C-0035</t>
        </is>
      </c>
      <c r="B80" s="13" t="inlineStr">
        <is>
          <t>C.21</t>
        </is>
      </c>
      <c r="C80" s="14" t="inlineStr">
        <is>
          <t>N0017826R30020003 - FINAL
Page 40 of 114
maintaining specialized training (i.e. nuclear awareness, safety, quality control, etc.) and certification (i.e. Submarine SafetyProgram(SUBSAFE) certificates etc.); personnel performing on board U.S. Navy Ships must have at a minimum, a current SECRETSecurity Clearance; if not led by a Government representative the Contractor is responsible for briefing the ship/command uponarrival; and the Contractor is responsible for debriefing the ship/command upon departure to include operational status of theequipment.(b) The Contractor shall ensure its personnel adhere to these requirements when performing shipboard tasking. Compliance shall bereported in the trip report (CDRL A028).(c) All assigned personnel must possess, at a minimum, a current SECRET Security Clearance.(d) All personnel, while shipboard, shall conform to the rules and regulations of the ship. It is the responsibility of the Contractor todetermine the proper rules, regulations, actions, policy and procedures.(e) Alarms - actual or drill - shall be reported and procedures appropriately adhered.(f) Safety - hardhats, tag-outs, safety shoes, goggles, safety harnesses, etc., as appropriate - shall be utilized.(g) Some shipboard tasking may require ascending and descending vertical ladders to and from the highest points of the ship bothpier side and underway.(h) Each Contractor employee must be able stand; walk; climb stairs; balance; stoop; kneel; crouch or crawl around and lift amaximum of 50 lbs. (single person) in the test environment.(i) HAZMAT must be used safely according to local Standard Operating Procedures (SOPs).(j) The designated team lead shall, upon arrival, brief the Commanding Officer or his/her designated representative as to the purposeof the visit and expected duration.(k) The designated team lead shall, upon final departure, debrief the Commanding Officer or his/her designated representative as tothe success of the tasking and the operational condition of affected equipment.(l) The Contractor shall comply with the Commander, U.S Fleet Forces Command (COMUSFLTFORCOM)/Commander, U.S.Pacific Fleet (COMPACFLT) INSTRUCTION 6320.3B regarding the medical and dental screening of all personnel that mayembark aboard any U.S. Navy vessel.(m) The Contractor shall ensure that repair and maintenance employees working aboard vessels, dry docks and piers shall have avalid 10 hour OSHA Maritime Shipyard Employment Course #7615 completion card within 60 days of employment.C.25 LABOR TRIPWIRE JUSTIFICATIONSThe Contractor shall monitor monthly average actual spend rates compared to monthly average fully burdened proposed rates on aper CLIN basis. The Contractor shall advise the COR and the Contract Specialist, by email, of any variation of actual-to-proposedrate averages greater than 15 percent. The Contractor's notification shall include the following information:(a) an actual vs. proposed average dollar per hour comparison;(b) the percentage variation between the actual and proposed average;(c) explanation of what is causing the variation;(d) whether or not the Contractor expects this condition is temporary or permanent;(e) the Contractor's plan for addressing and correcting the variation; and(f) additional information as requested by the Government to assist in reporting per the NA VSEAINST 4200.19(series) Planning,Use, and Control of Services Contracting.C.26 POST AWARD CONTRACTOR PERSONNEL APPROV AL(a) See NA VSEA C-237-H002 Substitution of Key Personnel, regarding substitution of key personnel. Requests for post awardapproval of additional and replacement key personnel shall be submitted via email. Email submissions shall be made simultaneouslyto the Contract Specialist, COR, and the Alternate COR. Electronic notification via email from the Contract Specialist will serve aswritten approval or disapproval on behalf of the Contracting Officer. This approval is required before an individual may begincharging to the Task Order.(b) Resumes shall be submitted in the format required in C.20. However, minor deviations in formatting may be overlooked,providing sufficient information is submitted for an independent comparison of the individual's qualifications with Labor Categoryrequirements.</t>
        </is>
      </c>
      <c r="D80" s="13" t="inlineStr">
        <is>
          <t>TECHNICAL</t>
        </is>
      </c>
      <c r="E80" s="13" t="inlineStr">
        <is>
          <t>C</t>
        </is>
      </c>
      <c r="F80" s="13" t="inlineStr">
        <is>
          <t>Mandatory</t>
        </is>
      </c>
      <c r="G80" s="13" t="n">
        <v>42</v>
      </c>
      <c r="H80" s="13" t="inlineStr"/>
      <c r="I80" s="13" t="inlineStr">
        <is>
          <t>C.25, C.26, C.20</t>
        </is>
      </c>
    </row>
    <row r="81">
      <c r="A81" s="13" t="inlineStr">
        <is>
          <t>TW-C-0036</t>
        </is>
      </c>
      <c r="B81" s="13" t="inlineStr">
        <is>
          <t>C.27</t>
        </is>
      </c>
      <c r="C81" s="14" t="inlineStr">
        <is>
          <t>C.27 POST AWARD RESUME FORMAT AND CONTENT REQUIREMENTSIn order to facilitate evaluation of resumes submitted in accordance with C.19 and C-237-H002, all résumés shall be provided in thefollowing format and are not to exceed three (3) pages each. The page limit does not apply to the certification and signature.(a) HEADER· Complete Name· Current Employer· Task Order Labor Category· Contractor Labor Category· Percentage of time to be allocated to this effort upon award of this Task Order· Current security clearance level per DISS (identify if interim or final)· Current work location· Planned work location upon award of this Task OrderNote if the individual is key on another contract with a Period of Performance that will overlap this requirement. Note plans tosatisfy both contracts if the candidate is approved.(b) EDUCATION/PROFESSIONAL DEVELOPMENTShow any degrees, honors, publications, professional licenses, specialized certifications, and other evidence of professionalaccomplishments that are directly relevant and will impact the Offeror’ s qualifications to perform under the Task Order. Foreducation and training, the following format is preferred:· Academic: degree(s); date(s); institution; major/minor· Academic: course title, date(s), approximate length (as cited in labor categories)· Non-Academic: course title, date(s), approximate length· Professional licenses and specialized certifications. (Note the date obtained for each, as well as the date when eachlicense/certification requires renewal.)(c) CHRONOLOGICAL WORK HISTORY/EXPERIENCE(i) Employer: dates (month/year); title(s) held(ii) Work experience shall be presented separately for each employer, clearly marked with proper category of experience (i.e.,relevant experience; nonrelevant experience.). If relevant and nonrelevant experience were obtained while at the same employer,separate time periods shall be noted for each assignment. Responsibilities shall be discussed in sufficient detail for each assignmentso as to permit comparison with experience levels in Attachment J.2, Personnel Qualifications. Specific examples of workassignments, accomplishments, and products shall be provided.(iii) Phrases such as “assisted with,” “participated in,” or “supported” are unacceptable except as introductory to a detaileddescription of the actual work performed. If no such description is provided, the sentence or bulleted information will not beconsidered in the résumé evaluation process.(iv) Résumé information is encouraged to be presented in bullet format.(v) Lack of specific definition in job responsibilities, services performed, or products produced may be viewed as a lack ofunderstanding of the Labor Category requirements.(vi) All relevant military experience claimed shall be described such that each relevant tour is treated as a separate employer. Timeframes/titles /responsibilities shall be provided in accordance with the level of detail prescribed above. Military experience notdocumented in this manner will not be considered.(vii) Gaps in experience shall be explained.(viii) Certification of correctness of information signed and dated by both the person named and the Contractor. The employeecertification shall include the following statement:CERTIFICATION: “I certify that the experience and professional development described herein are complete and accurate in allrespects. I consent to the disclosure of my résumé for NSWCDD Task Order TBD by [insert company name] and intend to makemyself available to work under the Task Order.”___________________________________ __________________________________</t>
        </is>
      </c>
      <c r="D81" s="13" t="inlineStr">
        <is>
          <t>TECHNICAL</t>
        </is>
      </c>
      <c r="E81" s="13" t="inlineStr">
        <is>
          <t>C</t>
        </is>
      </c>
      <c r="F81" s="13" t="inlineStr">
        <is>
          <t>Mandatory</t>
        </is>
      </c>
      <c r="G81" s="13" t="n">
        <v>44</v>
      </c>
      <c r="H81" s="13" t="inlineStr"/>
      <c r="I81" s="13" t="inlineStr">
        <is>
          <t>Attachment J, C.27, C.19, J.2</t>
        </is>
      </c>
    </row>
    <row r="82">
      <c r="A82" s="13" t="inlineStr">
        <is>
          <t>TW-C-0037</t>
        </is>
      </c>
      <c r="B82" s="13" t="inlineStr">
        <is>
          <t>C.27</t>
        </is>
      </c>
      <c r="C82" s="14" t="inlineStr">
        <is>
          <t>N0017826R30020003 - FINAL
Page 42 of 114
Employee Signature and Date Contractor Signature and Date(ix) Résumés without this certification, together with either a handwritten or digital signature, will be unacceptable and will not beconsidered.(x) If the employee is not a current employee of the Contractor (or a Sub-contractor), a copy of the accepted offer letter shall beprovided. The letter shall identify the projected start date.CLAUSES INCORPORATED BY FULL TEXTC-202-H001 ADDITIONAL DEFINITIONS—BASIC (NA VSEA) (OCT 2018)(a)  Department - means the Department of the Navy.(b)  Commander, Naval Sea Systems Command - means the Commander of the Naval Sea Systems Command of the Department ofthe Navy or his duly appointed successor.(c)  References to The Federal Acquisition Regulation (FAR) - All references to the FAR in this contract shall be deemed to alsoreference the appropriate sections of the Defense FAR Supplement (DFARS), unless clearly indicated otherwise.(d)  National Stock Numbers - Whenever the term Federal Item Identification Number and its acronym FIIN or the term FederalStock Number and its acronym FSN appear in the contract, order or their cited specifications and standards, the terms and acronymsshall be interpreted as National Item Identification Number (NIIN) and National Stock Number (NSN) respectively which shall bedefined as follows:         (1)  National Item Identification Number (NIIN).  The number assigned to each approved Item Identification under the FederalCataloging Program.  It consists of nine numeric characters, the first two of which are the National Codification Bureau (NCB)Code.  The remaining positions consist of a seven digit non-significant number.         (2)  National Stock Number (NSN).  The National Stock Number (NSN) for an item of supply consists of the applicablefour-position Federal Supply Class (FSC) plus the applicable nine-position NIIN assigned to the item of supply.(End of Text)C-204-H001 USE OF NA VY SUPPORT CONTRACTORS FOR OFFICIAL CONTRACT FILES (NA VSEA) (OCT 2018)(a) NA VSEA may use a file room management support Contractor, hereinafter referred to as "the support Contractor", to manage itsfile room, in which all official contract files, including the official file supporting this procurement, are retained.  These official filesmay contain information that is considered a trade secret, proprietary, business sensitive or otherwise protected pursuant to law orregulation, hereinafter referred to as “protected information”.  File room management services consist of any of the following:secretarial or clerical support; data entry; document reproduction, scanning, imaging, or destruction; operation, management, ormaintenance of paper-based or electronic mail rooms, file rooms, or libraries; and supervision in connection with functions listedherein.(b) The cognizant Contracting Officer will ensure that any NA VSEA contract under which these file room management services areacquired will contain a requirement that:         (1) The support Contractor not disclose any information;         (2) Individual employees are to be instructed by the support Contractor regarding the sensitivity of the official contract files;         (3) The support Contractor performing these services be barred from providing any other supplies and/or services, orcompeting to do so, to NA VSEA for the period of performance of its contract and for an additional three years thereafter unlessotherwise provided by law or regulation; and,         (4) In addition to any other rights the Contractor may have, it is a third party beneficiary who has the right of direct actionagainst the support Contractor, or any person to whom the support contractor has released or disclosed protected information, for theunauthorized duplication, release, or disclosure of such protected information.(c) Execution of this contract by the Contractor is considered consent to NA VSEA's permitting access to any information,irrespective of restrictive markings or the nature of the information submitted, by its file room management support Contractor forthe limited purpose of executing its file room support contract responsibilities.(d) NA VSEA may, without further notice, enter into contracts with other Contractor for these services.  Contractors should enter intoseparate non-disclosure agreements with the file room Contractor.  Contact the Procuring Contracting Officer for Contractorspecifics.  However, any such agreement will not be considered a prerequisite before information submitted is stored in the file roomor otherwise encumber the Government.C-204-H002 IMPLEMENTATION OF ENHANCED SECURITY CONTROLS ON SELECT DEFENSE INDUSTRIALBASE PARTNER NETWORKS (NA VSEA) (SEP 2024)</t>
        </is>
      </c>
      <c r="D82" s="13" t="inlineStr">
        <is>
          <t>TECHNICAL</t>
        </is>
      </c>
      <c r="E82" s="13" t="inlineStr">
        <is>
          <t>C</t>
        </is>
      </c>
      <c r="F82" s="13" t="inlineStr">
        <is>
          <t>Mandatory</t>
        </is>
      </c>
      <c r="G82" s="13" t="n">
        <v>44</v>
      </c>
      <c r="H82" s="13" t="inlineStr"/>
      <c r="I82" s="13" t="inlineStr"/>
    </row>
    <row r="83">
      <c r="A83" s="13" t="inlineStr">
        <is>
          <t>TW-C-0038</t>
        </is>
      </c>
      <c r="B83" s="13" t="inlineStr">
        <is>
          <t>C.27</t>
        </is>
      </c>
      <c r="C83" s="14" t="inlineStr">
        <is>
          <t>System Security Plan (SSP) Reviewsa) Within thirty (30) days of contract award, the Contractor shall make its System Security Plan(s) (SSP(s)) for its coveredContractor IS(s) available for review by the Government at the Contractor’ s facility.  The SSP(s) shall implement the securityrequirements in Defense Federal Acquisition Regulation Supplement (DFARS) clause 252.204-7012, which is included in thiscontract.  The Contractor shall fully cooperate in the Government’ s review of the SSPs at the Contractor’ s facility.b) If the Government determines that the SSP(s) does not adequately implement the requirements of DFARS clause 252.204-7012then the Government shall notify the Contractor of each identified deficiency.  The Contractor shall correct any identifieddeficiencies within thirty (30) days of notification by the Government.  The Contracting Officer may provide for a correction periodlonger than thirty (30) days. The Contractor shall immediately notify the Contracting Officer of any failure or anticipated failure tomeet a milestone in such work area.c) Upon the conclusion of the correction period, the Government may conduct a follow-on review of the SSP(s) at the Contractor’ sfacilities.  The Government may continue to conduct follow-on reviews until the Government determines that the Contractor hascorrected all identified deficiencies in the SSP(s).d) The Government may, in its sole discretion, conduct subsequent reviews at the Contractor’ s site to verify the information in theSSP(s).  The Government will conduct such reviews at least every three (3) years (measured from the date of contract award) andmay conduct such reviews at any time upon thirty (30) days’ notice to the Contractor.2. Compliance to NIST 800-171a) The Contractor shall fully implement the CUI Security Requirements (Requirements) and associated Relevant Security Controls(Controls) in NIST Special Publication 800-171 (Rev. 1) (NIST SP 800-171), or establish a SSP(s) and work area that varies fromNIST 800-171 only in accordance with DFARS clause 252.204-7012(b)(2), for all covered Contractor ISs affecting this contract.b) Notwithstanding the allowance for such variation, the Contractor shall identify in any SSP and work area their plans to implementthe following, at a minimum:(1) Implement Control 3.5.3 (Multi-factor authentication).  This means that multi-factor authentication is required for all users,privileged and unprivileged accounts that log into a network. In other words, any system that is not standalone should be required toutilize acceptable multi-factor authentication.  For legacy systems and systems that cannot support this requirement, such as CNCequipment, etc., a combination of physical and logical protections acceptable to the Government may be substituted;(2) Implement Control 3.1.5 (least privilege) and associated Controls, and identify practices that the Contractor implements torestrict the unnecessary sharing with, or flow of, covered defense information to its Sub-contractors, suppliers, or vendors based onneed-to-know principles;(3) Implement Control 3.1.12 (monitoring and control remote access sessions) - Require monitoring and controlling of remoteaccess sessions and include mechanisms to audit the sessions and methods.(4) Audit user privileges on at least an annual basis;(5) Implement:i. Control 3.13.11 (FIPS 140-2 validated cryptology or implementation of NSA or NIST approved algorithms (i.e. FIPS 140-2Annex A: AES or Triple DES) or compensating controls as documented in a SSP and work area); and,ii. NIST Cryptographic Algorithm Validation Program (CA VP) (see https://csrc.nist.gov/projects/cryptographic-algorithm-validation-program);(6) Implement Control 3.13.16 (Protect the confidentiality of CUI at rest) or provide work areas for implementation which shall beevaluated by the Navy for risk acceptance.(7) Implement Control 3.1.19 (encrypt CUI on mobile devices) or provide a plan of action for implementation which can beevaluated by the Government Program Manager for risk to the program.3. Cyber Incident Responsea) The Contractor shall, within fifteen (15) days of discovering the cyber incident (inclusive of the 72-hour reporting period), deliverall data used in performance of the contract that the Contractor determines is impacted by the incident and begin assessment ofpotential warfighter/program impact.b) Incident data shall be delivered in accordance with the Department of Defense Cyber Crimes Center (DC3) Instructions forSubmitting Media available at http://www.acq.osd.mil/dpap/dars/pgi/docs/Instructions_for_Submitting_Media.docx. In delivery ofthe incident data, the Contractor shall, to the extent practical, remove Contractor-owned information from Government covereddefense information.</t>
        </is>
      </c>
      <c r="D83" s="13" t="inlineStr">
        <is>
          <t>TECHNICAL</t>
        </is>
      </c>
      <c r="E83" s="13" t="inlineStr">
        <is>
          <t>C</t>
        </is>
      </c>
      <c r="F83" s="13" t="inlineStr">
        <is>
          <t>Mandatory</t>
        </is>
      </c>
      <c r="G83" s="13" t="n">
        <v>44</v>
      </c>
      <c r="H83" s="13" t="inlineStr"/>
      <c r="I83" s="13" t="inlineStr">
        <is>
          <t>m.3</t>
        </is>
      </c>
    </row>
    <row r="84">
      <c r="A84" s="13" t="inlineStr">
        <is>
          <t>TW-C-0039</t>
        </is>
      </c>
      <c r="B84" s="13" t="inlineStr">
        <is>
          <t>C.27</t>
        </is>
      </c>
      <c r="C84" s="14" t="inlineStr">
        <is>
          <t>If the Contractor subsequently identifies any such data not previously delivered to DC3, then the Contractor shall immediatelynotify the contracting officer in writing and shall deliver the incident data within ten (10) days of identification.  In such a case, theContractor may request a delivery date later than ten (10) days after identification.  The Contracting Officer will approve ordisapprove the request after coordination with DC3.4. Naval Criminal Investigative Service (NCIS) OutreachThe Contractor shall engage with NCIS industry outreach efforts and consider recommendations for hardening of coveredContractor ISs affecting DON programs and technologies.5. NCIS/Industry Monitoringa) In the event of a cyber incident or at any time the Government has indication of a vulnerability or potential vulnerability, theContractor shall cooperate with the Naval Criminal Investigative Service (NCIS), which may include cooperation related to: threatindicators; pre-determined incident information derived from the Contractor's infrastructure systems; and the continuous provisionof all Contractor, Sub-contractor or vendor logs that show network activity, including any additional logs the Contractor,Sub-contractor or vendor agrees to initiate as a result of the cyber incident or notice of actual or potential vulnerability.b) If the Government determines that the collection of all logs does not adequately protect its interests, the Contractor and NCIS willwork together to implement additional measures, which may include allowing the installation of an appropriate network device thatis owned and maintained by NCIS, on the Contractor's ISs or information technology assets.  The specific details (e.g., type ofdevice, type of data gathered, monitoring period) regarding the installation of an NCIS network device shall be the subject of aseparate agreement negotiated between NCIS and the Contractor.  In the alternative, the Contractor may install network sensorcapabilities or a network monitoring service, either of which must be reviewed for acceptability by NCIS.  Use of this alternativeapproach shall also be the subject of a separate agreement negotiated between NCIS and the Contractor.c) In all cases, the collection or provision of data and any activities associated with this statement of work shall be in accordancewith federal, state, and non-US law.C-211-H016 SPECIFICATIONS AND STANDARDS (NA VSEA) (OCT 2018)</t>
        </is>
      </c>
      <c r="D84" s="13" t="inlineStr">
        <is>
          <t>TECHNICAL</t>
        </is>
      </c>
      <c r="E84" s="13" t="inlineStr">
        <is>
          <t>C</t>
        </is>
      </c>
      <c r="F84" s="13" t="inlineStr">
        <is>
          <t>Mandatory</t>
        </is>
      </c>
      <c r="G84" s="13" t="n">
        <v>44</v>
      </c>
      <c r="H84" s="13" t="inlineStr"/>
      <c r="I84" s="13" t="inlineStr"/>
    </row>
    <row r="85">
      <c r="A85" s="13" t="inlineStr">
        <is>
          <t>TW-C-0040</t>
        </is>
      </c>
      <c r="B85" s="13" t="inlineStr">
        <is>
          <t>C.27</t>
        </is>
      </c>
      <c r="C85" s="14" t="inlineStr">
        <is>
          <t>Definitions.(i)  A "zero-tier reference" is a specification, standard, or drawing that is cited in the contract (including its attachments).(ii)  A "first-tier reference" is either: (1) a specification, standard, or drawing cited in a zero-tier reference, or (2) a specificationcited in a first-tier drawing.(b)  Requirements.  All zero-tier and first-tier references, as defined above, are mandatory for use.  All lower tier references shall beused for guidance only unless specifically identified below.(End of Text)C-211-H017 UPDATING SPECIFICATIONS AND STANDARDS (NA VSEA) (DEC 2018)The contractor may request that this contract be updated to include the current version of the applicable specification or standard ifthe update does not affect the form, fit or function of any deliverable item or increase the cost/price of the item to the Government.The contractor should submit update requests to the Procuring Contracting Officer with copies to the Administrative ContractingOfficer and cognizant program office representative for approval. The contractor shall perform the contract in accordance with theexisting specifications and standards until notified of approval/disapproval of its request to update by the Procuring ContractingOfficer. Any approved alternate specifications or standards will be incorporated into the contract.(End of Text)C-211-H018 APPROV AL BY THE GOVERNMENT (NA VSEA) (JAN 2019)Approval by the Government as required under this contract and applicable specifications shall not relieve the Contractor of itsobligation to comply with the specifications and with all other requirements of the contract, nor shall it impose upon theGovernment any liability it would not have had in the absence of such approval.C-212-W002 COMMERCIAL SUPPLIER AGREEMENTS (NA VSEA) (MAR 2019)(a)  Commercial Supplier Agreement means End User License Agreement (EULA), Terms of Service (TOS), or similar legalinstrument or agreement.(b)  Any Commercial Supplier Agreement must be provided in full text as part of a quote or offer without hyperlinks.(c)  The contract/order Schedule and Federal Acquisition Regulation (FAR) 52.212-4, Contract Terms and Conditions—CommercialItems, shall take precedence over any conflicting provisions in a Commercial Supplier Agreement.</t>
        </is>
      </c>
      <c r="D85" s="13" t="inlineStr">
        <is>
          <t>TECHNICAL</t>
        </is>
      </c>
      <c r="E85" s="13" t="inlineStr">
        <is>
          <t>C</t>
        </is>
      </c>
      <c r="F85" s="13" t="inlineStr">
        <is>
          <t>Mandatory</t>
        </is>
      </c>
      <c r="G85" s="13" t="n">
        <v>44</v>
      </c>
      <c r="H85" s="13" t="inlineStr"/>
      <c r="I85" s="13" t="inlineStr"/>
    </row>
    <row r="86">
      <c r="A86" s="13" t="inlineStr">
        <is>
          <t>TW-C-0041</t>
        </is>
      </c>
      <c r="B86" s="13" t="inlineStr">
        <is>
          <t>C.27</t>
        </is>
      </c>
      <c r="C86" s="14" t="inlineStr">
        <is>
          <t>If any requirement in the Commercial Supplier Agreement conflicts with Federal law or regulations (see FAR 12.212(a)), thefollowing shall apply:(i)  Any such requirement is unenforceable against the Government.(ii)  Neither the Government nor any Government authorized end user shall be deemed to have agreed to such requirement by virtueof it appearing in the Commercial Supplier Agreement.  If the Commercial Supplier Agreement is invoked through an “I agree”click box or other comparable mechanism (e.g., “click-wrap” or “browse-wrap” agreements), execution does not bind theGovernment or any Government authorized end user to such requirement.(iii)  Any such requirement is deemed to be stricken from the Commercial Supplier Agreement.(e)  Automatic renewals.  License Agreements will expire at end of the term identified in the Purchase Order/Contract.  Automaticrenewals are not permitted and any such provision is void.(f)  Changes to the Commercial Supplier Agreement.  Unilateral changes of the Commercial Supplier Agreement are impermissibleand any requirement authorizing such changes is unenforceable.  Changes must be in writing and executed by both parties to beeffective.(g)  Third Part License (Embedded Software).(i)  The Contractor agrees that it has obtained all necessary licenses for the Government for any third party materials (includingwithout limitation all Open Source licenses) provided within the product.(ii)  Contractor agrees that it complies with and shall continue to comply with all of its obligations under Third Party Licenses(including without limitation all Open Source licenses) associated with any third party materials provided within each product.(iii)  To the extent that the Government’ s use of the software products licensed herein is in compliance with the Contractor’ sCommercial Supplier Agreement, the Government’ s use will also be in compliance with any Third Party Licenses.(h)  Audits.  In lieu of any audit provisions in the Commercial Supplier Agreement, the Government agrees that, no more than onceevery twelve (12) months or within a reasonable time after a transfer, the Contractor shall, upon reasonable notice, have the right torequire that the Government conduct an internal audit to ascertain and verify the number of licenses in use and to verify that theGovernment’ s use of the product is in conformity with this Agreement.  The Government is not required to use any tools providedby the Contractor to conduct the audit and shall not be required to pay for any tools provided by the Contractor to conduct the audit.The results of any such audit shall be kept confidential.If verification discloses that the Government’ s use is not in conformity with this Agreement, the Government agrees to resolve anynoncompliance by either removing or correcting the unlicensed installation and use of the software identified by the audit as not inconformity with this Agreement.(i)  Confidentiality.  Commercial Supplier Agreements’ terms and the final contract pricing may not be deemed confidential.  Othermarked confidential information will be appropriately guarded.(j)  Assignment.  The Government shall have the right, without the prior written consent of the Contractor or its authorized resellers,to assign, reassign, or transfer software licenses among Government employees or the Government’ s rights in the Contractor’ sproduct to any governmental organization that is managed, operated, or controlled by the Government.Such authorization includes sublicensing, and assignment or transfer among or between authorized users. In the event authorizedusers are reorganized or restructured such that their responsibilities and operations are transferred to another government agency, theagency shall have the right to assign the affected program licenses to a successor agency.  The licensed agency and the successoragency agree to be bound to the Commercial Supplier Agreement as modified. The transferee shall be bound by the license metricsand limitations in this license.  Government shall complete any documentation required by the Contractor to facilitate the transfer ofthis license, and continuation of support shall be the responsibility of the transferee.For the avoidance of doubt, any assignment or transfer of licenses of the Contractor’ s products is also subject to all other terms ofthe Commercial Supplier Agreement, as well as the Contractor’ s policies governing product dependencies and versioncompatibility.  Reassignment does not require that the license be under maintenance or support in order to execute a transfer.(k)  Litigation. Any requirement insisting that the commercial supplier or licensor control any litigation arising from thegovernment’ s use of the contractor’ s supplies or services is deleted and unenforceable.(l)  Equitable Remedies.  Equitable remedies, injunctive relief, and binding arbitration requirements shall not be enforced unlessexplicitly authorized by agency guidance or statute.(m)  Venue. Any claim or dispute shall be resolved under the Contract Disputes Act and FAR 52.233-1.  The forum for resolution ofdisputes and applicable statutes of limitation shall be governed by federal law.(n)  Applicable law. In accordance with FAR 52.233-4, United States law shall apply to resolve any claim of breach of this contract</t>
        </is>
      </c>
      <c r="D86" s="13" t="inlineStr">
        <is>
          <t>TECHNICAL</t>
        </is>
      </c>
      <c r="E86" s="13" t="inlineStr">
        <is>
          <t>C</t>
        </is>
      </c>
      <c r="F86" s="13" t="inlineStr">
        <is>
          <t>Mandatory</t>
        </is>
      </c>
      <c r="G86" s="13" t="n">
        <v>44</v>
      </c>
      <c r="H86" s="13" t="inlineStr"/>
      <c r="I86" s="13" t="inlineStr">
        <is>
          <t>FAR 12.212, FAR 52.233-1, FAR 52.233-4</t>
        </is>
      </c>
    </row>
    <row r="87">
      <c r="A87" s="13" t="inlineStr">
        <is>
          <t>TW-C-0042</t>
        </is>
      </c>
      <c r="B87" s="13" t="inlineStr">
        <is>
          <t>C.27</t>
        </is>
      </c>
      <c r="C87" s="14" t="inlineStr">
        <is>
          <t>N0017826R30020003 - FINAL
Page 46 of 114
and such actions shall be handled in the applicable Federal court of jurisdiction.C-215-H002 CONTRACTOR PROPOSAL (NA VSEA) (OCT 2018)(a) Performance of this contract by the Contractor shall be conducted and performed in accordance with detailed obligations towhich the Contractor committed itself in Proposal TBD dated TBD in response to NA VSEA Solicitation No. N0017826R3002.(b)  The technical volume(s) of the Contractor's proposal is(are) hereby incorporated by reference and made subject to the "Order ofPrecedence" (FAR 52.215-8) clause of this contract.  Under the "Order of Precedence" clause, the technical volume(s) of theContractor's proposal referenced herein is (are) hereby designated as item (f) of the clause, following "the specifications" in theorder of precedence.(End of Text)*To be Completed at Time of AwardC-223-W002 ON-SITE SAFETY REQUIREMENTS (NA VSEA) (OCT 2018) (a)  The Contractor shall ensure that each Contractor employee reads any necessary safety documents within 30 days ofcommencing performance at any Government facility.  Required safety documents can be obtained from the respective safetyoffice.  Contractors shall notify the Safety office points of contact below to report completion of the required training via e-mail. The e-mail shall include the Contractor employee’ s name, work site, and contract number.(b)  It is expected that Contractor employees will have received training from their employer on hazards associated with the areas inwhich they will be working and know what to do in order to protect themselves.  Contractors are required to adhere to therequirements of 29 CFR 1910, 29 CFR 1926 and applicable state and local requirements while in Government spaces.  TheContractor shall ensure that all on-site Contractor work at the Government facility is in accordance with any local safety instructionsas provided via the COR.  The Contractor shall report all work-related injuries/illnesses that occurred while working at theGovernment site to the COR.(c)  Contractors whose employees perform work within Government spaces in excess of 1000 hours per calendar quarter during acalendar year shall submit the data elements on OSHA Form 300A, Summary of Work Related Injuries and Illnesses, for thoseemployees to the safety office, via the COR by 15 January for the previous calendar year, even if no work related injuries orillnesses occurred.  If a Contractor’ s injury/illness rates are above the Bureau of Labor Statistics industry standards, a safetyassessment may be performed by the Safety Office to determine if any administrative or engineering controls can be utilized toprevent further injuries/illnesses, or if any additional Personal Protective Equipment or training will be required.(d)  Any Contractor employee exhibiting unsafe behavior may be removed from the Government site.  Such removal shall notrelieve the Contractor from meeting its contractual obligations and shall not be considered an excusable delay as defined in FAR52.249-14. (e)  The Safety Office points of contacts are as follows:Charles Lehr17483 Dahlgren Rd. Suite 104Dahlgren, V A 22448Phone: (540) 809-7699E-mail: charles.r.lehr2.civ@us.navy.milC-227-H006 DATA REQUIREMENTS (NA VSEA) (OCT 2018)The data to be furnished hereunder shall be prepared in accordance with the Contract Data Requirements List, DD Form 1423,Exhibit(s) A, attached hereto.C-227-H009 ACCESS TO DATA OR COMPUTER SOFTWARE WITH RESTRICTIVE MARKINGS (NA VSEA) (JAN2019)(a)  Performance under this contract may require that the Contractor have access to technical data, computer software, or othersensitive data of another party that contains restrictive markings.  If access to such data or software is required or to be provided, theContractor shall enter into a written agreement with such party prior to gaining access to such data or software.  The agreement shalladdress, at a minimum, (1) access to, and use of, the restrictively marked data or software exclusively for the purposes ofperformance of the work required by this contract, and (2) safeguards to protect such data or software from unauthorized use ordisclosure for so long as the data or software remains properly restrictively marked.  In addition, the agreement shall not impose anylimitation upon the Government or its employees with respect to such data or software.  A copy of the executed agreement shall beprovided to the Contracting Officer.  The Government may unilaterally modify the contract to list those third parties with which the</t>
        </is>
      </c>
      <c r="D87" s="13" t="inlineStr">
        <is>
          <t>TECHNICAL</t>
        </is>
      </c>
      <c r="E87" s="13" t="inlineStr">
        <is>
          <t>C</t>
        </is>
      </c>
      <c r="F87" s="13" t="inlineStr">
        <is>
          <t>Mandatory</t>
        </is>
      </c>
      <c r="G87" s="13" t="n">
        <v>44</v>
      </c>
      <c r="H87" s="13" t="inlineStr"/>
      <c r="I87" s="13" t="inlineStr">
        <is>
          <t>FAR 52.215-8</t>
        </is>
      </c>
    </row>
    <row r="88">
      <c r="A88" s="13" t="inlineStr">
        <is>
          <t>TW-C-0043</t>
        </is>
      </c>
      <c r="B88" s="13" t="inlineStr">
        <is>
          <t>C.27</t>
        </is>
      </c>
      <c r="C88" s="14" t="inlineStr">
        <is>
          <t>N0017826R30020003 - FINAL
Page 47 of 114
Contractor has agreement(s).(b)  The Contractor agrees to: (1) indoctrinate its personnel who will have access to the data or software as to the restrictions underwhich access is granted; (2) not disclose the data or software to another party or other Contractor personnel except as authorized bythe Contracting Officer; (3) not engage in any other action, venture, or employment wherein this information will be used, otherthan under this contract, in any manner inconsistent with this requirement; (4) not disclose the data or software to any other party,including, but not limited to, joint venturer, affiliate, successor, or assign of the Contractor; and (5) reproduce the restrictive stamp,marking, or legend on each use of the data or software whether in whole or in part.(c)  These restrictions on use and disclosure of the data and software also apply to information received from the Governmentthrough any means to which the Contractor has access in the performance of this contract that contains restrictive markings.(d)  The Contractor agrees that it will promptly notify the Contracting Officer of any attempt to gain access to any information withrestrictive markings.  Such notification shall include the name and organization of the individual, company, or Governmentrepresentative seeking access to such information.(e)  The Contractor shall include this requirement in subcontracts of any tier which involve access to information covered byparagraph (a), substituting "Sub-contractor" for "Contractor" where appropriate.(f)  Compliance with this requirement is a material requirement of this contract.C-227-H010 COMPUTER SOFTWARE AND COMPUTER DATA BASES DELIVERED TO OR RECEIVED FROM THEGOVERNMENT (NA VSEA) (JAN 2019)(a)  The Contractor agrees to test for viruses, malware, Trojan Horses, and other security threats such as those listed in NIST SpecialPublication 800-12 Rev 1, An Introduction to Computer Security, The NIST Handbook, Chapter 4, in all computer software andcomputer data bases (as defined in the clause entitled “Rights In Noncommercial Computer Software and Noncommercial ComputerSoftware Documentation” (DFARS 252.227-7014)), before delivery of that computer software or computer data base in whatevermedia and on whatever system the computer software or data base is delivered whether delivered separately or imbedded withindelivered equipment.  The Contractor warrants that when delivered any such computer software and computer data base shall be freeof viruses, malware, Trojan Horses, and other security threats such as those listed in NIST Special Publication 800-12 Rev 1.(b)  The Contractor agrees that prior to use under this contract, it shall test any computer software and computer data base receivedfrom the Government for viruses, malware, Trojan Horses, and other security threats listed in NIST Special Publication 800-12 Rev1, An Introduction to Computer Security, The NIST Handbook, Chapter 4.(c)  Any license agreement governing the use of any computer software or computer software documentation delivered to theGovernment as a result of this contract must be paid-up, irrevocable, world-wide, royalty-free, perpetual and flexible (user licensestransferable among Government employees and personnel under Government contract).(d)  The Contractor shall not include or permit to be included any routine to enable the Contractor or its Sub-contractor(s) orvendor(s) to disable the computer software or computer data base after delivery to the Government.(e)  No copy protection devices or systems shall be used in any computer software or computer data base delivered under thiscontract with unlimited or Government purpose rights (as defined in DFARS 252.227-7013 and 252.227-7014) to restrict or limit theGovernment from making copies.(f)  It is agreed that, to the extent that any technical or other data is computer software by virtue of its delivery in digital form, theGovernment shall be licensed to use that digital-form data with exactly the same rights and limitations as if the data had beendelivered as hard copy.(g)  Any limited rights legends or other allowed legends placed by a Contractor on technical data or other data delivered in digitalform shall be digitally included on the same media as the digital-form data and must be associated with the correspondingdigital-form technical data to which the legend(s) apply to the extent possible.  Such legends shall also be placed in human-readableform on a visible surface of the media carrying the digital-form data as delivered, to the extent possible.(End of Text)C-237-H002 SUBSTITUTION OF KEY PERSONNEL (NA VSEA) (OCT 2018)(a)  The Contractor agrees that a partial basis for award of this contract is the list of key personnel proposed.  Accordingly, theContractor agrees to assign to this contract those key persons whose resumes were submitted with the proposal necessary to fulfillthe requirements of the contract.  No substitution shall be made without prior notification to and concurrence of the ContractingOfficer in accordance with this requirement.  Substitution shall include, but not be limited to, subdividing hours of any keypersonnel and assigning or allocating those hours to another individual not approved as key personnel.(b)  All proposed substitutes shall have qualifications equal to or higher than the qualifications of the person to be replaced.  TheContracting Officer shall be notified in writing of any proposed substitution at least forty-five (45) days, or ninety (90) days if a</t>
        </is>
      </c>
      <c r="D88" s="13" t="inlineStr">
        <is>
          <t>TECHNICAL</t>
        </is>
      </c>
      <c r="E88" s="13" t="inlineStr">
        <is>
          <t>C</t>
        </is>
      </c>
      <c r="F88" s="13" t="inlineStr">
        <is>
          <t>Mandatory</t>
        </is>
      </c>
      <c r="G88" s="13" t="n">
        <v>44</v>
      </c>
      <c r="H88" s="13" t="inlineStr"/>
      <c r="I88" s="13" t="inlineStr">
        <is>
          <t>DFARS 252.227-7014, DFARS 252.227-7013</t>
        </is>
      </c>
    </row>
    <row r="89">
      <c r="A89" s="13" t="inlineStr">
        <is>
          <t>TW-C-0044</t>
        </is>
      </c>
      <c r="B89" s="13" t="inlineStr">
        <is>
          <t>C.27</t>
        </is>
      </c>
      <c r="C89" s="14" t="inlineStr">
        <is>
          <t>N0017826R30020003 - FINAL
Page 48 of 114
security clearance is to be obtained, in advance of the proposed substitution.  Such notification shall include:  (1) an explanation ofthe circumstances necessitating the substitution; (2) a complete resume of the proposed substitute; (3) an explanation as to why theproposed substitute is considered to have equal or better qualifications than the person being replaced; (4) payroll record of theproposed replacement;  and (5) any other information requested by the Contracting Officer to enable him/her to judge whether or notthe Contractor is maintaining the same high quality of personnel that provided the partial basis for award. (c) Key personnel are identified in an attachment in Section J. (End of Text)C-237-W001 ELECTRONIC COST REPORTING AND FINANCIAL TRACKING (eCRAFT) SYSTEM REPORTING(NA VSEA) (MAY 2022)(a) The Contractor agrees to upload the Contractor's Funds and Man-hour Expenditure Reports in the Electronic Cost Reporting andFinancial Tracking (eCRAFT) System and submit the Contract Status Report on the day and for the same timeframe the contractorsubmits an invoice into the Wide Area Workflow (WAWF) module on the Procurement Integrated Enterprise Environment (PIEE)system. Compliance with this requirement is a material requirement of this contract. Failure to comply with this requirement mayresult in contract termination.(b) The Contract Status Report indicates the progress of work and the status of the program and of all assigned tasks. It informs theGovernment of existing or potential problem areas. (c) The Contractor’ s Fund and Man-hour Expenditure Report reports contractor expenditures for labor, materials, travel,subcontractor usage, and other contract charges.(1) Access:  eCRAFT: Reports are uploaded through the eCRAFT System Periodic Report Utility (EPRU). The EPRU spreadsheetand user manual can be obtained at:  https://www.navsea.navy.mil/Home/Warfare-Centers/NUWC-Newport/Partnerships/Commercial-Contracts/Information-eCraft-/  under eCRAFT information. The link for eCRAFT report submissionis: https://www.pdrep.csd.disa.mil/pdrep_files/other/ecraft.htm.  If you have problems uploading reports, please see the FrequentlyAsked Questions at the site address above.(2) Submission and Acceptance/Rejection:  The contractor shall submit their reports on the same day and for the same timeframe thecontractor submits an invoice in WAWF. The amounts shall be the same. eCRAFT acceptance/rejection will be indicated by e-mailnotification from eCRAFT.(End of Text)
C-239-W001 ELECTRONIC AND INFORMATION TECHNOLOGY (EIT) ACCESSIBILITY STANDARDS/SECTION508 COMPLIANCE (NA VSEA) (OCT 2018)(a)  Requirements for accessibility based on Section 508 of the Rehabilitation Act of 1973 (29 U.S.C. 794d) are determined to berelevant for product(s)/service(s) procured under this solicitation.(b)  Each Electronic and Information Technology (EIT) item or service provided under this contract shall comply with the EITAccessibility Standards listed below:__X__ 36 C.F.R. § 1194.21 - Software applications and operating systems__X__ 36 C.F.R. § 1194.22 - Web-based and internet information and applications__X__ 36 C.F.R. § 1194.23 - Telecommunications products__X__ 36 C.F.R. § 1194.24 - Video and multimedia products__X__ 36 C.F.R. § 1194.25 - Self-contained, closed products__X__ 36 C.F.R. § 1194.26 - Desktop and portable computers__X__ 36 C.F.R. § 1194.31 - Functional Performance Criteria_____ 36 C.F.R. § 1194.41 - Information, Documentation, and Support(c) For more information on V oluntary Product Accessibility Template (VPAT) and Government Product/Service AccessibilityTemplate (GPAT) please refer to: http://www.buyaccessible.gov/ or http://www.section508.gov/content/sell/vpat.(d)  The Contractor shall comply with the VPAT or GPAT document submitted. If the Contracting Officer determines that any itemor service delivered under this contract does not comply with the EIT Accessibility Standards, the Contracting Officer will notify theContractor in writing accordingly.  If the Contractor fails to promptly correct or replace the nonconforming products or services withconforming products or services within the delivery schedule contained in the contract, the Government will have the rights andremedies contained in the basic contract.</t>
        </is>
      </c>
      <c r="D89" s="13" t="inlineStr">
        <is>
          <t>TECHNICAL</t>
        </is>
      </c>
      <c r="E89" s="13" t="inlineStr">
        <is>
          <t>C</t>
        </is>
      </c>
      <c r="F89" s="13" t="inlineStr">
        <is>
          <t>Mandatory</t>
        </is>
      </c>
      <c r="G89" s="13" t="n">
        <v>44</v>
      </c>
      <c r="H89" s="13" t="inlineStr"/>
      <c r="I89" s="13" t="inlineStr">
        <is>
          <t>Section J, attachment i</t>
        </is>
      </c>
    </row>
    <row r="90">
      <c r="A90" s="13" t="inlineStr">
        <is>
          <t>TW-C-0045</t>
        </is>
      </c>
      <c r="B90" s="13" t="inlineStr">
        <is>
          <t>C.27</t>
        </is>
      </c>
      <c r="C90" s="14" t="inlineStr">
        <is>
          <t>N0017826R30020003 - FINAL
Page 49 of 114
C-242-H001 EXPEDITING CONTRACT CLOSEOUT (NA VSEA) (OCT 2018)(a)  As part of the negotiated fixed price or total estimated amount of this contract, both the Government and the Contractor haveagreed to waive any entitlement that otherwise might accrue to either party in any residual dollar amount of $1,000 or less at thetime of final contract closeout.  The term "residual dollar amount" shall include all money that would otherwise be owed to eitherparty at the end of the contract, except that, amounts connected in any way with taxation, allegations of fraud and/or antitrustviolations shall be excluded.  For purposes of determining residual dollar amounts, offsets of money owed by one party againstmoney that would otherwise be paid by that party may be considered to the extent permitted by law.(b)  This agreement to waive entitlement to residual dollar amounts has been considered by both parties.  It is agreed that theadministrative costs for either party associated with collecting such small dollar amounts could exceed the amount to be recovered.C-242-H002 POST AWARD MEETNG (NA VSEA) (OCT 2018)(a)  A post-award meeting with the successful Offeror will be conducted within [ * ] days after award of the contract.  The meetingwill be held at the address below:Location/Address: [ * ](b)  The Contractor will be given [5] working days’ notice prior to the date of the meeting by the Contracting Officer.(c)  The requirement for a post-award meeting shall in no event constitute grounds for excusable delay by the Contractor inperformance of any provisions in the contract.(d)  The post-award meeting will include, but is not limited to, the establishment of work level points of contact, determining theadministration strategy, roles and responsibilities, and ensure prompt payment and close out.  Specific topics shall be mutuallyagreed to prior to the meeting.[ * ] To be specified at Task Order Award.(End of Text)C-242-H003 TECHNICAL INSTRUCTIONS (NA VSEA) (OCT 2018)(a)  Performance of the work hereunder may be subject to written technical instructions signed by the Contracting Officer and theContracting Officer's Representative specified in Section G of this contract.  As used herein, technical instructions are defined toinclude the following:        (1)  Directions to the Contractor which suggest pursuit of certain lines of inquiry, shift work emphasis, fill in details orotherwise serve to accomplish the contractual statement of work.        (2)  Guidelines to the Contractor which assist in the interpretation of drawings, specifications or technical portions of workdescription. (b)  Technical instructions must be within the general scope of work stated in the contract.  Technical instructions may not be usedto: (1) assign additional work under the contract; (2) direct a change as defined in the "CHANGES" clause of this contract; (3)increase or decrease the contract price or estimated contract amount (including fee), as applicable, the level of effort, or the timerequired for contract performance; or (4) change any of the terms, conditions or specifications of the contract. (c)  If, in the opinion of the Contractor, any technical instruction calls for effort outside the scope of the contract or is inconsistentwith this requirement, the Contractor shall notify the Contracting Officer in writing within ten (10) working days after the receipt ofany such instruction.  The Contractor shall not proceed with the work affected by the technical instruction unless and until theContractor is notified by the Contracting Officer that the technical instruction is within the scope of this contract. (d)  Nothing in the foregoing paragraph shall be construed to excuse the Contractor from performing that portion of the contractualwork statement which is not affected by the disputed technical instruction. (End of Text)C-243-H003 CONFIGURATION MANAGEMENT (NA VSEA) (APR 2024)(a)  Baseline Definition - All contractual documentation in effect at the time of contract award shall constitute the Contract Baseline,which shall be considered incorporated in the baseline documentation.(b)  General Requirement –             (1) The Contractor shall maintain a Configuration Control Program to assure that all detail level work being performedunder this contract is in compliance with appropriate baseline documentation.  The Contractor shall prepare a ConfigurationManagement Plan in accordance with the requirements of the contract. If required, the Contractor’ s Configuration Management Planshall be submitted through the appropriate Contract Data Requirements List (CDRL) for approval by the Government.</t>
        </is>
      </c>
      <c r="D90" s="13" t="inlineStr">
        <is>
          <t>TECHNICAL</t>
        </is>
      </c>
      <c r="E90" s="13" t="inlineStr">
        <is>
          <t>C</t>
        </is>
      </c>
      <c r="F90" s="13" t="inlineStr">
        <is>
          <t>Mandatory</t>
        </is>
      </c>
      <c r="G90" s="13" t="n">
        <v>44</v>
      </c>
      <c r="H90" s="13" t="inlineStr"/>
      <c r="I90" s="13" t="inlineStr">
        <is>
          <t>Section G</t>
        </is>
      </c>
    </row>
    <row r="91">
      <c r="A91" s="13" t="inlineStr">
        <is>
          <t>TW-C-0046</t>
        </is>
      </c>
      <c r="B91" s="13" t="inlineStr">
        <is>
          <t>C.27</t>
        </is>
      </c>
      <c r="C91" s="14" t="inlineStr">
        <is>
          <t>N0017826R30020003 - FINAL
Page 50 of 114
            (2) Whenever a situation arises wherein the Contractor cannot comply with a baseline document, or whenever intent of suchdocumentation is significantly changed by detail level documentation, the Contractor shall submit change documents to modify thebaseline to resolve the conflict or to allow non-compliance.  Whenever the cost of implementing a proposed change is less than thethreshold requiring certified cost or pricing data, the Contractor shall provide such detail of related costs as to allow the Governmentto determine an equitable adjustment for the change document submission.  Whenever the contract cost changes by an amountgreater than the threshold requiring certified cost or pricing data, the Contractor shall complete such cost and pricing data as theContracting Officer shall require detailing all related costs, and attach it to the change document.  Requirements for cost and pricingdata shall be determined by the gross amount of the change unless otherwise directed by the Contracting Officer.  Changedocumentation shall be submitted to the Contracting Officer in accordance with the appropriate CDRL, and as described inparagraphs (c) through (f) below.(c)  Engineering Change Proposals (ECPs) - ECPs shall be prepared in accordance with the approved configuration managementplan and the requirements of the contract.  DI-SESS-80639E approved 11 February 2020, EIA-649-1A dated 10 August 2020, andMIL-HDBK-61B dated 7 April 2020 apply.  An ECP shall be submitted whenever the detail level physical configuration, materialquality, operational or functional performance of equipment or installed systems will not be in compliance with baseline design-related documents (Specifications, Contract Drawings, etc.), and a change to the baseline document is considered an appropriatemeans of resolving a design-related issue.  The contractor shall develop documentation in sufficient detail to enable Governmentreview and evaluation of the merits of the proposed change, including cost and scheduling impact, ship class impact if applicable,and consequences if disapproved.  List all existing drawings and technical manuals impacted by the change, including a briefnarrative explanation of needed changes to incorporate the ECP if approved.  Provide weight and moment data incidental to thechange, if applicable.  The Contractor shall also prepare applicable baseline document insert sheets, with specific word changes orproposed rewrite, to facilitate baseline documentation changes.(d)  Non-Engineering Change Proposals (NECPs) – An NECP shall be submitted whenever necessary to document administrative,procedural, scheduling, or documentation changes that do not directly impact the physical configuration of the equipment.  TheNECP shall explain the nature of the problem, identify the applicable baseline document (i.e., Contract Data Requirement List(CDRL), Contract Clause, etc.) and provide a detailed explanation justifying the proposed course of action desired to resolve theproblem.  Insert sheets for applicable documents shall also be attached to facilitate change action in the event the NECP is approved.(e)  Deviations/Waivers - In the event that a baseline design-related document requirement cannot be met, and a change to thebaseline document is considered inappropriate, the Contractor shall submit a Request for Variance.    The explanation of "Need forDeviation/Waiver" in the DD1694 shall provide detailed justification and consequences of approval, to include technical detailsexplaining the degree of noncompliance and the effect on ship equipment or system operation. (f)  Equitable Adjustments for Change Documentation Preparations - For its effort expended in preparing ECPs, NECPs, andDeviations/Waivers, the Contractor shall receive equitable adjustment under the following circumstances:            (1) In the event the Contractor, on its own initiative, and without written request from the Contracting Officer, develops achange document that is later disapproved by the Government, the Contractor shall bear the cost of this effort.            (2) To avoid such loss, and at its option, the Contractor may submit a "preliminary" document that outlines intent, butwithout detailed supporting documentation and request the Contracting Officer's approval for expenditure of effort to complete thedetailed supporting documentation.  In the event the Contracting Officer denies this request, the Contractor will bear the cost ofdevelopment of the "preliminary" document, and shall make no further effort to complete detailed supporting documentation.            (3) In the event the Contracting Officer approves the Contractor's request to develop supporting documentation, theContractor shall be equitably compensated for its effort for both the "preliminary" and "final" documentation, regardless of whetheror not the change document is later approved.            (4) In the event the Contracting Officer requests in writing that the Contractor develop change documentation, the effortexpended by the Contractor in developing such documentation shall be subject to equitable adjustment, regardless of whether or notthe change document is later approved.            (5) In the event the Contractor, on its own initiative, and without written request from the Government, develops a changedocument that is later approved by the Contracting Officer, the cost of developing such documentation shall be subject to equitableadjustment.            (6) Failure to agree to such equitable adjustment in contract price shall constitute a dispute, and shall be adjudicated inaccordance with the requirements of the clause entitled "Disputes" (FAR 52.233-1).(g)  Any cost reduction proposal submitted pursuant to the clause entitled "Value Engineering" (FAR 52.248-1) shall be submitted asa Value Engineering Change Proposal (VECP).  The Contractor shall follow the VECP preparation requirements of FAR52.248-1(c) and any additional guidance provided by the Contracting Officer. (End of Text)</t>
        </is>
      </c>
      <c r="D91" s="13" t="inlineStr">
        <is>
          <t>TECHNICAL</t>
        </is>
      </c>
      <c r="E91" s="13" t="inlineStr">
        <is>
          <t>C</t>
        </is>
      </c>
      <c r="F91" s="13" t="inlineStr">
        <is>
          <t>Mandatory</t>
        </is>
      </c>
      <c r="G91" s="13" t="n">
        <v>44</v>
      </c>
      <c r="H91" s="13" t="inlineStr"/>
      <c r="I91" s="13" t="inlineStr">
        <is>
          <t>FAR 52.233-1, FAR 52.248-1</t>
        </is>
      </c>
    </row>
    <row r="92">
      <c r="A92" s="13" t="inlineStr">
        <is>
          <t>TW-C-0047</t>
        </is>
      </c>
      <c r="B92" s="13" t="inlineStr">
        <is>
          <t>C.27</t>
        </is>
      </c>
      <c r="C92" s="14" t="inlineStr">
        <is>
          <t>N0017826R30020003 - FINAL
Page 51 of 114
C-244-H002 SUBCONTRACTORS/CONSULTANTS (NA VSEA) (FEB 2023)In addition to the information required by FAR 52.244-2(e) of the contract, when consent to subcontract is required per FAR52.244-2, the contractor shall also include the following information in requests to add subcontractors or consultants duringperformance:(1)  Impact on subcontracting goals,(2)  Impact on providing support at the contracted value,(3)  IF SEAPORT TASK ORDER - The results of negotiations to incorporate fee rate caps no higher than the lower of (i)SeaPort-NxG fee rate caps for the prime contractor, or in the case where the proposed subcontractor is also a SeaPort-NxG prime,(ii) fee rate caps that are no higher than the subcontractor's prime SeaPort-NxG contract.C-245-H005 INFORMATION AND DATA FURNISHED BY THE GOVERNMENT--ALTERNATE I (NA VSEA) (MAY2019)(a)  Contract Specifications, Drawings and Data.  The Government will furnish, if not included as an attachment to the contract, anyunique contract specifications or other design or alteration data cited or referenced in Section C.(b)  Government Furnished Information (GFI).  GFI is defined as that information essential for the installation, test, operation, andinterface support of all Government Furnished Material identified in an attachment in Section J.  The Government shall furnish onlythe GFI identified in an attachment in Section J.  The GFI furnished to the Contractor need not be in any particular format.  Further,the Government reserves the right to revise the listing of GFI as follows:(1)  The Contracting Officer may at any time by written order:(i)  delete, supersede, or revise, in whole or in part, data identified in an attachment in Section J; or(ii)  add items of data or information to the attachment identified in Section J; or(iii)  establish or revise due dates for items of data or information in the attachment identified in Section J.(2)  If any action taken by the Contracting Officer pursuant to subparagraph (1) immediately above causes an increase or decrease inthe costs of, or the time required for, performance of any part of the work under this contract, the Contractor may be entitled to anequitable adjustment in the contract amount and delivery schedule in accordance with the procedures provided for in the"CHANGES" clause of this contract.(c)  Except for the Government information and data specified by paragraphs (a) and (b) above, the Government will not beobligated to furnish the Contractor any specification, standard, drawing, technical documentation, or other publication,notwithstanding anything to the contrary in the contract specifications, the GFI identified in an attachment in Section J, the clause ofthis contract entitled "Government Property" (FAR 52.245-1) or "Government Property Installation Operation Services" (FAR52.245-2), as applicable, or any other term or condition of this contract.  Such referenced documentation may be obtained:(1)  From the ASSIST database via the internet at https://assist.dla.mil/online/start/; or(2)  By submitting a request to theDepartment of Defense Single Stock Point (DoDSSP)Building 4, Section D700 Robbins AvenuePhiladelphia, Pennsylvania 19111-5094Telephone (215) 697-6396Facsimile (215) 697-9398Commercial specifications and standards, which may be referenced in the contract specification or any sub-tier specification orstandard, are not available from Government sources and should be obtained from the publishers.</t>
        </is>
      </c>
      <c r="D92" s="13" t="inlineStr">
        <is>
          <t>TECHNICAL</t>
        </is>
      </c>
      <c r="E92" s="13" t="inlineStr">
        <is>
          <t>C</t>
        </is>
      </c>
      <c r="F92" s="13" t="inlineStr">
        <is>
          <t>Mandatory</t>
        </is>
      </c>
      <c r="G92" s="13" t="n">
        <v>44</v>
      </c>
      <c r="H92" s="13" t="inlineStr"/>
      <c r="I92" s="13" t="inlineStr">
        <is>
          <t>Section C, Section J, Section D, attachment t, attachment i, FAR 52.244-2, FAR 52.245-1</t>
        </is>
      </c>
    </row>
    <row r="93">
      <c r="A93" s="13" t="inlineStr">
        <is>
          <t>TW-C-0048</t>
        </is>
      </c>
      <c r="B93" s="13" t="inlineStr">
        <is>
          <t>D.1</t>
        </is>
      </c>
      <c r="C93" s="14" t="inlineStr">
        <is>
          <t>N0017826R30020003 - FINAL
Page 52 of 114
Section D - Packaging and Marking
D.1 CLAUSES INCORPORATED BY FULL TEXT
D-211-H001 PACKAGING OF DATA (NA VSEA) (FEB 2022)    
Data to be delivered by Integrated Digital Environment (IDE) or other electronic media shall be as specified in the</t>
        </is>
      </c>
      <c r="D93" s="13" t="inlineStr">
        <is>
          <t>TECHNICAL</t>
        </is>
      </c>
      <c r="E93" s="13" t="inlineStr">
        <is>
          <t>C</t>
        </is>
      </c>
      <c r="F93" s="13" t="inlineStr">
        <is>
          <t>Mandatory</t>
        </is>
      </c>
      <c r="G93" s="13" t="n">
        <v>44</v>
      </c>
      <c r="H93" s="13" t="inlineStr"/>
      <c r="I93" s="13" t="inlineStr">
        <is>
          <t>Section D, D.1</t>
        </is>
      </c>
    </row>
    <row r="94">
      <c r="A94" s="13" t="inlineStr">
        <is>
          <t>TW-C-0049</t>
        </is>
      </c>
      <c r="B94" s="13" t="inlineStr">
        <is>
          <t>C.27</t>
        </is>
      </c>
      <c r="C94" s="14" t="inlineStr">
        <is>
          <t>All unclassified data to be shipped shall be prepared for shipment in accordance with best commercial practice.
Classified reports, data, and documentation shall be prepared for shipment in accordance with National Industrial
Security Program Operating Manual (NISPOM), 32 CFR Part 117.
D-211-H002 MARKING OF REPORTS (NA VSEA) (OCT 2018)
All reports delivered by the Contractor to the Government under this contract shall prominently show on the cover of
the report:</t>
        </is>
      </c>
      <c r="D94" s="13" t="inlineStr">
        <is>
          <t>TECHNICAL</t>
        </is>
      </c>
      <c r="E94" s="13" t="inlineStr">
        <is>
          <t>C</t>
        </is>
      </c>
      <c r="F94" s="13" t="inlineStr">
        <is>
          <t>Mandatory</t>
        </is>
      </c>
      <c r="G94" s="13" t="n">
        <v>44</v>
      </c>
      <c r="H94" s="13" t="inlineStr"/>
      <c r="I94" s="13" t="inlineStr"/>
    </row>
    <row r="95">
      <c r="A95" s="13" t="inlineStr">
        <is>
          <t>TW-C-0050</t>
        </is>
      </c>
      <c r="B95" s="13" t="inlineStr">
        <is>
          <t>J.3</t>
        </is>
      </c>
      <c r="C95" s="14" t="inlineStr">
        <is>
          <t>N0017826R30020003 - FINAL
Page 53 of 114
Section E - Inspection and Acceptance
E. 1 QUALITY ASSURANCE SURVEILLANCE PLAN (QASP) See Attachment J.3
CLAUSES INCORPORATED BY FULL TEXT
E-246-H013 INSPECTION AND ACCEPTANCE OF DATA (NA VSEA) (OCT 2018)
Inspection and acceptance of all data shall be as specified on the attached Contract Data Requirements List(s), DD Form</t>
        </is>
      </c>
      <c r="D95" s="13" t="inlineStr">
        <is>
          <t>TECHNICAL</t>
        </is>
      </c>
      <c r="E95" s="13" t="inlineStr">
        <is>
          <t>C</t>
        </is>
      </c>
      <c r="F95" s="13" t="inlineStr">
        <is>
          <t>Mandatory</t>
        </is>
      </c>
      <c r="G95" s="13" t="n">
        <v>44</v>
      </c>
      <c r="H95" s="13" t="inlineStr"/>
      <c r="I95" s="13" t="inlineStr">
        <is>
          <t>Section E, Attachment J, J.3</t>
        </is>
      </c>
    </row>
    <row r="96">
      <c r="A96" s="13" t="inlineStr">
        <is>
          <t>TW-C-0051</t>
        </is>
      </c>
      <c r="B96" s="13" t="inlineStr">
        <is>
          <t>C.27</t>
        </is>
      </c>
      <c r="C96" s="14" t="inlineStr">
        <is>
          <t>E-246-H014 INSPECTION AND ACCEPTANCE OF ENGINEERING SERVICES (NA VSEA) (OCT 2018)
Item(s) 6000, 6050, 6100, 6150, 6200, 6250, 6300, 6350, 6400, 6450, 7000, 7100, 7200, 7300, 7400 - Inspection and
acceptance shall be made by the Contracting Officer’ s Representative (COR) or a designated representative of the
Government.
E-246-H023 QUALITY REQUIREMENTS FOR SOFTWARE DEVELOPMENT OR PRODUCTION
(NAVSEA) (JAN 2019)    
The contractor's software quality program shall be an integral part of the overall Quality Management System. Software
quality program controls shall be applicable to all project software that is developed, maintained, or modified within the
following categories:</t>
        </is>
      </c>
      <c r="D96" s="13" t="inlineStr">
        <is>
          <t>TECHNICAL</t>
        </is>
      </c>
      <c r="E96" s="13" t="inlineStr">
        <is>
          <t>C</t>
        </is>
      </c>
      <c r="F96" s="13" t="inlineStr">
        <is>
          <t>Mandatory</t>
        </is>
      </c>
      <c r="G96" s="13" t="n">
        <v>44</v>
      </c>
      <c r="H96" s="13" t="inlineStr"/>
      <c r="I96" s="13" t="inlineStr"/>
    </row>
    <row r="97">
      <c r="A97" s="13" t="inlineStr">
        <is>
          <t>TW-C-0052</t>
        </is>
      </c>
      <c r="B97" s="13" t="inlineStr">
        <is>
          <t>F.1</t>
        </is>
      </c>
      <c r="C97" s="14" t="inlineStr">
        <is>
          <t>N0017826R30020003 - FINAL
Page 54 of 114
Section F - Deliveries or Performance
F.1 PLACE OF PERFORMANCE
Services to be performed hereunder will be provided primarily at the Government's site and/or Contractor's facility in
Dahlgren, The locations are dependent on the task the Contractor is working. During performance of this Task Order,
the Contractor may be required to travel as part of the efforts listed in Section C. The representative travel locations
can be found in accordance with Section C.6.1 of the SOW.</t>
        </is>
      </c>
      <c r="D97" s="13" t="inlineStr">
        <is>
          <t>TECHNICAL</t>
        </is>
      </c>
      <c r="E97" s="13" t="inlineStr">
        <is>
          <t>C</t>
        </is>
      </c>
      <c r="F97" s="13" t="inlineStr">
        <is>
          <t>Mandatory</t>
        </is>
      </c>
      <c r="G97" s="13" t="n">
        <v>44</v>
      </c>
      <c r="H97" s="13" t="inlineStr"/>
      <c r="I97" s="13" t="inlineStr">
        <is>
          <t>Section F, Section C, Section C.6.1, F.1, C.6.1</t>
        </is>
      </c>
    </row>
    <row r="98">
      <c r="A98" s="13" t="inlineStr">
        <is>
          <t>TW-C-0053</t>
        </is>
      </c>
      <c r="B98" s="13" t="inlineStr">
        <is>
          <t>F.2</t>
        </is>
      </c>
      <c r="C98" s="14" t="inlineStr">
        <is>
          <t>F.2 PERIOD OF PERFORMANCE FOR NOT SEPARATELY PRICED CLINS
The Period of Performance for the Not Separately Priced Items in Section B shall be concurrent with the Labor
CLINs for the identified Base or Option Period in their CLIN descriptions.
CLAUSES INCORPORATED BY FULL TEXT
F-247-H001 DELIVERY OF DATA (NA VSEA) (OCT 2018)</t>
        </is>
      </c>
      <c r="D98" s="13" t="inlineStr">
        <is>
          <t>TECHNICAL</t>
        </is>
      </c>
      <c r="E98" s="13" t="inlineStr">
        <is>
          <t>C</t>
        </is>
      </c>
      <c r="F98" s="13" t="inlineStr">
        <is>
          <t>Mandatory</t>
        </is>
      </c>
      <c r="G98" s="13" t="n">
        <v>44</v>
      </c>
      <c r="H98" s="13" t="inlineStr"/>
      <c r="I98" s="13" t="inlineStr">
        <is>
          <t>Section B, F.2</t>
        </is>
      </c>
    </row>
    <row r="99">
      <c r="A99" s="13" t="inlineStr">
        <is>
          <t>TW-C-0054</t>
        </is>
      </c>
      <c r="B99" s="13" t="inlineStr">
        <is>
          <t>C.27</t>
        </is>
      </c>
      <c r="C99" s="14" t="inlineStr">
        <is>
          <t>All data to be furnished under this contract shall be delivered prepaid to the destination(s) and at the time(s) specified
on the Contract Data Requirements List(s), DD Form 1423.
The Period of Performance of the following Firm items are as follows:
6000 AA   08/27/2026 - 08/26/2027
7000 AA   08/27/2026 - 08/26/2027
The Period of Performance of the following Option items are as follows:
6050 AA   08/27/2026 - 08/26/2027
6100 AA   08/27/2027 - 08/26/2028
6150 AA   08/27/2027 - 08/26/2028
6200 AA   08/27/2028 - 08/26/2029
6250 AA   08/27/2028 - 08/26/2029
6300 AA   08/27/2029 - 08/26/2030
6350 AA   08/27/2029 - 08/26/2030
6400 AA   08/27/2030 - 08/26/2031
6450 AA   08/27/2030 - 08/26/2031
7100 AA   08/27/2027 - 08/26/2028</t>
        </is>
      </c>
      <c r="D99" s="13" t="inlineStr">
        <is>
          <t>TECHNICAL</t>
        </is>
      </c>
      <c r="E99" s="13" t="inlineStr">
        <is>
          <t>C</t>
        </is>
      </c>
      <c r="F99" s="13" t="inlineStr">
        <is>
          <t>Mandatory</t>
        </is>
      </c>
      <c r="G99" s="13" t="n">
        <v>44</v>
      </c>
      <c r="H99" s="13" t="inlineStr"/>
      <c r="I99" s="13" t="inlineStr"/>
    </row>
    <row r="100">
      <c r="A100" s="13" t="inlineStr">
        <is>
          <t>TW-C-0055</t>
        </is>
      </c>
      <c r="B100" s="13" t="inlineStr">
        <is>
          <t>G.2</t>
        </is>
      </c>
      <c r="C100" s="14" t="inlineStr">
        <is>
          <t>Accounting for expenditures at the SLIN level is required.
G.2 SPECIAL INVOICE INSTRUCTIONS</t>
        </is>
      </c>
      <c r="D100" s="13" t="inlineStr">
        <is>
          <t>TECHNICAL</t>
        </is>
      </c>
      <c r="E100" s="13" t="inlineStr">
        <is>
          <t>C</t>
        </is>
      </c>
      <c r="F100" s="13" t="inlineStr">
        <is>
          <t>Mandatory</t>
        </is>
      </c>
      <c r="G100" s="13" t="n">
        <v>44</v>
      </c>
      <c r="H100" s="13" t="inlineStr"/>
      <c r="I100" s="13" t="inlineStr">
        <is>
          <t>G.2</t>
        </is>
      </c>
    </row>
    <row r="101">
      <c r="A101" s="13" t="inlineStr">
        <is>
          <t>TW-C-0056</t>
        </is>
      </c>
      <c r="B101" s="13" t="inlineStr">
        <is>
          <t>C.27</t>
        </is>
      </c>
      <c r="C101" s="14" t="inlineStr">
        <is>
          <t>Tracking and reporting shall be accomplished at the project/work area/WBS item. Each identified project/work
area/WBS shall be invoiced by its associated SLIN and ACRN.</t>
        </is>
      </c>
      <c r="D101" s="13" t="inlineStr">
        <is>
          <t>TECHNICAL</t>
        </is>
      </c>
      <c r="E101" s="13" t="inlineStr">
        <is>
          <t>C</t>
        </is>
      </c>
      <c r="F101" s="13" t="inlineStr">
        <is>
          <t>Mandatory</t>
        </is>
      </c>
      <c r="G101" s="13" t="n">
        <v>44</v>
      </c>
      <c r="H101" s="13" t="inlineStr"/>
      <c r="I101" s="13" t="inlineStr"/>
    </row>
    <row r="102">
      <c r="A102" s="13" t="inlineStr">
        <is>
          <t>TW-C-0057</t>
        </is>
      </c>
      <c r="B102" s="13" t="inlineStr">
        <is>
          <t>G.3</t>
        </is>
      </c>
      <c r="C102" s="14" t="inlineStr">
        <is>
          <t>If multiple ACRNs are associated with a single project/work area/WBS, the Contractor shall consult with the
Contracting Officer’ s Representative (COR) for additional invoicing instructions.
G.3 FUNDING PROFILE</t>
        </is>
      </c>
      <c r="D102" s="13" t="inlineStr">
        <is>
          <t>TECHNICAL</t>
        </is>
      </c>
      <c r="E102" s="13" t="inlineStr">
        <is>
          <t>C</t>
        </is>
      </c>
      <c r="F102" s="13" t="inlineStr">
        <is>
          <t>Mandatory</t>
        </is>
      </c>
      <c r="G102" s="13" t="n">
        <v>44</v>
      </c>
      <c r="H102" s="13" t="inlineStr"/>
      <c r="I102" s="13" t="inlineStr">
        <is>
          <t>G.3</t>
        </is>
      </c>
    </row>
    <row r="103">
      <c r="A103" s="13" t="inlineStr">
        <is>
          <t>TW-C-0058</t>
        </is>
      </c>
      <c r="B103" s="13" t="inlineStr">
        <is>
          <t>C.27</t>
        </is>
      </c>
      <c r="C103" s="14" t="inlineStr">
        <is>
          <t>It is estimated that these incremental funds will provide for the number of hours of labor stated below. The
following details funding to date:  
CLIN CPFF
Funds This
Action
Previous
Funding Total Funded
Balance
Unfunded
Funded Labor
Hours</t>
        </is>
      </c>
      <c r="D103" s="13" t="inlineStr">
        <is>
          <t>TECHNICAL</t>
        </is>
      </c>
      <c r="E103" s="13" t="inlineStr">
        <is>
          <t>C</t>
        </is>
      </c>
      <c r="F103" s="13" t="inlineStr">
        <is>
          <t>Mandatory</t>
        </is>
      </c>
      <c r="G103" s="13" t="n">
        <v>44</v>
      </c>
      <c r="H103" s="13" t="inlineStr"/>
      <c r="I103" s="13" t="inlineStr"/>
    </row>
    <row r="104">
      <c r="A104" s="13" t="inlineStr">
        <is>
          <t>TW-C-0059</t>
        </is>
      </c>
      <c r="B104" s="13" t="inlineStr">
        <is>
          <t>C.27</t>
        </is>
      </c>
      <c r="C104" s="14" t="inlineStr">
        <is>
          <t>WAWF access. To access WAWF, the Contractor shall—</t>
        </is>
      </c>
      <c r="D104" s="13" t="inlineStr">
        <is>
          <t>TECHNICAL</t>
        </is>
      </c>
      <c r="E104" s="13" t="inlineStr">
        <is>
          <t>C</t>
        </is>
      </c>
      <c r="F104" s="13" t="inlineStr">
        <is>
          <t>Mandatory</t>
        </is>
      </c>
      <c r="G104" s="13" t="n">
        <v>44</v>
      </c>
      <c r="H104" s="13" t="inlineStr"/>
      <c r="I104" s="13" t="inlineStr"/>
    </row>
    <row r="105">
      <c r="A105" s="13" t="inlineStr">
        <is>
          <t>TW-C-0060</t>
        </is>
      </c>
      <c r="B105" s="13" t="inlineStr">
        <is>
          <t>C.27</t>
        </is>
      </c>
      <c r="C105" s="14" t="inlineStr">
        <is>
          <t>WAWF training. The Contractor should follow the training instructions of the WAWF Web-Based Training
Course and use the Practice Training Site before submitting payment requests through WAWF. Both can be accessed
by selecting the “Web Based Training” link on the WAWF home page at https://wawf.eb.mil/</t>
        </is>
      </c>
      <c r="D105" s="13" t="inlineStr">
        <is>
          <t>TECHNICAL</t>
        </is>
      </c>
      <c r="E105" s="13" t="inlineStr">
        <is>
          <t>C</t>
        </is>
      </c>
      <c r="F105" s="13" t="inlineStr">
        <is>
          <t>Highly Desirable</t>
        </is>
      </c>
      <c r="G105" s="13" t="n">
        <v>44</v>
      </c>
      <c r="H105" s="13" t="inlineStr"/>
      <c r="I105" s="13" t="inlineStr"/>
    </row>
    <row r="106">
      <c r="A106" s="13" t="inlineStr">
        <is>
          <t>TW-C-0061</t>
        </is>
      </c>
      <c r="B106" s="13" t="inlineStr">
        <is>
          <t>C.27</t>
        </is>
      </c>
      <c r="C106" s="14" t="inlineStr">
        <is>
          <t>WAWF methods of document submission. Document submissions may be via web entry, Electronic Data
Interchange, or File Transfer Protocol.</t>
        </is>
      </c>
      <c r="D106" s="13" t="inlineStr">
        <is>
          <t>TECHNICAL</t>
        </is>
      </c>
      <c r="E106" s="13" t="inlineStr">
        <is>
          <t>C</t>
        </is>
      </c>
      <c r="F106" s="13" t="inlineStr">
        <is>
          <t>Desirable</t>
        </is>
      </c>
      <c r="G106" s="13" t="n">
        <v>44</v>
      </c>
      <c r="H106" s="13" t="inlineStr"/>
      <c r="I106" s="13" t="inlineStr"/>
    </row>
    <row r="107">
      <c r="A107" s="13" t="inlineStr">
        <is>
          <t>TW-C-0062</t>
        </is>
      </c>
      <c r="B107" s="13" t="inlineStr">
        <is>
          <t>C.27</t>
        </is>
      </c>
      <c r="C107" s="14" t="inlineStr">
        <is>
          <t>WAWF payment instructions. The Contractor shall use the following information when submitting payment
requests and receiving reports in WAWF for this contract or task or delivery order:</t>
        </is>
      </c>
      <c r="D107" s="13" t="inlineStr">
        <is>
          <t>TECHNICAL</t>
        </is>
      </c>
      <c r="E107" s="13" t="inlineStr">
        <is>
          <t>C</t>
        </is>
      </c>
      <c r="F107" s="13" t="inlineStr">
        <is>
          <t>Mandatory</t>
        </is>
      </c>
      <c r="G107" s="13" t="n">
        <v>44</v>
      </c>
      <c r="H107" s="13" t="inlineStr"/>
      <c r="I107" s="13" t="inlineStr"/>
    </row>
    <row r="108">
      <c r="A108" s="13" t="inlineStr">
        <is>
          <t>TW-C-0063</t>
        </is>
      </c>
      <c r="B108" s="13" t="inlineStr">
        <is>
          <t>C.27</t>
        </is>
      </c>
      <c r="C108" s="14" t="inlineStr">
        <is>
          <t>Document type. The Contractor shall submit payment requests using the following document type(s):</t>
        </is>
      </c>
      <c r="D108" s="13" t="inlineStr">
        <is>
          <t>TECHNICAL</t>
        </is>
      </c>
      <c r="E108" s="13" t="inlineStr">
        <is>
          <t>C</t>
        </is>
      </c>
      <c r="F108" s="13" t="inlineStr">
        <is>
          <t>Mandatory</t>
        </is>
      </c>
      <c r="G108" s="13" t="n">
        <v>44</v>
      </c>
      <c r="H108" s="13" t="inlineStr"/>
      <c r="I108" s="13" t="inlineStr"/>
    </row>
    <row r="109">
      <c r="A109" s="13" t="inlineStr">
        <is>
          <t>TW-C-0064</t>
        </is>
      </c>
      <c r="B109" s="13" t="inlineStr">
        <is>
          <t>C.27</t>
        </is>
      </c>
      <c r="C109" s="14" t="inlineStr">
        <is>
          <t>[Note: The Contractor may use a WAWF “combo” document type to create some combinations of invoice and
receiving report in one step.]</t>
        </is>
      </c>
      <c r="D109" s="13" t="inlineStr">
        <is>
          <t>TECHNICAL</t>
        </is>
      </c>
      <c r="E109" s="13" t="inlineStr">
        <is>
          <t>C</t>
        </is>
      </c>
      <c r="F109" s="13" t="inlineStr">
        <is>
          <t>Desirable</t>
        </is>
      </c>
      <c r="G109" s="13" t="n">
        <v>44</v>
      </c>
      <c r="H109" s="13" t="inlineStr"/>
      <c r="I109" s="13" t="inlineStr"/>
    </row>
    <row r="110">
      <c r="A110" s="13" t="inlineStr">
        <is>
          <t>TW-C-0065</t>
        </is>
      </c>
      <c r="B110" s="13" t="inlineStr">
        <is>
          <t>C.27</t>
        </is>
      </c>
      <c r="C110" s="14" t="inlineStr">
        <is>
          <t>Document routing. The Contractor shall use the information in the Routing Data Table below only to fill in
applicable fields in WAWF when creating payment requests and receiving reports in the system.  
Field Name in WAWF  Data to be entered in WAWF 
Pay Official DoDAAC **
Issue By DoDAAC N00178
Admin DoDAAC** **
Inspect By DoDAAC
N00178
Ship To Code Not Applicable
Ship From Code Not Applicable
Mark For Code Not Applicable
Service Approver (DoDAAC) N00178
Service Acceptor (DoDAAC)
N00178
Accept at Other DoDAAC Not Applicable
LPO DoDAAC Not Applicable
DCAA Auditor DoDAAC **
Other DoDAAC(s) Not Applicable
**To be completed at time of award</t>
        </is>
      </c>
      <c r="D110" s="13" t="inlineStr">
        <is>
          <t>TECHNICAL</t>
        </is>
      </c>
      <c r="E110" s="13" t="inlineStr">
        <is>
          <t>C</t>
        </is>
      </c>
      <c r="F110" s="13" t="inlineStr">
        <is>
          <t>Mandatory</t>
        </is>
      </c>
      <c r="G110" s="13" t="n">
        <v>44</v>
      </c>
      <c r="H110" s="13" t="inlineStr"/>
      <c r="I110" s="13" t="inlineStr"/>
    </row>
    <row r="111">
      <c r="A111" s="13" t="inlineStr">
        <is>
          <t>TW-C-0066</t>
        </is>
      </c>
      <c r="B111" s="13" t="inlineStr">
        <is>
          <t>C.27</t>
        </is>
      </c>
      <c r="C111" s="14" t="inlineStr">
        <is>
          <t>Payment request. The Contractor shall ensure a payment request includes documentation appropriate to the type
of payment request in accordance with the payment clause, contract financing clause, or Federal Acquisition</t>
        </is>
      </c>
      <c r="D111" s="13" t="inlineStr">
        <is>
          <t>TECHNICAL</t>
        </is>
      </c>
      <c r="E111" s="13" t="inlineStr">
        <is>
          <t>C</t>
        </is>
      </c>
      <c r="F111" s="13" t="inlineStr">
        <is>
          <t>Mandatory</t>
        </is>
      </c>
      <c r="G111" s="13" t="n">
        <v>44</v>
      </c>
      <c r="H111" s="13" t="inlineStr"/>
      <c r="I111" s="13" t="inlineStr"/>
    </row>
    <row r="112">
      <c r="A112" s="13" t="inlineStr">
        <is>
          <t>TW-C-0067</t>
        </is>
      </c>
      <c r="B112" s="13" t="inlineStr">
        <is>
          <t>C.27</t>
        </is>
      </c>
      <c r="C112" s="14" t="inlineStr">
        <is>
          <t>Receiving report. The Contractor shall ensure a receiving report meets the requirements of DFARS Appendix F.</t>
        </is>
      </c>
      <c r="D112" s="13" t="inlineStr">
        <is>
          <t>TECHNICAL</t>
        </is>
      </c>
      <c r="E112" s="13" t="inlineStr">
        <is>
          <t>C</t>
        </is>
      </c>
      <c r="F112" s="13" t="inlineStr">
        <is>
          <t>Mandatory</t>
        </is>
      </c>
      <c r="G112" s="13" t="n">
        <v>44</v>
      </c>
      <c r="H112" s="13" t="inlineStr"/>
      <c r="I112" s="13" t="inlineStr">
        <is>
          <t>Appendix F</t>
        </is>
      </c>
    </row>
    <row r="113">
      <c r="A113" s="13" t="inlineStr">
        <is>
          <t>TW-C-0068</t>
        </is>
      </c>
      <c r="B113" s="13" t="inlineStr">
        <is>
          <t>C.27</t>
        </is>
      </c>
      <c r="C113" s="14" t="inlineStr">
        <is>
          <t>The Contractor may obtain clarification regarding invoicing in WAWF from the following contracting activity’ s
WAWF point of contact. 
DLGR_NSWC_WAWF@NA VY .MIL</t>
        </is>
      </c>
      <c r="D113" s="13" t="inlineStr">
        <is>
          <t>TECHNICAL</t>
        </is>
      </c>
      <c r="E113" s="13" t="inlineStr">
        <is>
          <t>C</t>
        </is>
      </c>
      <c r="F113" s="13" t="inlineStr">
        <is>
          <t>Desirable</t>
        </is>
      </c>
      <c r="G113" s="13" t="n">
        <v>44</v>
      </c>
      <c r="H113" s="13" t="inlineStr"/>
      <c r="I113" s="13" t="inlineStr"/>
    </row>
    <row r="114">
      <c r="A114" s="13" t="inlineStr">
        <is>
          <t>TW-C-0069</t>
        </is>
      </c>
      <c r="B114" s="13" t="inlineStr">
        <is>
          <t>C.27</t>
        </is>
      </c>
      <c r="C114" s="14" t="inlineStr">
        <is>
          <t>Contact the WAWF helpdesk at 866-618-5988, if assistance is needed.
G-216-H001 FIXED FEE WITHHOLD--FAR 52.216-8 CLARIFICATION (NA VSEA) (OCT 2018) 
The Government will withhold 15% of each fixed fee payment starting with the first invoice submitted until a total
of $100,000 of Fixed-Fee has been withheld.  Withheld amounts will be released in accordance with FAR 52.216-8,
Fixed-Fee.
G-232-H002 PAYMENT INSTRUCTIONS (NA VSEA) (FEB 2024) 
Payment office allocation methods can be found in the table at DFARS PGI 204.7108(b)(2) (https://www.acq.osd.mil
/dpap/dars/pgi/pgi_htm/current/PGI204_71.htm#payment_instructions).
G-232-H005 SUPPLEMENTAL INSTRUCTIONS REGARDING INVOICING (NA VSEA) (JAN 2019)</t>
        </is>
      </c>
      <c r="D114" s="13" t="inlineStr">
        <is>
          <t>TECHNICAL</t>
        </is>
      </c>
      <c r="E114" s="13" t="inlineStr">
        <is>
          <t>C</t>
        </is>
      </c>
      <c r="F114" s="13" t="inlineStr">
        <is>
          <t>Desirable</t>
        </is>
      </c>
      <c r="G114" s="13" t="n">
        <v>44</v>
      </c>
      <c r="H114" s="13" t="inlineStr"/>
      <c r="I114" s="13" t="inlineStr">
        <is>
          <t>FAR 52.216-8</t>
        </is>
      </c>
    </row>
    <row r="115">
      <c r="A115" s="13" t="inlineStr">
        <is>
          <t>TW-C-0070</t>
        </is>
      </c>
      <c r="B115" s="13" t="inlineStr">
        <is>
          <t>C.27</t>
        </is>
      </c>
      <c r="C115" s="14" t="inlineStr">
        <is>
          <t>For other than Firm-Fixed-Priced contract line item numbers (CLINs), the Contractor agrees to segregate costs
incurred under this contract/Task Order (TO), as applicable, at the lowest level of performance, either at the sub line
item number (SLIN) or CLIN level, rather than at the total contract/TO level, and to submit invoices reflecting costs
incurred at that level. Supporting documentation in Wide Area Workflow (WAWF) for invoices shall include
summaries of work charged during the period covered as well as overall cumulative summaries by individual Labor
Categories, rates, and hours (both straight time and overtime) invoiced; as well as, a cost breakdown of other direct
costs (ODCs), materials, and travel, by technical instruction (TI), SLIN, or CLIN level. For other than
Firm-Fixed-Price subcontracts, Sub-contractors are also required to provide Labor Categories, rates, and hours (both
straight time and overtime) invoiced; as well as, a cost breakdown of ODCs, materials, and travel</t>
        </is>
      </c>
      <c r="D115" s="13" t="inlineStr">
        <is>
          <t>TECHNICAL</t>
        </is>
      </c>
      <c r="E115" s="13" t="inlineStr">
        <is>
          <t>C</t>
        </is>
      </c>
      <c r="F115" s="13" t="inlineStr">
        <is>
          <t>Mandatory</t>
        </is>
      </c>
      <c r="G115" s="13" t="n">
        <v>44</v>
      </c>
      <c r="H115" s="13" t="inlineStr"/>
      <c r="I115" s="13" t="inlineStr"/>
    </row>
    <row r="116">
      <c r="A116" s="13" t="inlineStr">
        <is>
          <t>TW-C-0071</t>
        </is>
      </c>
      <c r="B116" s="13" t="inlineStr">
        <is>
          <t>C.27</t>
        </is>
      </c>
      <c r="C116" s="14" t="inlineStr">
        <is>
          <t>Supporting documentation may be encrypted before submission to the prime Contractor for WAWF invoice</t>
        </is>
      </c>
      <c r="D116" s="13" t="inlineStr">
        <is>
          <t>TECHNICAL</t>
        </is>
      </c>
      <c r="E116" s="13" t="inlineStr">
        <is>
          <t>C</t>
        </is>
      </c>
      <c r="F116" s="13" t="inlineStr">
        <is>
          <t>Desirable</t>
        </is>
      </c>
      <c r="G116" s="13" t="n">
        <v>44</v>
      </c>
      <c r="H116" s="13" t="inlineStr"/>
      <c r="I116" s="13" t="inlineStr"/>
    </row>
    <row r="117">
      <c r="A117" s="13" t="inlineStr">
        <is>
          <t>TW-C-0072</t>
        </is>
      </c>
      <c r="B117" s="13" t="inlineStr">
        <is>
          <t>C.27</t>
        </is>
      </c>
      <c r="C117" s="14" t="inlineStr">
        <is>
          <t>Sub-contractors may email encryption code information directly to the Contracting Officer and
Contracting Officer Representative (COR). Should the Sub-contractor lack encryption capability, the Sub-contractor
may also email detailed supporting cost information directly to the Contracting Officer and COR; or other method as
agreed to by the Contracting Officer.</t>
        </is>
      </c>
      <c r="D117" s="13" t="inlineStr">
        <is>
          <t>TECHNICAL</t>
        </is>
      </c>
      <c r="E117" s="13" t="inlineStr">
        <is>
          <t>C</t>
        </is>
      </c>
      <c r="F117" s="13" t="inlineStr">
        <is>
          <t>Highly Desirable</t>
        </is>
      </c>
      <c r="G117" s="13" t="n">
        <v>44</v>
      </c>
      <c r="H117" s="13" t="inlineStr"/>
      <c r="I117" s="13" t="inlineStr"/>
    </row>
    <row r="118">
      <c r="A118" s="13" t="inlineStr">
        <is>
          <t>TW-C-0073</t>
        </is>
      </c>
      <c r="B118" s="13" t="inlineStr">
        <is>
          <t>C.27</t>
        </is>
      </c>
      <c r="C118" s="14" t="inlineStr">
        <is>
          <t>Contractors submitting payment requests and receiving reports to WAWF using either Electronic Data
Interchange (EDI) or Secure File Transfer Protocol (SFTP) shall separately send an email notification to the COR
and Contracting Officer on the same date they submit the invoice in WAWF.  No payments shall be due if the
Contractor does not provide the COR and Contracting Officer email notification as required herein. 
G-242-H001 GOVERNMENT CONTRACT ADMINISTRATION POINTS-OF-CONTACT AND
RESPONSIBILITIES (NA VSEA) (OCT 2023)</t>
        </is>
      </c>
      <c r="D118" s="13" t="inlineStr">
        <is>
          <t>TECHNICAL</t>
        </is>
      </c>
      <c r="E118" s="13" t="inlineStr">
        <is>
          <t>C</t>
        </is>
      </c>
      <c r="F118" s="13" t="inlineStr">
        <is>
          <t>Mandatory</t>
        </is>
      </c>
      <c r="G118" s="13" t="n">
        <v>44</v>
      </c>
      <c r="H118" s="13" t="inlineStr"/>
      <c r="I118" s="13" t="inlineStr"/>
    </row>
    <row r="119">
      <c r="A119" s="13" t="inlineStr">
        <is>
          <t>TW-C-0074</t>
        </is>
      </c>
      <c r="B119" s="13" t="inlineStr">
        <is>
          <t>C.27</t>
        </is>
      </c>
      <c r="C119" s="14" t="inlineStr">
        <is>
          <t>N0017826R30020003 - FINAL
Page 60 of 114
Contractor shall not comply with any order, direction or request of Government personnel - that would constitute a
change - unless it is issued in writing and signed by the Contracting Officer or is pursuant to specific authority
otherwise included as part of this contract. If, in the opinion of the contractor, an effort outside the existing scope of
this contract is requested, the contractor shall promptly comply with the Notification of Changes clause of this</t>
        </is>
      </c>
      <c r="D119" s="13" t="inlineStr">
        <is>
          <t>TECHNICAL</t>
        </is>
      </c>
      <c r="E119" s="13" t="inlineStr">
        <is>
          <t>C</t>
        </is>
      </c>
      <c r="F119" s="13" t="inlineStr">
        <is>
          <t>Mandatory</t>
        </is>
      </c>
      <c r="G119" s="13" t="n">
        <v>44</v>
      </c>
      <c r="H119" s="13" t="inlineStr"/>
      <c r="I119" s="13" t="inlineStr"/>
    </row>
    <row r="120">
      <c r="A120" s="13" t="inlineStr">
        <is>
          <t>TW-C-0075</t>
        </is>
      </c>
      <c r="B120" s="13" t="inlineStr">
        <is>
          <t>C.27</t>
        </is>
      </c>
      <c r="C120" s="14" t="inlineStr">
        <is>
          <t>The federal Government observes public Holidays that have been established under 5 U.S.C. 6103. The actual
date of observance for each of the holidays, for a specific calendar year, may be obtained from the OPM website at
OPM.GOV or by using the following direct link: https://www.opm.gov/policy-data-oversight/pay-leave/federal-
holidays/.</t>
        </is>
      </c>
      <c r="D120" s="13" t="inlineStr">
        <is>
          <t>TECHNICAL</t>
        </is>
      </c>
      <c r="E120" s="13" t="inlineStr">
        <is>
          <t>C</t>
        </is>
      </c>
      <c r="F120" s="13" t="inlineStr">
        <is>
          <t>Desirable</t>
        </is>
      </c>
      <c r="G120" s="13" t="n">
        <v>44</v>
      </c>
      <c r="H120" s="13" t="inlineStr"/>
      <c r="I120" s="13" t="inlineStr"/>
    </row>
    <row r="121">
      <c r="A121" s="13" t="inlineStr">
        <is>
          <t>TW-C-0076</t>
        </is>
      </c>
      <c r="B121" s="13" t="inlineStr">
        <is>
          <t>C.27</t>
        </is>
      </c>
      <c r="C121" s="14" t="inlineStr">
        <is>
          <t>Delayed Opening, Early Dismissal and Closure of Government Facilities.  When a Government facility has a
delayed opening, is closed or Federal employees are dismissed early (due to severe weather, security threat, security
exercise, or a facility related problem) that prevents personnel from working, onsite Contractor personnel regularly
assigned to work at that facility shall follow the same reporting and/or departure directions given to Government</t>
        </is>
      </c>
      <c r="D121" s="13" t="inlineStr">
        <is>
          <t>TECHNICAL</t>
        </is>
      </c>
      <c r="E121" s="13" t="inlineStr">
        <is>
          <t>C</t>
        </is>
      </c>
      <c r="F121" s="13" t="inlineStr">
        <is>
          <t>Mandatory</t>
        </is>
      </c>
      <c r="G121" s="13" t="n">
        <v>44</v>
      </c>
      <c r="H121" s="13" t="inlineStr"/>
      <c r="I121" s="13" t="inlineStr"/>
    </row>
    <row r="122">
      <c r="A122" s="13" t="inlineStr">
        <is>
          <t>TW-C-0077</t>
        </is>
      </c>
      <c r="B122" s="13" t="inlineStr">
        <is>
          <t>C.27</t>
        </is>
      </c>
      <c r="C122" s="14" t="inlineStr">
        <is>
          <t>The Contractor shall not direct charge to the contract for such time off, but shall follow parent company
policies regarding taking leave (administrative or other). Non-essential Contractor personnel, who are not required to
remain at or report to the facility, shall follow their parent company policy regarding whether they should go/stay
home or report to another company facility. Subsequent to an early dismissal, delayed opening, or during periods of
inclement weather, onsite Contractors should monitor the OPM website as well as radio and television
announcements before departing for work to determine if the facility is closed or operating on a delayed arrival basis.</t>
        </is>
      </c>
      <c r="D122" s="13" t="inlineStr">
        <is>
          <t>TECHNICAL</t>
        </is>
      </c>
      <c r="E122" s="13" t="inlineStr">
        <is>
          <t>C</t>
        </is>
      </c>
      <c r="F122" s="13" t="inlineStr">
        <is>
          <t>Mandatory</t>
        </is>
      </c>
      <c r="G122" s="13" t="n">
        <v>44</v>
      </c>
      <c r="H122" s="13" t="inlineStr"/>
      <c r="I122" s="13" t="inlineStr"/>
    </row>
    <row r="123">
      <c r="A123" s="13" t="inlineStr">
        <is>
          <t>TW-C-0078</t>
        </is>
      </c>
      <c r="B123" s="13" t="inlineStr">
        <is>
          <t>C.27</t>
        </is>
      </c>
      <c r="C123" s="14" t="inlineStr">
        <is>
          <t>N0017826R30020003 - FINAL
Page 63 of 114
weather, a security threat, or a facility related problem), on site Contractors shall continue working established work
hours or take leave in accordance with parent company policy. Those Contractor employees who take leave shall not
direct charge the non-working hours to the contract.  Contractors are responsible for predetermining and disclosing
their charging practices for early dismissal, delayed openings, or closings in accordance with the FAR, applicable
cost accounting standards, and the company’ s established policy and procedures. Contractors shall follow their
disclosed charging practices during the contract Period of Performance, and shall not follow any verbal directions to
the contrary. The Contracting Officer will make the determination of cost allowability for time lost due to facility
closure in accordance with FAR, applicable Cost Accounting Standards, and the Contractor's established accounting
policy and procedures.</t>
        </is>
      </c>
      <c r="D123" s="13" t="inlineStr">
        <is>
          <t>TECHNICAL</t>
        </is>
      </c>
      <c r="E123" s="13" t="inlineStr">
        <is>
          <t>C</t>
        </is>
      </c>
      <c r="F123" s="13" t="inlineStr">
        <is>
          <t>Mandatory</t>
        </is>
      </c>
      <c r="G123" s="13" t="n">
        <v>44</v>
      </c>
      <c r="H123" s="13" t="inlineStr"/>
      <c r="I123" s="13" t="inlineStr"/>
    </row>
    <row r="124">
      <c r="A124" s="13" t="inlineStr">
        <is>
          <t>TW-C-0079</t>
        </is>
      </c>
      <c r="B124" s="13" t="inlineStr">
        <is>
          <t>C.27</t>
        </is>
      </c>
      <c r="C124" s="14" t="inlineStr">
        <is>
          <t>All deliveries to the Receiving Officer, NSWCDD, shall be made Monday through Friday from 0700 to 1430,
local time.  Deliveries will not be accepted after 1600.  No deliveries will be accepted on federal government</t>
        </is>
      </c>
      <c r="D124" s="13" t="inlineStr">
        <is>
          <t>TECHNICAL</t>
        </is>
      </c>
      <c r="E124" s="13" t="inlineStr">
        <is>
          <t>C</t>
        </is>
      </c>
      <c r="F124" s="13" t="inlineStr">
        <is>
          <t>Mandatory</t>
        </is>
      </c>
      <c r="G124" s="13" t="n">
        <v>44</v>
      </c>
      <c r="H124" s="13" t="inlineStr"/>
      <c r="I124" s="13" t="inlineStr"/>
    </row>
    <row r="125">
      <c r="A125" s="13" t="inlineStr">
        <is>
          <t>TW-C-0080</t>
        </is>
      </c>
      <c r="B125" s="13" t="inlineStr">
        <is>
          <t>C.27</t>
        </is>
      </c>
      <c r="C125" s="14" t="inlineStr">
        <is>
          <t>The Contractor agrees that, if after award, it discovers an actual or potential organizational conflict of interest,
it shall make immediate and full disclosure in writing to the Contracting Officer. The notification shall include
a description of the actual or potential organizational conflict of interest, a description of the action which
the Contractor has taken or proposes to take to avoid, mitigate, or neutralize the conflict, and any other
relevant information that would assist the Contracting Officer in making a determination on this matter.
Notwithstanding this notification, the Government may terminate the contract for the convenience of the
Government if determined to be in the best interest of the Government.</t>
        </is>
      </c>
      <c r="D125" s="13" t="inlineStr">
        <is>
          <t>TECHNICAL</t>
        </is>
      </c>
      <c r="E125" s="13" t="inlineStr">
        <is>
          <t>C</t>
        </is>
      </c>
      <c r="F125" s="13" t="inlineStr">
        <is>
          <t>Mandatory</t>
        </is>
      </c>
      <c r="G125" s="13" t="n">
        <v>44</v>
      </c>
      <c r="H125" s="13" t="inlineStr"/>
      <c r="I125" s="13" t="inlineStr"/>
    </row>
    <row r="126">
      <c r="A126" s="13" t="inlineStr">
        <is>
          <t>TW-C-0081</t>
        </is>
      </c>
      <c r="B126" s="13" t="inlineStr">
        <is>
          <t>C.27</t>
        </is>
      </c>
      <c r="C126" s="14" t="inlineStr">
        <is>
          <t>Notwithstanding paragraph (c) above, if the Contractor was aware, or should have been aware, of
an organizational conflict of interest prior to the award of this contract or becomes, or should become, aware of
an organizational conflict of interest after award of this contract and does not make an immediate and full disclosure
in writing to the Contracting Officer, the Government may terminate this contract for default.</t>
        </is>
      </c>
      <c r="D126" s="13" t="inlineStr">
        <is>
          <t>TECHNICAL</t>
        </is>
      </c>
      <c r="E126" s="13" t="inlineStr">
        <is>
          <t>C</t>
        </is>
      </c>
      <c r="F126" s="13" t="inlineStr">
        <is>
          <t>Highly Desirable</t>
        </is>
      </c>
      <c r="G126" s="13" t="n">
        <v>44</v>
      </c>
      <c r="H126" s="13" t="inlineStr"/>
      <c r="I126" s="13" t="inlineStr"/>
    </row>
    <row r="127">
      <c r="A127" s="13" t="inlineStr">
        <is>
          <t>TW-C-0082</t>
        </is>
      </c>
      <c r="B127" s="13" t="inlineStr">
        <is>
          <t>C.27</t>
        </is>
      </c>
      <c r="C127" s="14" t="inlineStr">
        <is>
          <t>If the Contractor fails to take action required by this requirement, or required by the Contracting Officer
upon receipt of the Contractor’ s disclosure required by paragraph (c), the Government may terminate this contract
for default.</t>
        </is>
      </c>
      <c r="D127" s="13" t="inlineStr">
        <is>
          <t>TECHNICAL</t>
        </is>
      </c>
      <c r="E127" s="13" t="inlineStr">
        <is>
          <t>C</t>
        </is>
      </c>
      <c r="F127" s="13" t="inlineStr">
        <is>
          <t>Desirable</t>
        </is>
      </c>
      <c r="G127" s="13" t="n">
        <v>44</v>
      </c>
      <c r="H127" s="13" t="inlineStr"/>
      <c r="I127" s="13" t="inlineStr"/>
    </row>
    <row r="128">
      <c r="A128" s="13" t="inlineStr">
        <is>
          <t>TW-C-0083</t>
        </is>
      </c>
      <c r="B128" s="13" t="inlineStr">
        <is>
          <t>C.27</t>
        </is>
      </c>
      <c r="C128" s="14" t="inlineStr">
        <is>
          <t>The Contracting Officer's decision as to the existence or nonexistence of an actual or potential
organizational conflict of interest shall be final.</t>
        </is>
      </c>
      <c r="D128" s="13" t="inlineStr">
        <is>
          <t>TECHNICAL</t>
        </is>
      </c>
      <c r="E128" s="13" t="inlineStr">
        <is>
          <t>C</t>
        </is>
      </c>
      <c r="F128" s="13" t="inlineStr">
        <is>
          <t>Mandatory</t>
        </is>
      </c>
      <c r="G128" s="13" t="n">
        <v>44</v>
      </c>
      <c r="H128" s="13" t="inlineStr"/>
      <c r="I128" s="13" t="inlineStr"/>
    </row>
    <row r="129">
      <c r="A129" s="13" t="inlineStr">
        <is>
          <t>TW-C-0084</t>
        </is>
      </c>
      <c r="B129" s="13" t="inlineStr">
        <is>
          <t>C.27</t>
        </is>
      </c>
      <c r="C129" s="14" t="inlineStr">
        <is>
          <t>The Contractor shall promptly notify the Contracting Officer, in writing, if it has been tasked to evaluate or
advise the Government concerning its own products or activities, those of its subcontractors, those of one of
its prime contractors (to which the contractor is a subcontractor), or those of a competitor in order to ensure
proper safeguards exist to guarantee objectivity and to protect the Government's interest.</t>
        </is>
      </c>
      <c r="D129" s="13" t="inlineStr">
        <is>
          <t>TECHNICAL</t>
        </is>
      </c>
      <c r="E129" s="13" t="inlineStr">
        <is>
          <t>C</t>
        </is>
      </c>
      <c r="F129" s="13" t="inlineStr">
        <is>
          <t>Mandatory</t>
        </is>
      </c>
      <c r="G129" s="13" t="n">
        <v>44</v>
      </c>
      <c r="H129" s="13" t="inlineStr"/>
      <c r="I129" s="13" t="inlineStr"/>
    </row>
    <row r="130">
      <c r="A130" s="13" t="inlineStr">
        <is>
          <t>TW-C-0085</t>
        </is>
      </c>
      <c r="B130" s="13" t="inlineStr">
        <is>
          <t>C.27</t>
        </is>
      </c>
      <c r="C130" s="14" t="inlineStr">
        <is>
          <t>The Contractor shall include this requirement in subcontracts of any tier which involve access to information
or situations/conditions covered by the preceding paragraphs, substituting "subcontractor" for "contractor"
where appropriate.</t>
        </is>
      </c>
      <c r="D130" s="13" t="inlineStr">
        <is>
          <t>TECHNICAL</t>
        </is>
      </c>
      <c r="E130" s="13" t="inlineStr">
        <is>
          <t>C</t>
        </is>
      </c>
      <c r="F130" s="13" t="inlineStr">
        <is>
          <t>Mandatory</t>
        </is>
      </c>
      <c r="G130" s="13" t="n">
        <v>44</v>
      </c>
      <c r="H130" s="13" t="inlineStr"/>
      <c r="I130" s="13" t="inlineStr"/>
    </row>
    <row r="131">
      <c r="A131" s="13" t="inlineStr">
        <is>
          <t>TW-C-0086</t>
        </is>
      </c>
      <c r="B131" s="13" t="inlineStr">
        <is>
          <t>C.27</t>
        </is>
      </c>
      <c r="C131" s="14" t="inlineStr">
        <is>
          <t>The rights and remedies described herein shall not be exclusive and are in addition to other rights and
remedies provided by law or elsewhere included in this contract.</t>
        </is>
      </c>
      <c r="D131" s="13" t="inlineStr">
        <is>
          <t>TECHNICAL</t>
        </is>
      </c>
      <c r="E131" s="13" t="inlineStr">
        <is>
          <t>C</t>
        </is>
      </c>
      <c r="F131" s="13" t="inlineStr">
        <is>
          <t>Mandatory</t>
        </is>
      </c>
      <c r="G131" s="13" t="n">
        <v>44</v>
      </c>
      <c r="H131" s="13" t="inlineStr"/>
      <c r="I131" s="13" t="inlineStr"/>
    </row>
    <row r="132">
      <c r="A132" s="13" t="inlineStr">
        <is>
          <t>TW-C-0087</t>
        </is>
      </c>
      <c r="B132" s="13" t="inlineStr">
        <is>
          <t>C.27</t>
        </is>
      </c>
      <c r="C132" s="14" t="inlineStr">
        <is>
          <t>It is recognized that the effort to be performed by the Contractor under this contract may create a potential
organizational conflict of interest on the instant contract or on a future acquisition. In order to avoid this potential
conflict of interest, and at the same time to avoid prejudicing the best interest of the Government, the right of the
Contractor to participate in future procurement of equipment or services that are the subject of any work under this
contract shall be limited in accordance with FAR 9.5.</t>
        </is>
      </c>
      <c r="D132" s="13" t="inlineStr">
        <is>
          <t>TECHNICAL</t>
        </is>
      </c>
      <c r="E132" s="13" t="inlineStr">
        <is>
          <t>C</t>
        </is>
      </c>
      <c r="F132" s="13" t="inlineStr">
        <is>
          <t>Mandatory</t>
        </is>
      </c>
      <c r="G132" s="13" t="n">
        <v>44</v>
      </c>
      <c r="H132" s="13" t="inlineStr"/>
      <c r="I132" s="13" t="inlineStr">
        <is>
          <t>FAR 9.5</t>
        </is>
      </c>
    </row>
    <row r="133">
      <c r="A133" s="13" t="inlineStr">
        <is>
          <t>TW-C-0088</t>
        </is>
      </c>
      <c r="B133" s="13" t="inlineStr">
        <is>
          <t>C.27</t>
        </is>
      </c>
      <c r="C133" s="14" t="inlineStr">
        <is>
          <t>The Contractor agrees that to prevent the existence of conflicting roles and unfair competitive advantage, during
the performance of this contract and for a period of three years after completion of performance of this contract, the
Contractor, any affiliate, subcontractor, consultant, or employee of the Contractor, any joint venture, any entity into
or with which it may subsequently merge or affiliate, or any other successor or assign of the Contractor, shall not
furnish to the United States Government, either as a prime contractor or as a subcontractor, or as a consultant to a
prime contractor or subcontractor, any system, component or services which is the subject of the work to be
performed under this contract, unless an exception under FAR 9.505 exists. This exclusion also does not apply to any
work covered by FAR 9.505-2 (a)(3) or (b)(3) or recompetition for those systems, components or services furnished
pursuant to this contract.</t>
        </is>
      </c>
      <c r="D133" s="13" t="inlineStr">
        <is>
          <t>TECHNICAL</t>
        </is>
      </c>
      <c r="E133" s="13" t="inlineStr">
        <is>
          <t>C</t>
        </is>
      </c>
      <c r="F133" s="13" t="inlineStr">
        <is>
          <t>Mandatory</t>
        </is>
      </c>
      <c r="G133" s="13" t="n">
        <v>44</v>
      </c>
      <c r="H133" s="13" t="inlineStr"/>
      <c r="I133" s="13" t="inlineStr">
        <is>
          <t>FAR 9.505, FAR 9.505-2</t>
        </is>
      </c>
    </row>
    <row r="134">
      <c r="A134" s="13" t="inlineStr">
        <is>
          <t>TW-C-0089</t>
        </is>
      </c>
      <c r="B134" s="13" t="inlineStr">
        <is>
          <t>C.27</t>
        </is>
      </c>
      <c r="C134" s="14" t="inlineStr">
        <is>
          <t>Nothing in this requirement is intended to prohibit or preclude the Contractor from marketing or selling to
the United States Government its product lines in existence on the effective date of this contract; nor, shall this
requirement preclude the Contractor from participating in any research and development or delivering any design
development model or prototype of any such equipment. Additionally, sale of catalog or standard commercial items
are exempt from this requirement.</t>
        </is>
      </c>
      <c r="D134" s="13" t="inlineStr">
        <is>
          <t>TECHNICAL</t>
        </is>
      </c>
      <c r="E134" s="13" t="inlineStr">
        <is>
          <t>C</t>
        </is>
      </c>
      <c r="F134" s="13" t="inlineStr">
        <is>
          <t>Mandatory</t>
        </is>
      </c>
      <c r="G134" s="13" t="n">
        <v>44</v>
      </c>
      <c r="H134" s="13" t="inlineStr"/>
      <c r="I134" s="13" t="inlineStr"/>
    </row>
    <row r="135">
      <c r="A135" s="13" t="inlineStr">
        <is>
          <t>TW-C-0090</t>
        </is>
      </c>
      <c r="B135" s="13" t="inlineStr">
        <is>
          <t>C.27</t>
        </is>
      </c>
      <c r="C135" s="14" t="inlineStr">
        <is>
          <t>The Contractor shall include this requirement in subcontracts of any tier which involve access to information or
situations/conditions covered by the preceding paragraphs, substituting "subcontractor" for "contractor" where</t>
        </is>
      </c>
      <c r="D135" s="13" t="inlineStr">
        <is>
          <t>TECHNICAL</t>
        </is>
      </c>
      <c r="E135" s="13" t="inlineStr">
        <is>
          <t>C</t>
        </is>
      </c>
      <c r="F135" s="13" t="inlineStr">
        <is>
          <t>Mandatory</t>
        </is>
      </c>
      <c r="G135" s="13" t="n">
        <v>44</v>
      </c>
      <c r="H135" s="13" t="inlineStr"/>
      <c r="I135" s="13" t="inlineStr"/>
    </row>
    <row r="136">
      <c r="A136" s="13" t="inlineStr">
        <is>
          <t>TW-C-0092</t>
        </is>
      </c>
      <c r="B136" s="13" t="inlineStr">
        <is>
          <t>C.27</t>
        </is>
      </c>
      <c r="C136" s="14" t="inlineStr">
        <is>
          <t>N0017826R30020003 - FINAL
Page 66 of 114
compensation for such excess work. All other effort is defined as compensated effort. If no effort is indicated in the
first sentence of this paragraph, uncompensated effort performed by the Contractor shall not be counted in
fulfillment of the level of effort obligations under this contract.</t>
        </is>
      </c>
      <c r="D136" s="13" t="inlineStr">
        <is>
          <t>TECHNICAL</t>
        </is>
      </c>
      <c r="E136" s="13" t="inlineStr">
        <is>
          <t>C</t>
        </is>
      </c>
      <c r="F136" s="13" t="inlineStr">
        <is>
          <t>Mandatory</t>
        </is>
      </c>
      <c r="G136" s="13" t="n">
        <v>44</v>
      </c>
      <c r="H136" s="13" t="inlineStr"/>
      <c r="I136" s="13" t="inlineStr"/>
    </row>
    <row r="137">
      <c r="A137" s="13" t="inlineStr">
        <is>
          <t>TW-C-0093</t>
        </is>
      </c>
      <c r="B137" s="13" t="inlineStr">
        <is>
          <t>C.27</t>
        </is>
      </c>
      <c r="C137" s="14" t="inlineStr">
        <is>
          <t>Effort performed in fulfilling the total level of effort obligations specified in Section B shall only include effort
performed in direct support of this contract and shall not include time and effort expended on such things as local
travel to and from an employee's usual work location, uncompensated effort while on travel status, truncated lunch
periods, work (actual or inferred) at an employee's residence or other non-work locations (except as provided in
paragraph (i) below), or other time and effort which does not have a specific and direct contribution to the tasks
described in Sections B and C.</t>
        </is>
      </c>
      <c r="D137" s="13" t="inlineStr">
        <is>
          <t>TECHNICAL</t>
        </is>
      </c>
      <c r="E137" s="13" t="inlineStr">
        <is>
          <t>C</t>
        </is>
      </c>
      <c r="F137" s="13" t="inlineStr">
        <is>
          <t>Mandatory</t>
        </is>
      </c>
      <c r="G137" s="13" t="n">
        <v>44</v>
      </c>
      <c r="H137" s="13" t="inlineStr"/>
      <c r="I137" s="13" t="inlineStr">
        <is>
          <t>Section B</t>
        </is>
      </c>
    </row>
    <row r="138">
      <c r="A138" s="13" t="inlineStr">
        <is>
          <t>TW-C-0094</t>
        </is>
      </c>
      <c r="B138" s="13" t="inlineStr">
        <is>
          <t>C.27</t>
        </is>
      </c>
      <c r="C138" s="14" t="inlineStr">
        <is>
          <t>The level of effort for this contract shall be expended at an average rate of approximately ______(Offeror to
fill-in) hours per week. It is understood and agreed that the rate of man-hours per week may fluctuate in pursuit of
the technical objective, provided such fluctuation does not result in the use of the total man-hours of effort prior to
the expiration of the term hereof, except as provided in the following paragraphs.</t>
        </is>
      </c>
      <c r="D138" s="13" t="inlineStr">
        <is>
          <t>TECHNICAL</t>
        </is>
      </c>
      <c r="E138" s="13" t="inlineStr">
        <is>
          <t>C</t>
        </is>
      </c>
      <c r="F138" s="13" t="inlineStr">
        <is>
          <t>Mandatory</t>
        </is>
      </c>
      <c r="G138" s="13" t="n">
        <v>44</v>
      </c>
      <c r="H138" s="13" t="inlineStr"/>
      <c r="I138" s="13" t="inlineStr"/>
    </row>
    <row r="139">
      <c r="A139" s="13" t="inlineStr">
        <is>
          <t>TW-C-0095</t>
        </is>
      </c>
      <c r="B139" s="13" t="inlineStr">
        <is>
          <t>C.27</t>
        </is>
      </c>
      <c r="C139" s="14" t="inlineStr">
        <is>
          <t>If, during the term hereof, the Contractor finds it necessary to accelerate the expenditure of direct labor to such an
extent that the total man-hours of effort specified in Section B would be used prior to the expiration of the term, the
Contractor shall notify the Contracting Officer in writing setting forth the acceleration required; the probable benefits
which would result; an offer to undertake the acceleration at no increase in the estimated cost or fee; and an offer for
the additional man-hours to cover the remainder of the term to include a proposed level of effort, cost breakdown,
and proposed fee, for continuation of the work until expiration of the term. The offer shall acknowledge that the
additional man-hours proposed will be subject to the terms and conditions of this contract and any additions or
changes required by then current law, regulations, or directives, and that the offer, with a written notice of acceptance
by the Contracting Officer, shall constitute a binding contract. The Contractor shall not accelerate any effort until
receipt of a signed contract modification by the Contracting Officer. Any agreement to accelerate will be formalized
by contract modification.</t>
        </is>
      </c>
      <c r="D139" s="13" t="inlineStr">
        <is>
          <t>TECHNICAL</t>
        </is>
      </c>
      <c r="E139" s="13" t="inlineStr">
        <is>
          <t>C</t>
        </is>
      </c>
      <c r="F139" s="13" t="inlineStr">
        <is>
          <t>Mandatory</t>
        </is>
      </c>
      <c r="G139" s="13" t="n">
        <v>44</v>
      </c>
      <c r="H139" s="13" t="inlineStr"/>
      <c r="I139" s="13" t="inlineStr">
        <is>
          <t>Section B</t>
        </is>
      </c>
    </row>
    <row r="140">
      <c r="A140" s="13" t="inlineStr">
        <is>
          <t>TW-C-0096</t>
        </is>
      </c>
      <c r="B140" s="13" t="inlineStr">
        <is>
          <t>C.27</t>
        </is>
      </c>
      <c r="C140" s="14" t="inlineStr">
        <is>
          <t>The Contracting Officer may, by written order, direct the Contractor to accelerate the expenditure of direct labor
such that the total man-hours of effort specified in Section B would be used prior to the expiration of the term. This
order shall specify the acceleration required and the resulting revised term. The Contractor shall acknowledge this
order within five days of receipt.</t>
        </is>
      </c>
      <c r="D140" s="13" t="inlineStr">
        <is>
          <t>TECHNICAL</t>
        </is>
      </c>
      <c r="E140" s="13" t="inlineStr">
        <is>
          <t>C</t>
        </is>
      </c>
      <c r="F140" s="13" t="inlineStr">
        <is>
          <t>Mandatory</t>
        </is>
      </c>
      <c r="G140" s="13" t="n">
        <v>44</v>
      </c>
      <c r="H140" s="13" t="inlineStr"/>
      <c r="I140" s="13" t="inlineStr">
        <is>
          <t>Section B</t>
        </is>
      </c>
    </row>
    <row r="141">
      <c r="A141" s="13" t="inlineStr">
        <is>
          <t>TW-C-0097</t>
        </is>
      </c>
      <c r="B141" s="13" t="inlineStr">
        <is>
          <t>C.27</t>
        </is>
      </c>
      <c r="C141" s="14" t="inlineStr">
        <is>
          <t>The Contractor shall provide and maintain an accounting system, determined adequate by the Administrative
Contracting Officer, which collects costs incurred and effort (compensated and uncompensated, if any) provided in
fulfillment of the level of effort obligations of this contract. The Contractor shall indicate on each invoice the total
level of effort claimed during the period covered by the invoice, separately identifying compensated effort and
uncompensated effort, if any.</t>
        </is>
      </c>
      <c r="D141" s="13" t="inlineStr">
        <is>
          <t>TECHNICAL</t>
        </is>
      </c>
      <c r="E141" s="13" t="inlineStr">
        <is>
          <t>C</t>
        </is>
      </c>
      <c r="F141" s="13" t="inlineStr">
        <is>
          <t>Mandatory</t>
        </is>
      </c>
      <c r="G141" s="13" t="n">
        <v>44</v>
      </c>
      <c r="H141" s="13" t="inlineStr"/>
      <c r="I141" s="13" t="inlineStr"/>
    </row>
    <row r="142">
      <c r="A142" s="13" t="inlineStr">
        <is>
          <t>TW-C-0098</t>
        </is>
      </c>
      <c r="B142" s="13" t="inlineStr">
        <is>
          <t>C.27</t>
        </is>
      </c>
      <c r="C142" s="14" t="inlineStr">
        <is>
          <t>Within 45 days after completion of the work under each separately identified period of performance hereunder,
the Contractor shall submit the following information in writing to the 
Contracting Officer with copies to the cognizant Contract Administration Office and to the Defense Contract Audit
Agency office to which vouchers are submitted: (1) the total number of man-hours of direct labor expended during
the applicable period that separately identifies compensated and uncompensated hours; (2) a breakdown of this
compensated total showing the number of man-hours expended in each direct labor classification and associated
direct and indirect costs; (3) a breakdown of other costs incurred; and (4) the Contractor's estimate of the total
allowable cost incurred under the contract for the period. Additionally, in the case of a cost underrun the Contractor
shall submit the amount by which the estimated cost of this contract may be reduced to recover excess funds. All
submissions shall include subcontractor information.</t>
        </is>
      </c>
      <c r="D142" s="13" t="inlineStr">
        <is>
          <t>TECHNICAL</t>
        </is>
      </c>
      <c r="E142" s="13" t="inlineStr">
        <is>
          <t>C</t>
        </is>
      </c>
      <c r="F142" s="13" t="inlineStr">
        <is>
          <t>Mandatory</t>
        </is>
      </c>
      <c r="G142" s="13" t="n">
        <v>44</v>
      </c>
      <c r="H142" s="13" t="inlineStr"/>
      <c r="I142" s="13" t="inlineStr"/>
    </row>
    <row r="143">
      <c r="A143" s="13" t="inlineStr">
        <is>
          <t>TW-C-0099</t>
        </is>
      </c>
      <c r="B143" s="13" t="inlineStr">
        <is>
          <t>C.27</t>
        </is>
      </c>
      <c r="C143" s="14" t="inlineStr">
        <is>
          <t>Unless the Contracting Officer determines that alternative worksite arrangements are detrimental to contract
performance, the Contractor may perform up to 40% of the hours at an alternative worksite, provided the Contractor
has a company-approved alternative worksite plan. The primary worksite is the traditional “main office” worksite.
An alternative worksite means an employee’ s residence or a telecommuting center. A telecommuting center is a
geographically convenient office setting as an alternative to an employee’ s main office. The Government reserves the
right to review the Contractor’ s alternative worksite plan. In the event performance becomes unacceptable, the
Contractor will be prohibited from counting the hours performed at the alternative worksite in fulfilling the total
level of effort obligations of the contract. Regardless of work location, all contract terms and conditions, including
security requirements and labor laws, remain in effect. The Government shall not incur any additional cost nor
provide additional equipment for contract performance as a result of the Contractor’ s election to implement an
alternative worksite plan.</t>
        </is>
      </c>
      <c r="D143" s="13" t="inlineStr">
        <is>
          <t>TECHNICAL</t>
        </is>
      </c>
      <c r="E143" s="13" t="inlineStr">
        <is>
          <t>C</t>
        </is>
      </c>
      <c r="F143" s="13" t="inlineStr">
        <is>
          <t>Mandatory</t>
        </is>
      </c>
      <c r="G143" s="13" t="n">
        <v>44</v>
      </c>
      <c r="H143" s="13" t="inlineStr"/>
      <c r="I143" s="13" t="inlineStr"/>
    </row>
    <row r="144">
      <c r="A144" s="13" t="inlineStr">
        <is>
          <t>TW-C-0100</t>
        </is>
      </c>
      <c r="B144" s="13" t="inlineStr">
        <is>
          <t>C.27</t>
        </is>
      </c>
      <c r="C144" s="14" t="inlineStr">
        <is>
          <t>Notwithstanding any of the provisions in the above paragraphs and subject to the Limitation of Funds or
Limitation of Cost clauses, as applicable, the period of performance may be extended at the discretion of the
Contracting Officer, and the estimated cost may be increased in order to permit the Contractor to provide all of the
man-hours listed in Section B. The contractor shall continue to be paid fee for each man-hour performed in
accordance with the terms of the contract.
H-223-N001 INFORMATION ON EXPOSURE TO HAZARDOUS MATERIAL (NA VSEA) (JUL 2024)
Per 29 CFR 1910.1200, Hazard Communication, you, as a contractor employer with employees working at a
Government facility, are hereby informed of the hazardous materials used at the Government facility which your
employees may be exposed to while working here and also to suggest appropriate protective measures.  Your own
responsibilities as an employer, if any, are given in 29 CFR 1910.1200.</t>
        </is>
      </c>
      <c r="D144" s="13" t="inlineStr">
        <is>
          <t>TECHNICAL</t>
        </is>
      </c>
      <c r="E144" s="13" t="inlineStr">
        <is>
          <t>C</t>
        </is>
      </c>
      <c r="F144" s="13" t="inlineStr">
        <is>
          <t>Mandatory</t>
        </is>
      </c>
      <c r="G144" s="13" t="n">
        <v>44</v>
      </c>
      <c r="H144" s="13" t="inlineStr"/>
      <c r="I144" s="13" t="inlineStr">
        <is>
          <t>Section B</t>
        </is>
      </c>
    </row>
    <row r="145">
      <c r="A145" s="13" t="inlineStr">
        <is>
          <t>TW-C-0101</t>
        </is>
      </c>
      <c r="B145" s="13" t="inlineStr">
        <is>
          <t>C.27</t>
        </is>
      </c>
      <c r="C145" s="14" t="inlineStr">
        <is>
          <t>Hazardous materials your employees may be exposed to.  Hazardous materials are materials which are cancer
causing agents, toxic or highly toxic agents, reproductive toxins, irritants, corrosives, sensitizers, liver toxins, kidney
toxins, agents which act on the blood forming system, and agents which damage the lungs, skins, eyes or mucous</t>
        </is>
      </c>
      <c r="D145" s="13" t="inlineStr">
        <is>
          <t>TECHNICAL</t>
        </is>
      </c>
      <c r="E145" s="13" t="inlineStr">
        <is>
          <t>C</t>
        </is>
      </c>
      <c r="F145" s="13" t="inlineStr">
        <is>
          <t>Desirable</t>
        </is>
      </c>
      <c r="G145" s="13" t="n">
        <v>44</v>
      </c>
      <c r="H145" s="13" t="inlineStr"/>
      <c r="I145" s="13" t="inlineStr"/>
    </row>
    <row r="146">
      <c r="A146" s="13" t="inlineStr">
        <is>
          <t>TW-C-0102</t>
        </is>
      </c>
      <c r="B146" s="13" t="inlineStr">
        <is>
          <t>C.27</t>
        </is>
      </c>
      <c r="C146" s="14" t="inlineStr">
        <is>
          <t>There are many potentially hazardous chemicals present at the Government facility which, unless
controlled properly, could present a safety and health problem.  The presence of many potentially hazardous
materials may be apparent from the manufacturer’ s warning label on the hazardous material containers.  The
presence of many potentially hazardous materials may also be apparent due to their physical characteristics, such as
the visual appearance of abrasive blasting dust or the distinctive smell of many solvents. These hazardous materials
range in type and quantity.  Typical hazardous materials include, but are not limited to:</t>
        </is>
      </c>
      <c r="D146" s="13" t="inlineStr">
        <is>
          <t>TECHNICAL</t>
        </is>
      </c>
      <c r="E146" s="13" t="inlineStr">
        <is>
          <t>C</t>
        </is>
      </c>
      <c r="F146" s="13" t="inlineStr">
        <is>
          <t>Desirable</t>
        </is>
      </c>
      <c r="G146" s="13" t="n">
        <v>44</v>
      </c>
      <c r="H146" s="13" t="inlineStr"/>
      <c r="I146" s="13" t="inlineStr"/>
    </row>
    <row r="147">
      <c r="A147" s="13" t="inlineStr">
        <is>
          <t>TW-C-0103</t>
        </is>
      </c>
      <c r="B147" s="13" t="inlineStr">
        <is>
          <t>C.27</t>
        </is>
      </c>
      <c r="C147" s="14" t="inlineStr">
        <is>
          <t>Depending on the material involved, materials such as these can present physical hazards and or health hazards.</t>
        </is>
      </c>
      <c r="D147" s="13" t="inlineStr">
        <is>
          <t>TECHNICAL</t>
        </is>
      </c>
      <c r="E147" s="13" t="inlineStr">
        <is>
          <t>C</t>
        </is>
      </c>
      <c r="F147" s="13" t="inlineStr">
        <is>
          <t>Desirable</t>
        </is>
      </c>
      <c r="G147" s="13" t="n">
        <v>44</v>
      </c>
      <c r="H147" s="13" t="inlineStr"/>
      <c r="I147" s="13" t="inlineStr"/>
    </row>
    <row r="148">
      <c r="A148" s="13" t="inlineStr">
        <is>
          <t>TW-C-0104</t>
        </is>
      </c>
      <c r="B148" s="13" t="inlineStr">
        <is>
          <t>C.27</t>
        </is>
      </c>
      <c r="C148" s="14" t="inlineStr">
        <is>
          <t>Labeling of Hazardous Material.  Containers of potentially hazardous chemicals bear manufacturer’ s labeling,
which identifies the chemical and it manufacturer, and provides appropriate hazard warnings.  In addition, some
materials may be labeled with the National Protection Association (NFPA) 704 label.  This label uses a system of
color coded symbols and numbers to convey the potential hazard of the material.  The contractor should obtain
information from NFPA concerning the interpretation of the 704 label.</t>
        </is>
      </c>
      <c r="D148" s="13" t="inlineStr">
        <is>
          <t>TECHNICAL</t>
        </is>
      </c>
      <c r="E148" s="13" t="inlineStr">
        <is>
          <t>C</t>
        </is>
      </c>
      <c r="F148" s="13" t="inlineStr">
        <is>
          <t>Highly Desirable</t>
        </is>
      </c>
      <c r="G148" s="13" t="n">
        <v>44</v>
      </c>
      <c r="H148" s="13" t="inlineStr"/>
      <c r="I148" s="13" t="inlineStr"/>
    </row>
    <row r="149">
      <c r="A149" s="13" t="inlineStr">
        <is>
          <t>TW-C-0105</t>
        </is>
      </c>
      <c r="B149" s="13" t="inlineStr">
        <is>
          <t>C.27</t>
        </is>
      </c>
      <c r="C149" s="14" t="inlineStr">
        <is>
          <t>Safety Data Sheets (SDS).  The Safety Office maintains copies of manufacturers’ SDS for potentially hazardous
chemicals/materials that are known to be present in the Government facility.  The contractor may, upon request to the
Safety Office, review SDS for any specific materials to which contractor employees may be exposed while
performing work in the Government facility.  This information may be reviewed in the Safety Office.</t>
        </is>
      </c>
      <c r="D149" s="13" t="inlineStr">
        <is>
          <t>TECHNICAL</t>
        </is>
      </c>
      <c r="E149" s="13" t="inlineStr">
        <is>
          <t>C</t>
        </is>
      </c>
      <c r="F149" s="13" t="inlineStr">
        <is>
          <t>Desirable</t>
        </is>
      </c>
      <c r="G149" s="13" t="n">
        <v>44</v>
      </c>
      <c r="H149" s="13" t="inlineStr"/>
      <c r="I149" s="13" t="inlineStr"/>
    </row>
    <row r="150">
      <c r="A150" s="13" t="inlineStr">
        <is>
          <t>TW-C-0106</t>
        </is>
      </c>
      <c r="B150" s="13" t="inlineStr">
        <is>
          <t>C.27</t>
        </is>
      </c>
      <c r="C150" s="14" t="inlineStr">
        <is>
          <t>Appropriate Protective Measures.  Exposure to potentially hazardous material may occur from inhalation,
ingestion or skin contact with the material: therefore, the following precautions should be taken:</t>
        </is>
      </c>
      <c r="D150" s="13" t="inlineStr">
        <is>
          <t>TECHNICAL</t>
        </is>
      </c>
      <c r="E150" s="13" t="inlineStr">
        <is>
          <t>C</t>
        </is>
      </c>
      <c r="F150" s="13" t="inlineStr">
        <is>
          <t>Highly Desirable</t>
        </is>
      </c>
      <c r="G150" s="13" t="n">
        <v>44</v>
      </c>
      <c r="H150" s="13" t="inlineStr"/>
      <c r="I150" s="13" t="inlineStr"/>
    </row>
    <row r="151">
      <c r="A151" s="13" t="inlineStr">
        <is>
          <t>TW-C-0107</t>
        </is>
      </c>
      <c r="B151" s="13" t="inlineStr">
        <is>
          <t>C.27</t>
        </is>
      </c>
      <c r="C151" s="14" t="inlineStr">
        <is>
          <t>N0017826R30020003 - FINAL
Page 69 of 114
CLAUSE TITLE DATE
52.204-8 ANNUAL REPRESENTATIONS AND CERTIFICATIONS
(DEVIATION 2025- O0004) MAR 2025
52.204-18 COMMERCIAL AND GOVERNMENT ENTITY CODE
MAINTENANCE  AUG 2020
52.204-21 BASIC SAFEGUARDING OF COVERED CONTRACTOR
INFORMATION SYSTEMS NOV 2021
52.204-23
PROHIBITION ON CONTRACTING FOR HARDWARE, SOFTWARE,
AND SERVICES DEVELOPED OR PROVIDED BY KAPERSKY LAB
COVERED ENTITIES 
DEC 2023
52.204-27 PROHIBITION ON A BYTEDANCE COVERED APPLICATION JUN 2023
52.210-1 MARKET RESEARCH NOV 2021
52.219-6 NOTICE OF TOTAL SMALL BUSINESS SET-ASIDE NOV 2020
52.219-14 LIMITATIONS ON SUBCONTRACTING (DEVIATION 2021-O0008) SEP 2021
52.222-40 NOTIFICATION OF EMPLOYEE RIGHTS UNDER THE NATIONAL
LABOR RELATIONS ACT DEC 2010
52.222-50 COMBATTING TRAFFICKING IN PERSONS NOV 2021
52.223-5 POLLUTION PREVENTION AND RIGHT-TO-KNOW INFORMATION MAY 2024
52.223-10 WASTE REDUCTION PROGRAM (DEVIATION 2025-O0004) MAR 2025
52.223-23 SUSTAINABLE PRODUCTS AND SERVICES (DEVIATION
2025-O0004) MAR 2025
52.224-3 PRIV ACY TRAINING JAN 2017
52.226-7 DRUG-FREE WORKPLACE MAY 2024
52.226-8 ENCOURAGING CONTRACTOR POLICIES TO BAN TEXT
MESSAGING WHILE DRIVING  MAY 2024
52.232-39 UNENFORCEABILITY OF UNAUTHORIZED OBLIGATIONS JUN 2013
52.232-40 PROVIDING ACCELARATED PAYMENTS TO SMALL BUSINESS
SUBCONTRACTORS MAR 2023
52.237-2 PROTECTION OF GOVERNMENT BUILDINGS, EQUIPMENT AND
VEGETATION APR 1984
52.242-5 PAYMENTS TO SMALL BUSINESS SUBCONTRACTORS JAN 2017
52.244-6 SUBCONTRACTS FOR COMMERCIAL PRODUCTS AND
COMMERCIAL SERVICES (DEVIATION 2025-O0003) MAR 2025
52.245-1 GOVERNMENT PROPERTY SEP 2021
Section I - Contract Clauses
CLAUSES INCORPORATED BY REFERENCE</t>
        </is>
      </c>
      <c r="D151" s="13" t="inlineStr">
        <is>
          <t>TECHNICAL</t>
        </is>
      </c>
      <c r="E151" s="13" t="inlineStr">
        <is>
          <t>C</t>
        </is>
      </c>
      <c r="F151" s="13" t="inlineStr">
        <is>
          <t>Desirable</t>
        </is>
      </c>
      <c r="G151" s="13" t="n">
        <v>44</v>
      </c>
      <c r="H151" s="13" t="inlineStr"/>
      <c r="I151" s="13" t="inlineStr">
        <is>
          <t>Section I</t>
        </is>
      </c>
    </row>
    <row r="152">
      <c r="A152" s="13" t="inlineStr">
        <is>
          <t>TW-C-0108</t>
        </is>
      </c>
      <c r="B152" s="13" t="inlineStr">
        <is>
          <t>C.27</t>
        </is>
      </c>
      <c r="C152" s="14" t="inlineStr">
        <is>
          <t>N0017826R30020003 - FINAL
Page 70 of 114
52.245-9 USE AND CHARGES APR 2012
252.203-7004 DISPLAY OF HOTLINE POSTERS JAN 2023
252.204-7002 PAYMENT FOR CONTRACT LINE OR SUBLINE ITEMS NOT
SEPARATELY PRICED APR 2020
252.204-7012 SAFEGUARDING COVERED DEFENCE INFORMATION AND
CYBER INCIDENT REPORTING (DEVIATION 2024-O0013, REV I) MAY 2024
252.204-7018 PROHIBITION ON THE A VQUISITION OF COVERED DEFENSE
TELECOMMUNICATIONS EQUIPMENT OR SERVICES JAN 2023
252.204-7020 NIST SP 800-171 DOD ASSESSMENT REQUIREMENTS NOV 2023
252.204-7021 CYBERSECURITY MATURITY MODEL CERTIFICATION
REQUIREMENTS  JAN 2023
252.204-7022 EXPEDITING CONTRACT CLOSEOUT MAY 2021
252.222-7002 COMPLIANCE WITH LOCAL LABOR LAWS (OVERSEAS) JUN 1997
252.223-7006 PROHIBITION ON STORAGE, TREATMENT, AND DISPOSAL OF
TOXIC OR HAZARDOUS MATERIALS-BASIC SEP 2014
252.225-7043 ANTITERRORISM/FORCE PROTECTION POLICY FOR DEFENSE
CONTRACTORS OUTSIDE THE UNITED STATES JUN 2015
252.225-7056 PROHIBITION REGARDING BUSINESS OPERATIONS WITH THE
MADURO REGIME JAN 2023
252.225-7060 PROHIBITION ON CERTAIN PROCUREMENTS FROM THE XINJIANG UYGHUR
AUTONOMOUS REGION JUN 2023
252.225-7967 PROHIBITION REGARDING RUSSIAN FOSSIL FUEL BUSINESS
OPERATIONS (DEVIATION 2024-O0006, REVISION 1) FEB 2024
252.225-7972 PROHIBITION ON THE PROCUREMENT OF FOREIGN-MADE
UNMANNED AIRCRAFT SYSTEMS (DEVIATION 2024-O0014) AUG 2024
252.226-7003 DRUG-FREE WORKFORCE AUG 2024
252.232-7008 ASSIGNMENT OF CLAIMS (OVERSEAS) JUN 1997
252.237-7023 CONTINUATION OF ESSENTIAL CONTRACTOR SERVICES OCT 2010
252.239-7000 PROTECTION AGAINST COMPROMISING EMANATIONS OCT 2019
252.239-7001 INFORMATION ASSURANCE CONTRACTOR TRAINING AND
CERTIFICATION JAN 2008
252.239-7016 TELECOMMUNICATIONS SECURITY EQUIPMENT, DEVICES, TECHNIQUES,
AND SERVICES DEC 1991
252.242-7006 ACCOUNTING SYSTEM ADMINISTRATION JAN 2025
252.245-7003 CONTRACTOR PROPERTY MANAGEMENT SYSTEM
ADMINISTRATION JAN 2025
252.245-7005 MANAGEMENT AND REPORTING OF GOVERNMENT PROPERTY JAN 2024
252.246-7007 CONTRACTOR COUNTERFEIT ELECTRONIC PART DETECTION
AND A VOIDANCE SYSTEM JAN 2023
252.246-7008 SOURCES OF ELECTRONIC PARTS JAN 2023</t>
        </is>
      </c>
      <c r="D152" s="13" t="inlineStr">
        <is>
          <t>TECHNICAL</t>
        </is>
      </c>
      <c r="E152" s="13" t="inlineStr">
        <is>
          <t>C</t>
        </is>
      </c>
      <c r="F152" s="13" t="inlineStr">
        <is>
          <t>Desirable</t>
        </is>
      </c>
      <c r="G152" s="13" t="n">
        <v>44</v>
      </c>
      <c r="H152" s="13" t="inlineStr"/>
      <c r="I152" s="13" t="inlineStr"/>
    </row>
    <row r="153">
      <c r="A153" s="13" t="inlineStr">
        <is>
          <t>TW-C-0109</t>
        </is>
      </c>
      <c r="B153" s="13" t="inlineStr">
        <is>
          <t>C.27</t>
        </is>
      </c>
      <c r="C153" s="14" t="inlineStr">
        <is>
          <t>Note:  Regarding 52.244-2 – SUBCONTRACTS (JUN 2020), Sub-contracting arrangement with any firm not
included in the Contractor's basic MAC Contract must be submitted to the basic MAC Contracting Officer for
approval.</t>
        </is>
      </c>
      <c r="D153" s="13" t="inlineStr">
        <is>
          <t>TECHNICAL</t>
        </is>
      </c>
      <c r="E153" s="13" t="inlineStr">
        <is>
          <t>C</t>
        </is>
      </c>
      <c r="F153" s="13" t="inlineStr">
        <is>
          <t>Mandatory</t>
        </is>
      </c>
      <c r="G153" s="13" t="n">
        <v>44</v>
      </c>
      <c r="H153" s="13" t="inlineStr"/>
      <c r="I153" s="13" t="inlineStr"/>
    </row>
    <row r="154">
      <c r="A154" s="13" t="inlineStr">
        <is>
          <t>TW-C-0110</t>
        </is>
      </c>
      <c r="B154" s="13" t="inlineStr">
        <is>
          <t>C.27</t>
        </is>
      </c>
      <c r="C154" s="14"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individual representations and certifications
in the solicitation. The Offeror shall indicate which option applies by checking one of the following boxes:</t>
        </is>
      </c>
      <c r="D154" s="13" t="inlineStr">
        <is>
          <t>TECHNICAL</t>
        </is>
      </c>
      <c r="E154" s="13" t="inlineStr">
        <is>
          <t>C</t>
        </is>
      </c>
      <c r="F154" s="13" t="inlineStr">
        <is>
          <t>Mandatory</t>
        </is>
      </c>
      <c r="G154" s="13" t="n">
        <v>44</v>
      </c>
      <c r="H154" s="13" t="inlineStr"/>
      <c r="I154" s="13" t="inlineStr"/>
    </row>
    <row r="155">
      <c r="A155" s="13" t="inlineStr">
        <is>
          <t>TW-C-0111</t>
        </is>
      </c>
      <c r="B155" s="13" t="inlineStr">
        <is>
          <t>C.27</t>
        </is>
      </c>
      <c r="C155" s="14" t="inlineStr">
        <is>
          <t>52.209-5, Certification Regarding Responsibility Matters. This provision applies to solicitations where
the contract value is expected to exceed the simplified acquisition threshold.</t>
        </is>
      </c>
      <c r="D155" s="13" t="inlineStr">
        <is>
          <t>TECHNICAL</t>
        </is>
      </c>
      <c r="E155" s="13" t="inlineStr">
        <is>
          <t>C</t>
        </is>
      </c>
      <c r="F155" s="13" t="inlineStr">
        <is>
          <t>Highly Desirable</t>
        </is>
      </c>
      <c r="G155" s="13" t="n">
        <v>44</v>
      </c>
      <c r="H155" s="13" t="inlineStr"/>
      <c r="I155" s="13" t="inlineStr"/>
    </row>
    <row r="156">
      <c r="A156" s="13" t="inlineStr">
        <is>
          <t>TW-C-0112</t>
        </is>
      </c>
      <c r="B156" s="13" t="inlineStr">
        <is>
          <t>C.27</t>
        </is>
      </c>
      <c r="C156" s="14" t="inlineStr">
        <is>
          <t>The Contractor shall comply with agency personal identity verification procedures identified in the contract that
implement Homeland Security Presidential Directive-12 (HSPD-12), Office of Management and Budget (OMB)
guidance M-05-24 and Federal Information Processing Standards Publication (FIPS PUB) Number 201.</t>
        </is>
      </c>
      <c r="D156" s="13" t="inlineStr">
        <is>
          <t>TECHNICAL</t>
        </is>
      </c>
      <c r="E156" s="13" t="inlineStr">
        <is>
          <t>C</t>
        </is>
      </c>
      <c r="F156" s="13" t="inlineStr">
        <is>
          <t>Mandatory</t>
        </is>
      </c>
      <c r="G156" s="13" t="n">
        <v>44</v>
      </c>
      <c r="H156" s="13" t="inlineStr"/>
      <c r="I156" s="13" t="inlineStr"/>
    </row>
    <row r="157">
      <c r="A157" s="13" t="inlineStr">
        <is>
          <t>TW-C-0113</t>
        </is>
      </c>
      <c r="B157" s="13" t="inlineStr">
        <is>
          <t>C.27</t>
        </is>
      </c>
      <c r="C157" s="14" t="inlineStr">
        <is>
          <t>The Contractor shall account for all forms of Government-provided identification issued to the Contractor
employees in connection with performance under this contract. The Contractor shall return such identification to the
issuing agency at the earliest of any of the following, unless otherwise determined by the Government:</t>
        </is>
      </c>
      <c r="D157" s="13" t="inlineStr">
        <is>
          <t>TECHNICAL</t>
        </is>
      </c>
      <c r="E157" s="13" t="inlineStr">
        <is>
          <t>C</t>
        </is>
      </c>
      <c r="F157" s="13" t="inlineStr">
        <is>
          <t>Mandatory</t>
        </is>
      </c>
      <c r="G157" s="13" t="n">
        <v>44</v>
      </c>
      <c r="H157" s="13" t="inlineStr"/>
      <c r="I157" s="13" t="inlineStr"/>
    </row>
    <row r="158">
      <c r="A158" s="13" t="inlineStr">
        <is>
          <t>TW-C-0114</t>
        </is>
      </c>
      <c r="B158" s="13" t="inlineStr">
        <is>
          <t>C.27</t>
        </is>
      </c>
      <c r="C158" s="14" t="inlineStr">
        <is>
          <t>The Contracting Officer may delay final payment under a contract if the Contractor fails to comply with these</t>
        </is>
      </c>
      <c r="D158" s="13" t="inlineStr">
        <is>
          <t>TECHNICAL</t>
        </is>
      </c>
      <c r="E158" s="13" t="inlineStr">
        <is>
          <t>C</t>
        </is>
      </c>
      <c r="F158" s="13" t="inlineStr">
        <is>
          <t>Desirable</t>
        </is>
      </c>
      <c r="G158" s="13" t="n">
        <v>44</v>
      </c>
      <c r="H158" s="13" t="inlineStr"/>
      <c r="I158" s="13" t="inlineStr"/>
    </row>
    <row r="159">
      <c r="A159" s="13" t="inlineStr">
        <is>
          <t>TW-C-0115</t>
        </is>
      </c>
      <c r="B159" s="13" t="inlineStr">
        <is>
          <t>C.27</t>
        </is>
      </c>
      <c r="C159" s="14" t="inlineStr">
        <is>
          <t>The Contractor shall insert the substance of this clause, including this paragraph (d), in all subcontracts when the
subcontractor’ s employees are required to have routine physical access to a Federally-controlled facility and/or
routine access to a Federally-controlled information system. It shall be the responsibility of the prime Contractor to
return such identification to the issuing agency in accordance with the terms set forth in paragraph (b) of this section,
unless otherwise approved in writing by the Contracting Officer.
(End of clause)
52.204-25 PROHIBITION ON CONTRACTING FOR CERTAIN TELECOMMUNICATIONS AND VIDEO
SURVEILLANCE SERVICES OR EQUIPMENT (NOV 2021)</t>
        </is>
      </c>
      <c r="D159" s="13" t="inlineStr">
        <is>
          <t>TECHNICAL</t>
        </is>
      </c>
      <c r="E159" s="13" t="inlineStr">
        <is>
          <t>C</t>
        </is>
      </c>
      <c r="F159" s="13" t="inlineStr">
        <is>
          <t>Mandatory</t>
        </is>
      </c>
      <c r="G159" s="13" t="n">
        <v>44</v>
      </c>
      <c r="H159" s="13" t="inlineStr"/>
      <c r="I159" s="13" t="inlineStr"/>
    </row>
    <row r="160">
      <c r="A160" s="13" t="inlineStr">
        <is>
          <t>TW-C-0116</t>
        </is>
      </c>
      <c r="B160" s="13" t="inlineStr">
        <is>
          <t>C.27</t>
        </is>
      </c>
      <c r="C160" s="14" t="inlineStr">
        <is>
          <t>Definitions. As used in this clause—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foreign country means The People’ s Republic of China.
Covered telecommunications equipment or services means–</t>
        </is>
      </c>
      <c r="D160" s="13" t="inlineStr">
        <is>
          <t>TECHNICAL</t>
        </is>
      </c>
      <c r="E160" s="13" t="inlineStr">
        <is>
          <t>C</t>
        </is>
      </c>
      <c r="F160" s="13" t="inlineStr">
        <is>
          <t>Desirable</t>
        </is>
      </c>
      <c r="G160" s="13" t="n">
        <v>44</v>
      </c>
      <c r="H160" s="13" t="inlineStr"/>
      <c r="I160" s="13" t="inlineStr"/>
    </row>
    <row r="161">
      <c r="A161" s="13" t="inlineStr">
        <is>
          <t>TW-C-0117</t>
        </is>
      </c>
      <c r="B161" s="13" t="inlineStr">
        <is>
          <t>C.27</t>
        </is>
      </c>
      <c r="C161" s="14" t="inlineStr">
        <is>
          <t>Reporting requirement. (1) In the event the Contractor identifies covered telecommunications equipment or
services used as a substantial or essential component of any system, or as critical technology as part of any system,
during contract performance, or the Contractor is notified of such by a subcontractor at any tier or by any other
source, the Contractor shall report the information in paragraph (d)(2) of this clause to the Contracting Officer,
unless elsewhere in this contract are established procedures for reporting the information; in the case of the
Department of Defense, the Contractor shall report to the website at https://dibnet.dod.mil.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t>
        </is>
      </c>
      <c r="D161" s="13" t="inlineStr">
        <is>
          <t>TECHNICAL</t>
        </is>
      </c>
      <c r="E161" s="13" t="inlineStr">
        <is>
          <t>C</t>
        </is>
      </c>
      <c r="F161" s="13" t="inlineStr">
        <is>
          <t>Mandatory</t>
        </is>
      </c>
      <c r="G161" s="13" t="n">
        <v>44</v>
      </c>
      <c r="H161" s="13" t="inlineStr"/>
      <c r="I161" s="13" t="inlineStr"/>
    </row>
    <row r="162">
      <c r="A162" s="13" t="inlineStr">
        <is>
          <t>TW-C-0118</t>
        </is>
      </c>
      <c r="B162" s="13" t="inlineStr">
        <is>
          <t>C.27</t>
        </is>
      </c>
      <c r="C162" s="14" t="inlineStr">
        <is>
          <t>The Contractor shall report the following information pursuant to paragraph (d)(1) of this clause</t>
        </is>
      </c>
      <c r="D162" s="13" t="inlineStr">
        <is>
          <t>TECHNICAL</t>
        </is>
      </c>
      <c r="E162" s="13" t="inlineStr">
        <is>
          <t>C</t>
        </is>
      </c>
      <c r="F162" s="13" t="inlineStr">
        <is>
          <t>Mandatory</t>
        </is>
      </c>
      <c r="G162" s="13" t="n">
        <v>44</v>
      </c>
      <c r="H162" s="13" t="inlineStr"/>
      <c r="I162" s="13" t="inlineStr"/>
    </row>
    <row r="163">
      <c r="A163" s="13" t="inlineStr">
        <is>
          <t>TW-C-0119</t>
        </is>
      </c>
      <c r="B163" s="13" t="inlineStr">
        <is>
          <t>C.27</t>
        </is>
      </c>
      <c r="C163" s="14" t="inlineStr">
        <is>
          <t>Within 10 business days of submitting the information in paragraph (d)(2)(i) of this clause: any further available
information about mitigation actions undertaken or recommended. In addition, the Contractor shall describe the
efforts it undertook to prevent use or submission of covered telecommunications equipment or services, and any
additional efforts that will be incorporated to prevent future use or submission of covered telecommunications
equipment or services.</t>
        </is>
      </c>
      <c r="D163" s="13" t="inlineStr">
        <is>
          <t>TECHNICAL</t>
        </is>
      </c>
      <c r="E163" s="13" t="inlineStr">
        <is>
          <t>C</t>
        </is>
      </c>
      <c r="F163" s="13" t="inlineStr">
        <is>
          <t>Mandatory</t>
        </is>
      </c>
      <c r="G163" s="13" t="n">
        <v>44</v>
      </c>
      <c r="H163" s="13" t="inlineStr"/>
      <c r="I163" s="13" t="inlineStr"/>
    </row>
    <row r="164">
      <c r="A164" s="13" t="inlineStr">
        <is>
          <t>TW-C-0120</t>
        </is>
      </c>
      <c r="B164" s="13" t="inlineStr">
        <is>
          <t>C.27</t>
        </is>
      </c>
      <c r="C164" s="14" t="inlineStr">
        <is>
          <t>Subcontracts. The Contractor shall insert the substance of this clause, including this paragraph (e) and excluding
paragraph (b)(2), in all subcontracts and other contractual instruments, including subcontracts for the acquisition of
commercial products or commercial services.
(End of clause)
52.216-32 TASK-ORDER AND DELIVERY-ORDER OMBUDSMAN (SEPT 2019)</t>
        </is>
      </c>
      <c r="D164" s="13" t="inlineStr">
        <is>
          <t>TECHNICAL</t>
        </is>
      </c>
      <c r="E164" s="13" t="inlineStr">
        <is>
          <t>C</t>
        </is>
      </c>
      <c r="F164" s="13" t="inlineStr">
        <is>
          <t>Mandatory</t>
        </is>
      </c>
      <c r="G164" s="13" t="n">
        <v>44</v>
      </c>
      <c r="H164" s="13" t="inlineStr"/>
      <c r="I164" s="13" t="inlineStr"/>
    </row>
    <row r="165">
      <c r="A165" s="13" t="inlineStr">
        <is>
          <t>TW-C-0121</t>
        </is>
      </c>
      <c r="B165" s="13" t="inlineStr">
        <is>
          <t>C.27</t>
        </is>
      </c>
      <c r="C165" s="14" t="inlineStr">
        <is>
          <t>In accordance with 41 U.S.C. 4106(g),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t>
        </is>
      </c>
      <c r="D165" s="13" t="inlineStr">
        <is>
          <t>TECHNICAL</t>
        </is>
      </c>
      <c r="E165" s="13" t="inlineStr">
        <is>
          <t>C</t>
        </is>
      </c>
      <c r="F165" s="13" t="inlineStr">
        <is>
          <t>Mandatory</t>
        </is>
      </c>
      <c r="G165" s="13" t="n">
        <v>44</v>
      </c>
      <c r="H165" s="13" t="inlineStr"/>
      <c r="I165" s="13" t="inlineStr"/>
    </row>
    <row r="166">
      <c r="A166" s="13" t="inlineStr">
        <is>
          <t>TW-C-0122</t>
        </is>
      </c>
      <c r="B166" s="13" t="inlineStr">
        <is>
          <t>C.27</t>
        </is>
      </c>
      <c r="C166" s="14" t="inlineStr">
        <is>
          <t>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
52.217-9 OPTION TO EXTEND THE TERM OF THE CONTRACT (MAR 2000) (NA VSEA V ARIATION I)
(OCT 2018)</t>
        </is>
      </c>
      <c r="D166" s="13" t="inlineStr">
        <is>
          <t>TECHNICAL</t>
        </is>
      </c>
      <c r="E166" s="13" t="inlineStr">
        <is>
          <t>C</t>
        </is>
      </c>
      <c r="F166" s="13" t="inlineStr">
        <is>
          <t>Desirable</t>
        </is>
      </c>
      <c r="G166" s="13" t="n">
        <v>44</v>
      </c>
      <c r="H166" s="13" t="inlineStr"/>
      <c r="I166" s="13" t="inlineStr"/>
    </row>
    <row r="167">
      <c r="A167" s="13" t="inlineStr">
        <is>
          <t>TW-C-0123</t>
        </is>
      </c>
      <c r="B167" s="13" t="inlineStr">
        <is>
          <t>C.27</t>
        </is>
      </c>
      <c r="C167" s="14" t="inlineStr">
        <is>
          <t>The Government may extend the term of this Contract by written notice(s) to the Contractor within the periods
specified below. If more than one option exists, the Government has the right to unilaterally exercise any such option
whether or not it has exercised other options. 
CLINs LATEST OPTION EXERCISE DATE
6050, 6100, 7100, 8100 No later than twelve (12) months after the Task Order PoP start</t>
        </is>
      </c>
      <c r="D167" s="13" t="inlineStr">
        <is>
          <t>TECHNICAL</t>
        </is>
      </c>
      <c r="E167" s="13" t="inlineStr">
        <is>
          <t>C</t>
        </is>
      </c>
      <c r="F167" s="13" t="inlineStr">
        <is>
          <t>Desirable</t>
        </is>
      </c>
      <c r="G167" s="13" t="n">
        <v>44</v>
      </c>
      <c r="H167" s="13" t="inlineStr"/>
      <c r="I167" s="13" t="inlineStr"/>
    </row>
    <row r="168">
      <c r="A168" s="13" t="inlineStr">
        <is>
          <t>TW-C-0124</t>
        </is>
      </c>
      <c r="B168" s="13" t="inlineStr">
        <is>
          <t>C.27</t>
        </is>
      </c>
      <c r="C168" s="14" t="inlineStr">
        <is>
          <t>If the Government exercises this option, the extended Task Order shall be considered to include this option</t>
        </is>
      </c>
      <c r="D168" s="13" t="inlineStr">
        <is>
          <t>TECHNICAL</t>
        </is>
      </c>
      <c r="E168" s="13" t="inlineStr">
        <is>
          <t>C</t>
        </is>
      </c>
      <c r="F168" s="13" t="inlineStr">
        <is>
          <t>Mandatory</t>
        </is>
      </c>
      <c r="G168" s="13" t="n">
        <v>44</v>
      </c>
      <c r="H168" s="13" t="inlineStr"/>
      <c r="I168" s="13" t="inlineStr"/>
    </row>
    <row r="169">
      <c r="A169" s="13" t="inlineStr">
        <is>
          <t>TW-C-0125</t>
        </is>
      </c>
      <c r="B169" s="13" t="inlineStr">
        <is>
          <t>C.27</t>
        </is>
      </c>
      <c r="C169" s="14" t="inlineStr">
        <is>
          <t>The total duration of this Contract, including the exercise of any option(s) under this clause, shall not exceed five</t>
        </is>
      </c>
      <c r="D169" s="13" t="inlineStr">
        <is>
          <t>TECHNICAL</t>
        </is>
      </c>
      <c r="E169" s="13" t="inlineStr">
        <is>
          <t>C</t>
        </is>
      </c>
      <c r="F169" s="13" t="inlineStr">
        <is>
          <t>Mandatory</t>
        </is>
      </c>
      <c r="G169" s="13" t="n">
        <v>44</v>
      </c>
      <c r="H169" s="13" t="inlineStr"/>
      <c r="I169" s="13" t="inlineStr"/>
    </row>
    <row r="170">
      <c r="A170" s="13" t="inlineStr">
        <is>
          <t>TW-C-0126</t>
        </is>
      </c>
      <c r="B170" s="13" t="inlineStr">
        <is>
          <t>C.27</t>
        </is>
      </c>
      <c r="C170" s="14" t="inlineStr">
        <is>
          <t>years, however, in accordance with Paragraph (j) of the requirement of this Contract entitled "Level of Effort –
Alternate I", if the total man-hours delineated in Paragraph (a) of the Level of Effort requirement, have not been
expended within the period specified above, the Government may require the Contractor to continue to perform the
work until the total number of man-hours specified in Paragraph (a) of the aforementioned requirement have been</t>
        </is>
      </c>
      <c r="D170" s="13" t="inlineStr">
        <is>
          <t>TECHNICAL</t>
        </is>
      </c>
      <c r="E170" s="13" t="inlineStr">
        <is>
          <t>C</t>
        </is>
      </c>
      <c r="F170" s="13" t="inlineStr">
        <is>
          <t>Desirable</t>
        </is>
      </c>
      <c r="G170" s="13" t="n">
        <v>44</v>
      </c>
      <c r="H170" s="13" t="inlineStr"/>
      <c r="I170" s="13" t="inlineStr"/>
    </row>
    <row r="171">
      <c r="A171" s="13" t="inlineStr">
        <is>
          <t>TW-C-0127</t>
        </is>
      </c>
      <c r="B171" s="13" t="inlineStr">
        <is>
          <t>C.27</t>
        </is>
      </c>
      <c r="C171" s="14" t="inlineStr">
        <is>
          <t>Any request for estimated overtime premiums that exceeds the amount specified above shall include all estimated
overtime for contract completion and shall –</t>
        </is>
      </c>
      <c r="D171" s="13" t="inlineStr">
        <is>
          <t>TECHNICAL</t>
        </is>
      </c>
      <c r="E171" s="13" t="inlineStr">
        <is>
          <t>C</t>
        </is>
      </c>
      <c r="F171" s="13" t="inlineStr">
        <is>
          <t>Mandatory</t>
        </is>
      </c>
      <c r="G171" s="13" t="n">
        <v>44</v>
      </c>
      <c r="H171" s="13" t="inlineStr"/>
      <c r="I171" s="13" t="inlineStr"/>
    </row>
    <row r="172">
      <c r="A172" s="13" t="inlineStr">
        <is>
          <t>TW-C-0128</t>
        </is>
      </c>
      <c r="B172" s="13" t="inlineStr">
        <is>
          <t>C.27</t>
        </is>
      </c>
      <c r="C172" s="14" t="inlineStr">
        <is>
          <t>Definitions.
"Contracting Officer," as used in this clause, does not include any representative of the Contracting Officer.
"Specifically Authorized Representative (SAR)," as used in this clause, means any person the Contracting Officer
has so designated by written notice (a copy of which shall be provided to the Contractor) which shall refer to this
subparagraph and shall be issued to the designated representative before the SAR exercises such authority.</t>
        </is>
      </c>
      <c r="D172" s="13" t="inlineStr">
        <is>
          <t>TECHNICAL</t>
        </is>
      </c>
      <c r="E172" s="13" t="inlineStr">
        <is>
          <t>C</t>
        </is>
      </c>
      <c r="F172" s="13" t="inlineStr">
        <is>
          <t>Mandatory</t>
        </is>
      </c>
      <c r="G172" s="13" t="n">
        <v>44</v>
      </c>
      <c r="H172" s="13" t="inlineStr"/>
      <c r="I172" s="13" t="inlineStr"/>
    </row>
    <row r="173">
      <c r="A173" s="13" t="inlineStr">
        <is>
          <t>TW-C-0129</t>
        </is>
      </c>
      <c r="B173" s="13" t="inlineStr">
        <is>
          <t>C.27</t>
        </is>
      </c>
      <c r="C173" s="14" t="inlineStr">
        <is>
          <t>Notice. The primary purpose of this clause is to obtain prompt reporting of Government conduct that the
Contractor considers to constitute a change to this contract. Except for changes identified as such in writing and
signed by the Contracting Officer, the Contractor shall notify the Administrative Contracting Officer in writing,
within 14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t>
        </is>
      </c>
      <c r="D173" s="13" t="inlineStr">
        <is>
          <t>TECHNICAL</t>
        </is>
      </c>
      <c r="E173" s="13" t="inlineStr">
        <is>
          <t>C</t>
        </is>
      </c>
      <c r="F173" s="13" t="inlineStr">
        <is>
          <t>Mandatory</t>
        </is>
      </c>
      <c r="G173" s="13" t="n">
        <v>44</v>
      </c>
      <c r="H173" s="13" t="inlineStr"/>
      <c r="I173" s="13" t="inlineStr"/>
    </row>
    <row r="174">
      <c r="A174" s="13" t="inlineStr">
        <is>
          <t>TW-C-0130</t>
        </is>
      </c>
      <c r="B174" s="13" t="inlineStr">
        <is>
          <t>C.27</t>
        </is>
      </c>
      <c r="C174" s="14" t="inlineStr">
        <is>
          <t>The particular elements of contract performance for which the Contractor may seek an equitable adjustment</t>
        </is>
      </c>
      <c r="D174" s="13" t="inlineStr">
        <is>
          <t>TECHNICAL</t>
        </is>
      </c>
      <c r="E174" s="13" t="inlineStr">
        <is>
          <t>C</t>
        </is>
      </c>
      <c r="F174" s="13" t="inlineStr">
        <is>
          <t>Desirable</t>
        </is>
      </c>
      <c r="G174" s="13" t="n">
        <v>44</v>
      </c>
      <c r="H174" s="13" t="inlineStr"/>
      <c r="I174" s="13" t="inlineStr"/>
    </row>
    <row r="175">
      <c r="A175" s="13" t="inlineStr">
        <is>
          <t>TW-C-0131</t>
        </is>
      </c>
      <c r="B175" s="13" t="inlineStr">
        <is>
          <t>C.27</t>
        </is>
      </c>
      <c r="C175" s="14" t="inlineStr">
        <is>
          <t>What line items have been or may be affected by the alleged change;</t>
        </is>
      </c>
      <c r="D175" s="13" t="inlineStr">
        <is>
          <t>TECHNICAL</t>
        </is>
      </c>
      <c r="E175" s="13" t="inlineStr">
        <is>
          <t>C</t>
        </is>
      </c>
      <c r="F175" s="13" t="inlineStr">
        <is>
          <t>Desirable</t>
        </is>
      </c>
      <c r="G175" s="13" t="n">
        <v>44</v>
      </c>
      <c r="H175" s="13" t="inlineStr"/>
      <c r="I175" s="13" t="inlineStr"/>
    </row>
    <row r="176">
      <c r="A176" s="13" t="inlineStr">
        <is>
          <t>TW-C-0132</t>
        </is>
      </c>
      <c r="B176" s="13" t="inlineStr">
        <is>
          <t>C.27</t>
        </is>
      </c>
      <c r="C176" s="14" t="inlineStr">
        <is>
          <t>What labor or materials or both have been or may be added, deleted, or wasted by the alleged change;</t>
        </is>
      </c>
      <c r="D176" s="13" t="inlineStr">
        <is>
          <t>TECHNICAL</t>
        </is>
      </c>
      <c r="E176" s="13" t="inlineStr">
        <is>
          <t>C</t>
        </is>
      </c>
      <c r="F176" s="13" t="inlineStr">
        <is>
          <t>Desirable</t>
        </is>
      </c>
      <c r="G176" s="13" t="n">
        <v>44</v>
      </c>
      <c r="H176" s="13" t="inlineStr"/>
      <c r="I176" s="13" t="inlineStr"/>
    </row>
    <row r="177">
      <c r="A177" s="13" t="inlineStr">
        <is>
          <t>TW-C-0133</t>
        </is>
      </c>
      <c r="B177" s="13" t="inlineStr">
        <is>
          <t>C.27</t>
        </is>
      </c>
      <c r="C177" s="14" t="inlineStr">
        <is>
          <t>To the extent practicable, what delay and disruption in the manner and sequence of performance and effect on
continued performance have been or may be caused by the alleged change;</t>
        </is>
      </c>
      <c r="D177" s="13" t="inlineStr">
        <is>
          <t>TECHNICAL</t>
        </is>
      </c>
      <c r="E177" s="13" t="inlineStr">
        <is>
          <t>C</t>
        </is>
      </c>
      <c r="F177" s="13" t="inlineStr">
        <is>
          <t>Desirable</t>
        </is>
      </c>
      <c r="G177" s="13" t="n">
        <v>44</v>
      </c>
      <c r="H177" s="13" t="inlineStr"/>
      <c r="I177" s="13" t="inlineStr"/>
    </row>
    <row r="178">
      <c r="A178" s="13" t="inlineStr">
        <is>
          <t>TW-C-0134</t>
        </is>
      </c>
      <c r="B178" s="13" t="inlineStr">
        <is>
          <t>C.27</t>
        </is>
      </c>
      <c r="C178" s="14" t="inlineStr">
        <is>
          <t>The Contractor's estimate of the time by which the Government must respond to the Contractor's notice to
minimize cost, delay or disruption of performance.</t>
        </is>
      </c>
      <c r="D178" s="13" t="inlineStr">
        <is>
          <t>TECHNICAL</t>
        </is>
      </c>
      <c r="E178" s="13" t="inlineStr">
        <is>
          <t>C</t>
        </is>
      </c>
      <c r="F178" s="13" t="inlineStr">
        <is>
          <t>Mandatory</t>
        </is>
      </c>
      <c r="G178" s="13" t="n">
        <v>44</v>
      </c>
      <c r="H178" s="13" t="inlineStr"/>
      <c r="I178" s="13" t="inlineStr"/>
    </row>
    <row r="179">
      <c r="A179" s="13" t="inlineStr">
        <is>
          <t>TW-C-0135</t>
        </is>
      </c>
      <c r="B179" s="13" t="inlineStr">
        <is>
          <t>C.27</t>
        </is>
      </c>
      <c r="C179" s="14" t="inlineStr">
        <is>
          <t>Continued performance. Following submission of the notice required by (b) above,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(b) above, notice
shall be given in the manner provided. All directions, communications, interpretations, orders and similar actions of
the SAR shall be reduced to writing and copies furnished to the Contractor and to the Contracting Officer. The
Contracting Officer shall countermand any action which exceeds the authority of the SAR.</t>
        </is>
      </c>
      <c r="D179" s="13" t="inlineStr">
        <is>
          <t>TECHNICAL</t>
        </is>
      </c>
      <c r="E179" s="13" t="inlineStr">
        <is>
          <t>C</t>
        </is>
      </c>
      <c r="F179" s="13" t="inlineStr">
        <is>
          <t>Mandatory</t>
        </is>
      </c>
      <c r="G179" s="13" t="n">
        <v>44</v>
      </c>
      <c r="H179" s="13" t="inlineStr"/>
      <c r="I179" s="13" t="inlineStr"/>
    </row>
    <row r="180">
      <c r="A180" s="13" t="inlineStr">
        <is>
          <t>TW-C-0136</t>
        </is>
      </c>
      <c r="B180" s="13" t="inlineStr">
        <is>
          <t>C.27</t>
        </is>
      </c>
      <c r="C180" s="14" t="inlineStr">
        <is>
          <t>Government response. The Contracting Officer shall promptly, within 14 calendar days after receipt of notice,
respond to the notice in writing. In responding, the Contracting Officer shall either--</t>
        </is>
      </c>
      <c r="D180" s="13" t="inlineStr">
        <is>
          <t>TECHNICAL</t>
        </is>
      </c>
      <c r="E180" s="13" t="inlineStr">
        <is>
          <t>C</t>
        </is>
      </c>
      <c r="F180" s="13" t="inlineStr">
        <is>
          <t>Mandatory</t>
        </is>
      </c>
      <c r="G180" s="13" t="n">
        <v>44</v>
      </c>
      <c r="H180" s="13" t="inlineStr"/>
      <c r="I180" s="13" t="inlineStr"/>
    </row>
    <row r="181">
      <c r="A181" s="13" t="inlineStr">
        <is>
          <t>TW-C-0137</t>
        </is>
      </c>
      <c r="B181" s="13" t="inlineStr">
        <is>
          <t>C.27</t>
        </is>
      </c>
      <c r="C181" s="14" t="inlineStr">
        <is>
          <t>In the event the Contractor's notice information is inadequate to make a decision under (1), (2), or (3) above,
advise the Contractor what additional information is required, and establish the date by which it should be furnished
and the date thereafter by which the Government will respond.</t>
        </is>
      </c>
      <c r="D181" s="13" t="inlineStr">
        <is>
          <t>TECHNICAL</t>
        </is>
      </c>
      <c r="E181" s="13" t="inlineStr">
        <is>
          <t>C</t>
        </is>
      </c>
      <c r="F181" s="13" t="inlineStr">
        <is>
          <t>Mandatory</t>
        </is>
      </c>
      <c r="G181" s="13" t="n">
        <v>44</v>
      </c>
      <c r="H181" s="13" t="inlineStr"/>
      <c r="I181" s="13" t="inlineStr"/>
    </row>
    <row r="182">
      <c r="A182" s="13" t="inlineStr">
        <is>
          <t>TW-C-0138</t>
        </is>
      </c>
      <c r="B182" s="13" t="inlineStr">
        <is>
          <t>C.27</t>
        </is>
      </c>
      <c r="C182" s="14" t="inlineStr">
        <is>
          <t>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t>
        </is>
      </c>
      <c r="D182" s="13" t="inlineStr">
        <is>
          <t>TECHNICAL</t>
        </is>
      </c>
      <c r="E182" s="13" t="inlineStr">
        <is>
          <t>C</t>
        </is>
      </c>
      <c r="F182" s="13" t="inlineStr">
        <is>
          <t>Mandatory</t>
        </is>
      </c>
      <c r="G182" s="13" t="n">
        <v>44</v>
      </c>
      <c r="H182" s="13" t="inlineStr"/>
      <c r="I182" s="13" t="inlineStr"/>
    </row>
    <row r="183">
      <c r="A183" s="13" t="inlineStr">
        <is>
          <t>TW-C-0139</t>
        </is>
      </c>
      <c r="B183" s="13" t="inlineStr">
        <is>
          <t>C.27</t>
        </is>
      </c>
      <c r="C183" s="14" t="inlineStr">
        <is>
          <t>In such other provisions of the contract as may be affected.</t>
        </is>
      </c>
      <c r="D183" s="13" t="inlineStr">
        <is>
          <t>TECHNICAL</t>
        </is>
      </c>
      <c r="E183" s="13" t="inlineStr">
        <is>
          <t>C</t>
        </is>
      </c>
      <c r="F183" s="13" t="inlineStr">
        <is>
          <t>Desirable</t>
        </is>
      </c>
      <c r="G183" s="13" t="n">
        <v>44</v>
      </c>
      <c r="H183" s="13" t="inlineStr"/>
      <c r="I183" s="13" t="inlineStr"/>
    </row>
    <row r="184">
      <c r="A184" s="13" t="inlineStr">
        <is>
          <t>TW-C-0140</t>
        </is>
      </c>
      <c r="B184" s="13" t="inlineStr">
        <is>
          <t>C.27</t>
        </is>
      </c>
      <c r="C184" s="14" t="inlineStr">
        <is>
          <t>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t>
        </is>
      </c>
      <c r="D184" s="13" t="inlineStr">
        <is>
          <t>TECHNICAL</t>
        </is>
      </c>
      <c r="E184" s="13" t="inlineStr">
        <is>
          <t>C</t>
        </is>
      </c>
      <c r="F184" s="13" t="inlineStr">
        <is>
          <t>Mandatory</t>
        </is>
      </c>
      <c r="G184" s="13" t="n">
        <v>44</v>
      </c>
      <c r="H184" s="13" t="inlineStr"/>
      <c r="I184" s="13" t="inlineStr"/>
    </row>
    <row r="185">
      <c r="A185" s="13" t="inlineStr">
        <is>
          <t>TW-C-0141</t>
        </is>
      </c>
      <c r="B185" s="13" t="inlineStr">
        <is>
          <t>C.27</t>
        </is>
      </c>
      <c r="C185" s="14" t="inlineStr">
        <is>
          <t>N0017826R30020003 - FINAL
Page 80 of 114
disposition of the property. The equitable adjustment shall not include increased costs or time extensions for delay
resulting from the Contractor's failure to provide notice or to continue performance as provided, respectively, in (b)
and (c) above.
Note: The phrases “contract price” and “cost” wherever they appear in the clause, may be appropriately modified to
apply to cost-reimbursement or incentive contracts, or to combinations thereof.
52.244-2 SUBCONTRACTS (JUNE 2020)</t>
        </is>
      </c>
      <c r="D185" s="13" t="inlineStr">
        <is>
          <t>TECHNICAL</t>
        </is>
      </c>
      <c r="E185" s="13" t="inlineStr">
        <is>
          <t>C</t>
        </is>
      </c>
      <c r="F185" s="13" t="inlineStr">
        <is>
          <t>Mandatory</t>
        </is>
      </c>
      <c r="G185" s="13" t="n">
        <v>44</v>
      </c>
      <c r="H185" s="13" t="inlineStr"/>
      <c r="I185" s="13" t="inlineStr"/>
    </row>
    <row r="186">
      <c r="A186" s="13" t="inlineStr">
        <is>
          <t>TW-C-0142</t>
        </is>
      </c>
      <c r="B186" s="13" t="inlineStr">
        <is>
          <t>C.27</t>
        </is>
      </c>
      <c r="C186" s="14" t="inlineStr">
        <is>
          <t>When this clause is included in a fixed-price type contract, consent to subcontract is required only on unpriced
contract actions (including unpriced modifications or unpriced delivery orders), and only if required in accordance
with paragraph (c) or (d) of this clause.</t>
        </is>
      </c>
      <c r="D186" s="13" t="inlineStr">
        <is>
          <t>TECHNICAL</t>
        </is>
      </c>
      <c r="E186" s="13" t="inlineStr">
        <is>
          <t>C</t>
        </is>
      </c>
      <c r="F186" s="13" t="inlineStr">
        <is>
          <t>Mandatory</t>
        </is>
      </c>
      <c r="G186" s="13" t="n">
        <v>44</v>
      </c>
      <c r="H186" s="13" t="inlineStr"/>
      <c r="I186" s="13" t="inlineStr"/>
    </row>
    <row r="187">
      <c r="A187" s="13" t="inlineStr">
        <is>
          <t>TW-C-0143</t>
        </is>
      </c>
      <c r="B187" s="13" t="inlineStr">
        <is>
          <t>C.27</t>
        </is>
      </c>
      <c r="C187" s="14" t="inlineStr">
        <is>
          <t>If the Contractor does not have an approved purchasing system, consent to subcontract is required for any
subcontract that-</t>
        </is>
      </c>
      <c r="D187" s="13" t="inlineStr">
        <is>
          <t>TECHNICAL</t>
        </is>
      </c>
      <c r="E187" s="13" t="inlineStr">
        <is>
          <t>C</t>
        </is>
      </c>
      <c r="F187" s="13" t="inlineStr">
        <is>
          <t>Mandatory</t>
        </is>
      </c>
      <c r="G187" s="13" t="n">
        <v>44</v>
      </c>
      <c r="H187" s="13" t="inlineStr"/>
      <c r="I187" s="13" t="inlineStr"/>
    </row>
    <row r="188">
      <c r="A188" s="13" t="inlineStr">
        <is>
          <t>TW-C-0144</t>
        </is>
      </c>
      <c r="B188" s="13" t="inlineStr">
        <is>
          <t>C.27</t>
        </is>
      </c>
      <c r="C188" s="14" t="inlineStr">
        <is>
          <t>If the Contractor has an approved purchasing system, the Contractor nevertheless shall obtain the Contracting
Officer’ s written consent before placing the following subcontracts:
All Subcontracts Regardless of Type</t>
        </is>
      </c>
      <c r="D188" s="13" t="inlineStr">
        <is>
          <t>TECHNICAL</t>
        </is>
      </c>
      <c r="E188" s="13" t="inlineStr">
        <is>
          <t>C</t>
        </is>
      </c>
      <c r="F188" s="13" t="inlineStr">
        <is>
          <t>Mandatory</t>
        </is>
      </c>
      <c r="G188" s="13" t="n">
        <v>44</v>
      </c>
      <c r="H188" s="13" t="inlineStr"/>
      <c r="I188" s="13" t="inlineStr"/>
    </row>
    <row r="189">
      <c r="A189" s="13" t="inlineStr">
        <is>
          <t>TW-C-0145</t>
        </is>
      </c>
      <c r="B189" s="13" t="inlineStr">
        <is>
          <t>C.27</t>
        </is>
      </c>
      <c r="C189" s="14" t="inlineStr">
        <is>
          <t>The Contractor shall notify the Contracting Officer reasonably in advance of placing any subcontract or
modification thereof for which consent is required under paragraph (b), (c), or (d) of this clause, including the
following information:</t>
        </is>
      </c>
      <c r="D189" s="13" t="inlineStr">
        <is>
          <t>TECHNICAL</t>
        </is>
      </c>
      <c r="E189" s="13" t="inlineStr">
        <is>
          <t>C</t>
        </is>
      </c>
      <c r="F189" s="13" t="inlineStr">
        <is>
          <t>Mandatory</t>
        </is>
      </c>
      <c r="G189" s="13" t="n">
        <v>44</v>
      </c>
      <c r="H189" s="13" t="inlineStr"/>
      <c r="I189" s="13" t="inlineStr"/>
    </row>
    <row r="190">
      <c r="A190" s="13" t="inlineStr">
        <is>
          <t>TW-C-0146</t>
        </is>
      </c>
      <c r="B190" s="13" t="inlineStr">
        <is>
          <t>C.27</t>
        </is>
      </c>
      <c r="C190" s="14" t="inlineStr">
        <is>
          <t>The subcontractor’ s Disclosure Statement or Certificate relating to Cost Accounting Standards when such data
are required by other provisions of this contract.</t>
        </is>
      </c>
      <c r="D190" s="13" t="inlineStr">
        <is>
          <t>TECHNICAL</t>
        </is>
      </c>
      <c r="E190" s="13" t="inlineStr">
        <is>
          <t>C</t>
        </is>
      </c>
      <c r="F190" s="13" t="inlineStr">
        <is>
          <t>Mandatory</t>
        </is>
      </c>
      <c r="G190" s="13" t="n">
        <v>44</v>
      </c>
      <c r="H190" s="13" t="inlineStr"/>
      <c r="I190" s="13" t="inlineStr"/>
    </row>
    <row r="191">
      <c r="A191" s="13" t="inlineStr">
        <is>
          <t>TW-C-0147</t>
        </is>
      </c>
      <c r="B191" s="13" t="inlineStr">
        <is>
          <t>C.27</t>
        </is>
      </c>
      <c r="C191" s="14" t="inlineStr">
        <is>
          <t>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 s certified cost or pricing data in
determining the price objective and in negotiating the final price;
(E) The extent to which it was recognized in the negotiation that the subcontractor’ s certified cost or pricing data
were not accurate, complete, or current; the action taken by the Contractor and the subcontractor; and the effect of
any such defective data on the total price negotiated;
(F) The reasons for any significant difference between the Contractor’ 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t>
        </is>
      </c>
      <c r="D191" s="13" t="inlineStr">
        <is>
          <t>TECHNICAL</t>
        </is>
      </c>
      <c r="E191" s="13" t="inlineStr">
        <is>
          <t>C</t>
        </is>
      </c>
      <c r="F191" s="13" t="inlineStr">
        <is>
          <t>Mandatory</t>
        </is>
      </c>
      <c r="G191" s="13" t="n">
        <v>44</v>
      </c>
      <c r="H191" s="13" t="inlineStr"/>
      <c r="I191" s="13" t="inlineStr"/>
    </row>
    <row r="192">
      <c r="A192" s="13" t="inlineStr">
        <is>
          <t>TW-C-0148</t>
        </is>
      </c>
      <c r="B192" s="13" t="inlineStr">
        <is>
          <t>C.27</t>
        </is>
      </c>
      <c r="C192" s="14" t="inlineStr">
        <is>
          <t>If the Contractor has an approved purchasing system and consent is not required under paragraph (c), or (d) of
this clause, the Contractor nevertheless shall notify the Contracting Officer reasonably in advance of entering into
any (i) cost-plus-fixed-fee subcontract, or (ii) fixed-price subcontract that exceeds either the simplified acquisition
threshold, as defined in FAR 2.101 on the date of subcontract award, or 5 percent of the total estimated cost of this</t>
        </is>
      </c>
      <c r="D192" s="13" t="inlineStr">
        <is>
          <t>TECHNICAL</t>
        </is>
      </c>
      <c r="E192" s="13" t="inlineStr">
        <is>
          <t>C</t>
        </is>
      </c>
      <c r="F192" s="13" t="inlineStr">
        <is>
          <t>Mandatory</t>
        </is>
      </c>
      <c r="G192" s="13" t="n">
        <v>44</v>
      </c>
      <c r="H192" s="13" t="inlineStr"/>
      <c r="I192" s="13" t="inlineStr">
        <is>
          <t>FAR 2.101</t>
        </is>
      </c>
    </row>
    <row r="193">
      <c r="A193" s="13" t="inlineStr">
        <is>
          <t>TW-C-0149</t>
        </is>
      </c>
      <c r="B193" s="13" t="inlineStr">
        <is>
          <t>C.27</t>
        </is>
      </c>
      <c r="C193" s="14" t="inlineStr">
        <is>
          <t>The notification shall include the information required by paragraphs (e)(1)(i) through (iv) of this clause.</t>
        </is>
      </c>
      <c r="D193" s="13" t="inlineStr">
        <is>
          <t>TECHNICAL</t>
        </is>
      </c>
      <c r="E193" s="13" t="inlineStr">
        <is>
          <t>C</t>
        </is>
      </c>
      <c r="F193" s="13" t="inlineStr">
        <is>
          <t>Mandatory</t>
        </is>
      </c>
      <c r="G193" s="13" t="n">
        <v>44</v>
      </c>
      <c r="H193" s="13" t="inlineStr"/>
      <c r="I193" s="13" t="inlineStr"/>
    </row>
    <row r="194">
      <c r="A194" s="13" t="inlineStr">
        <is>
          <t>TW-C-0150</t>
        </is>
      </c>
      <c r="B194" s="13" t="inlineStr">
        <is>
          <t>C.27</t>
        </is>
      </c>
      <c r="C194" s="14" t="inlineStr">
        <is>
          <t>Unless the consent or approval specifically provides otherwise, neither consent by the Contracting Officer to any
subcontract nor approval of the Contractor’ s purchasing system shall constitute a determination-</t>
        </is>
      </c>
      <c r="D194" s="13" t="inlineStr">
        <is>
          <t>TECHNICAL</t>
        </is>
      </c>
      <c r="E194" s="13" t="inlineStr">
        <is>
          <t>C</t>
        </is>
      </c>
      <c r="F194" s="13" t="inlineStr">
        <is>
          <t>Mandatory</t>
        </is>
      </c>
      <c r="G194" s="13" t="n">
        <v>44</v>
      </c>
      <c r="H194" s="13" t="inlineStr"/>
      <c r="I194" s="13" t="inlineStr"/>
    </row>
    <row r="195">
      <c r="A195" s="13" t="inlineStr">
        <is>
          <t>TW-C-0151</t>
        </is>
      </c>
      <c r="B195" s="13" t="inlineStr">
        <is>
          <t>C.27</t>
        </is>
      </c>
      <c r="C195" s="14" t="inlineStr">
        <is>
          <t>No subcontract or modification thereof placed under this contract shall provide for payment on a cost-plus-
a-percentage-of-cost basis, and any fee payable under cost-reimbursement type subcontracts shall not exceed the fee
limitations in FAR 15.404-4(c)(4)(i).</t>
        </is>
      </c>
      <c r="D195" s="13" t="inlineStr">
        <is>
          <t>TECHNICAL</t>
        </is>
      </c>
      <c r="E195" s="13" t="inlineStr">
        <is>
          <t>C</t>
        </is>
      </c>
      <c r="F195" s="13" t="inlineStr">
        <is>
          <t>Mandatory</t>
        </is>
      </c>
      <c r="G195" s="13" t="n">
        <v>44</v>
      </c>
      <c r="H195" s="13" t="inlineStr"/>
      <c r="I195" s="13" t="inlineStr">
        <is>
          <t>FAR 15.404-4</t>
        </is>
      </c>
    </row>
    <row r="196">
      <c r="A196" s="13" t="inlineStr">
        <is>
          <t>TW-C-0152</t>
        </is>
      </c>
      <c r="B196" s="13" t="inlineStr">
        <is>
          <t>C.27</t>
        </is>
      </c>
      <c r="C196" s="14" t="inlineStr">
        <is>
          <t>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t>
        </is>
      </c>
      <c r="D196" s="13" t="inlineStr">
        <is>
          <t>TECHNICAL</t>
        </is>
      </c>
      <c r="E196" s="13" t="inlineStr">
        <is>
          <t>C</t>
        </is>
      </c>
      <c r="F196" s="13" t="inlineStr">
        <is>
          <t>Mandatory</t>
        </is>
      </c>
      <c r="G196" s="13" t="n">
        <v>44</v>
      </c>
      <c r="H196" s="13" t="inlineStr"/>
      <c r="I196" s="13" t="inlineStr"/>
    </row>
    <row r="197">
      <c r="A197" s="13" t="inlineStr">
        <is>
          <t>TW-C-0153</t>
        </is>
      </c>
      <c r="B197" s="13" t="inlineStr">
        <is>
          <t>C.27</t>
        </is>
      </c>
      <c r="C197" s="14" t="inlineStr">
        <is>
          <t>N0017826R30020003 - FINAL
Page 82 of 114
TBD at time of award. 
252.204-7012 SAFEGUARDING COVERED DEFENSE INFORMATION AND CYBER INCIDENT
REPORTING (MAY 2024)</t>
        </is>
      </c>
      <c r="D197" s="13" t="inlineStr">
        <is>
          <t>TECHNICAL</t>
        </is>
      </c>
      <c r="E197" s="13" t="inlineStr">
        <is>
          <t>C</t>
        </is>
      </c>
      <c r="F197" s="13" t="inlineStr">
        <is>
          <t>Desirable</t>
        </is>
      </c>
      <c r="G197" s="13" t="n">
        <v>44</v>
      </c>
      <c r="H197" s="13" t="inlineStr"/>
      <c r="I197" s="13" t="inlineStr"/>
    </row>
    <row r="198">
      <c r="A198" s="13" t="inlineStr">
        <is>
          <t>TW-C-0154</t>
        </is>
      </c>
      <c r="B198" s="13" t="inlineStr">
        <is>
          <t>C.27</t>
        </is>
      </c>
      <c r="C198" s="14" t="inlineStr">
        <is>
          <t>Definitions. As used in this clause—
“Adequate security” means protective measures that are commensurate with the consequences and probability of
loss, misuse, or unauthorized access to, or modification of information.
“Compromise” means disclosure of information to unauthorized persons, or a violation of the security policy of a
system, in which unauthorized intentional or unintentional disclosure, modification, destruction, or loss of an object,
or the copying of information to unauthorized media may have occurred.
“Contractor attributional/proprietary information” means information that identifies the contractor(s), whether
directly or indirectly, by the grouping of information that can be traced back to the contractor(s) (e.g., program
description, facility locations), personally identifiable information, as well as trade secrets, commercial or financial
information, or other commercially sensitive information that is not customarily shared outside of the company.
“Controlled technical information” means technical information with military or space application that is subject to
controls on the access, use, reproduction, modification, performance, display, release, disclosure, or dissemination.
Controlled technical information would meet the criteria, if disseminated, for distribution statements B through F
using the criteria set forth in DoD Instruction 5230.24, Distribution Statements on Technical Documents. The term
does not include information that is lawfully publicly available without restrictions.
“Covered contractor information system” means an unclassified information system that is owned, or operated by or
for, a contractor and that processes, stores, or transmits covered defense information.
“Covered defense information” means unclassified controlled technical information or other information, as
described in the Controlled Unclassified Information (CUI) Registry at http://www.archives.gov/cui/registry
/category-list.html, that requires safeguarding or dissemination controls pursuant to and consistent with law,
regulations, and Governmentwide policies, and is—</t>
        </is>
      </c>
      <c r="D198" s="13" t="inlineStr">
        <is>
          <t>TECHNICAL</t>
        </is>
      </c>
      <c r="E198" s="13" t="inlineStr">
        <is>
          <t>C</t>
        </is>
      </c>
      <c r="F198" s="13" t="inlineStr">
        <is>
          <t>Desirable</t>
        </is>
      </c>
      <c r="G198" s="13" t="n">
        <v>44</v>
      </c>
      <c r="H198" s="13" t="inlineStr"/>
      <c r="I198" s="13" t="inlineStr"/>
    </row>
    <row r="199">
      <c r="A199" s="13" t="inlineStr">
        <is>
          <t>TW-C-0155</t>
        </is>
      </c>
      <c r="B199" s="13" t="inlineStr">
        <is>
          <t>C.27</t>
        </is>
      </c>
      <c r="C199" s="14" t="inlineStr">
        <is>
          <t>Adequate security. The Contractor shall provide adequate security on all covered contractor information systems.
To provide adequate security, the Contractor shall implement, at a minimum, the following information security
protections:</t>
        </is>
      </c>
      <c r="D199" s="13" t="inlineStr">
        <is>
          <t>TECHNICAL</t>
        </is>
      </c>
      <c r="E199" s="13" t="inlineStr">
        <is>
          <t>C</t>
        </is>
      </c>
      <c r="F199" s="13" t="inlineStr">
        <is>
          <t>Mandatory</t>
        </is>
      </c>
      <c r="G199" s="13" t="n">
        <v>44</v>
      </c>
      <c r="H199" s="13" t="inlineStr"/>
      <c r="I199" s="13" t="inlineStr"/>
    </row>
    <row r="200">
      <c r="A200" s="13" t="inlineStr">
        <is>
          <t>TW-C-0156</t>
        </is>
      </c>
      <c r="B200" s="13" t="inlineStr">
        <is>
          <t>C.27</t>
        </is>
      </c>
      <c r="C200" s="14" t="inlineStr">
        <is>
          <t>Cloud computing services shall be subject to the security requirements specified in the clause 252.239-7010 ,
Cloud Computing Services, of this contract.</t>
        </is>
      </c>
      <c r="D200" s="13" t="inlineStr">
        <is>
          <t>TECHNICAL</t>
        </is>
      </c>
      <c r="E200" s="13" t="inlineStr">
        <is>
          <t>C</t>
        </is>
      </c>
      <c r="F200" s="13" t="inlineStr">
        <is>
          <t>Mandatory</t>
        </is>
      </c>
      <c r="G200" s="13" t="n">
        <v>44</v>
      </c>
      <c r="H200" s="13" t="inlineStr"/>
      <c r="I200" s="13" t="inlineStr"/>
    </row>
    <row r="201">
      <c r="A201" s="13" t="inlineStr">
        <is>
          <t>TW-C-0157</t>
        </is>
      </c>
      <c r="B201" s="13" t="inlineStr">
        <is>
          <t>C.27</t>
        </is>
      </c>
      <c r="C201" s="14" t="inlineStr">
        <is>
          <t>Any other such IT service or system (i.e., other than cloud computing) shall be subject to the security
requirements specified elsewhere in this contract.</t>
        </is>
      </c>
      <c r="D201" s="13" t="inlineStr">
        <is>
          <t>TECHNICAL</t>
        </is>
      </c>
      <c r="E201" s="13" t="inlineStr">
        <is>
          <t>C</t>
        </is>
      </c>
      <c r="F201" s="13" t="inlineStr">
        <is>
          <t>Mandatory</t>
        </is>
      </c>
      <c r="G201" s="13" t="n">
        <v>44</v>
      </c>
      <c r="H201" s="13" t="inlineStr"/>
      <c r="I201" s="13" t="inlineStr"/>
    </row>
    <row r="202">
      <c r="A202" s="13" t="inlineStr">
        <is>
          <t>TW-C-0158</t>
        </is>
      </c>
      <c r="B202" s="13" t="inlineStr">
        <is>
          <t>C.27</t>
        </is>
      </c>
      <c r="C202" s="14" t="inlineStr">
        <is>
          <t>Except as provided in paragraph (b)(2)(ii) of this clause, the covered contractor information system shall be
subject to the security requirements in National Institute of Standards and Technology (NIST) Special Publication
(SP) 800-171, “Protecting Controlled Unclassified Information in Nonfederal Information Systems and
Organizations” (available via the internet at https://csrc.nist.gov/publications/sp800) in effect at the time the
solicitation is issued or as authorized by the Contracting Officer.
(ii)(A) The Contractor shall implement NIST SP 800-171, as soon as practical, but not later than December 31, 2017.
For all contracts awarded prior to October 1, 2017, the Contractor shall notify the DoD Chief Information Officer
(CIO), via email at osd.dibcsia@mail.mil, within 30 days of contract award, of any security requirements specified
by NIST SP 800-171 not implemented at the time of contract award.
(B) The Contractor shall submit requests to vary from NIST SP 800-171 in writing to the Contracting Officer, for
consideration by the DoD CIO. The Contractor need not implement any security requirement adjudicated by an
authorized representative of the DoD CIO to be nonapplicable or to have an alternative, but equally effective,
security measure that may be implemented in its place.
(C) If the DoD CIO has previously adjudicated the contractor’ s requests indicating that a requirement is not
applicable or that an alternative security measure is equally effective, a copy of that approval shall be provided to the</t>
        </is>
      </c>
      <c r="D202" s="13" t="inlineStr">
        <is>
          <t>TECHNICAL</t>
        </is>
      </c>
      <c r="E202" s="13" t="inlineStr">
        <is>
          <t>C</t>
        </is>
      </c>
      <c r="F202" s="13" t="inlineStr">
        <is>
          <t>Mandatory</t>
        </is>
      </c>
      <c r="G202" s="13" t="n">
        <v>44</v>
      </c>
      <c r="H202" s="13" t="inlineStr"/>
      <c r="I202" s="13" t="inlineStr"/>
    </row>
    <row r="203">
      <c r="A203" s="13" t="inlineStr">
        <is>
          <t>TW-C-0159</t>
        </is>
      </c>
      <c r="B203" s="13" t="inlineStr">
        <is>
          <t>C.27</t>
        </is>
      </c>
      <c r="C203" s="14" t="inlineStr">
        <is>
          <t>N0017826R30020003 - FINAL
Page 84 of 114
Contracting Officer when requesting its recognition under this contract.
(D) If the Contractor intends to use an external cloud service provider to store, process, or transmit any covered
defense information in performance of this contract, the Contractor shall require and ensure that the cloud service
provider meets security requirements equivalent to those established by the Government for the Federal Risk and
Authorization Management Program (FedRAMP) Moderate baseline (https://www.fedramp.gov/documents-
templates/) and that the cloud service provider complies with requirements in paragraphs (c) through (g) of this
clause for cyber incident reporting, malicious software, media preservation and protection, access to additional
information and equipment necessary for forensic analysis, and cyber incident damage assessment.</t>
        </is>
      </c>
      <c r="D203" s="13" t="inlineStr">
        <is>
          <t>TECHNICAL</t>
        </is>
      </c>
      <c r="E203" s="13" t="inlineStr">
        <is>
          <t>C</t>
        </is>
      </c>
      <c r="F203" s="13" t="inlineStr">
        <is>
          <t>Mandatory</t>
        </is>
      </c>
      <c r="G203" s="13" t="n">
        <v>44</v>
      </c>
      <c r="H203" s="13" t="inlineStr"/>
      <c r="I203" s="13" t="inlineStr"/>
    </row>
    <row r="204">
      <c r="A204" s="13" t="inlineStr">
        <is>
          <t>TW-C-0160</t>
        </is>
      </c>
      <c r="B204" s="13" t="inlineStr">
        <is>
          <t>C.27</t>
        </is>
      </c>
      <c r="C204" s="14" t="inlineStr">
        <is>
          <t>Apply other information systems security measures when the Contractor reasonably determines that information
systems security measures, in addition to those identified in paragraphs (b)(1) and (2) of this clause, may be required
to provide adequate security in a dynamic environment or to accommodate special circumstances (e.g., medical</t>
        </is>
      </c>
      <c r="D204" s="13" t="inlineStr">
        <is>
          <t>TECHNICAL</t>
        </is>
      </c>
      <c r="E204" s="13" t="inlineStr">
        <is>
          <t>C</t>
        </is>
      </c>
      <c r="F204" s="13" t="inlineStr">
        <is>
          <t>Mandatory</t>
        </is>
      </c>
      <c r="G204" s="13" t="n">
        <v>44</v>
      </c>
      <c r="H204" s="13" t="inlineStr"/>
      <c r="I204" s="13" t="inlineStr"/>
    </row>
    <row r="205">
      <c r="A205" s="13" t="inlineStr">
        <is>
          <t>TW-C-0161</t>
        </is>
      </c>
      <c r="B205" s="13" t="inlineStr">
        <is>
          <t>C.27</t>
        </is>
      </c>
      <c r="C205" s="14" t="inlineStr">
        <is>
          <t>and any individual, isolated, or temporary deficiencies based on an assessed risk or vulnerability. These
measures may be addressed in a system security plan.</t>
        </is>
      </c>
      <c r="D205" s="13" t="inlineStr">
        <is>
          <t>TECHNICAL</t>
        </is>
      </c>
      <c r="E205" s="13" t="inlineStr">
        <is>
          <t>C</t>
        </is>
      </c>
      <c r="F205" s="13" t="inlineStr">
        <is>
          <t>Desirable</t>
        </is>
      </c>
      <c r="G205" s="13" t="n">
        <v>44</v>
      </c>
      <c r="H205" s="13" t="inlineStr"/>
      <c r="I205" s="13" t="inlineStr"/>
    </row>
    <row r="206">
      <c r="A206" s="13" t="inlineStr">
        <is>
          <t>TW-C-0162</t>
        </is>
      </c>
      <c r="B206" s="13" t="inlineStr">
        <is>
          <t>C.27</t>
        </is>
      </c>
      <c r="C206" s="14" t="inlineStr">
        <is>
          <t>When the Contractor discovers a cyber incident that affects a covered contractor information system or the
covered defense information residing therein, or that affects the contractor’ s ability to perform the requirements of
the contract that are designated as operationally critical support and identified in the contract, the Contractor shall—</t>
        </is>
      </c>
      <c r="D206" s="13" t="inlineStr">
        <is>
          <t>TECHNICAL</t>
        </is>
      </c>
      <c r="E206" s="13" t="inlineStr">
        <is>
          <t>C</t>
        </is>
      </c>
      <c r="F206" s="13" t="inlineStr">
        <is>
          <t>Mandatory</t>
        </is>
      </c>
      <c r="G206" s="13" t="n">
        <v>44</v>
      </c>
      <c r="H206" s="13" t="inlineStr"/>
      <c r="I206" s="13" t="inlineStr"/>
    </row>
    <row r="207">
      <c r="A207" s="13" t="inlineStr">
        <is>
          <t>TW-C-0163</t>
        </is>
      </c>
      <c r="B207" s="13" t="inlineStr">
        <is>
          <t>C.27</t>
        </is>
      </c>
      <c r="C207" s="14" t="inlineStr">
        <is>
          <t>Conduct a review for evidence of compromise of covered defense information, including, but not limited to,
identifying compromised computers, servers, specific data, and user accounts. This review shall also include
analyzing covered contractor information system(s) that were part of the cyber incident, as well as other information
systems on the Contractor’ s network(s), that may have been accessed as a result of the incident in order to identify
compromised covered defense information, or that affect the Contractor’ s ability to provide operationally critical
support; and</t>
        </is>
      </c>
      <c r="D207" s="13" t="inlineStr">
        <is>
          <t>TECHNICAL</t>
        </is>
      </c>
      <c r="E207" s="13" t="inlineStr">
        <is>
          <t>C</t>
        </is>
      </c>
      <c r="F207" s="13" t="inlineStr">
        <is>
          <t>Mandatory</t>
        </is>
      </c>
      <c r="G207" s="13" t="n">
        <v>44</v>
      </c>
      <c r="H207" s="13" t="inlineStr"/>
      <c r="I207" s="13" t="inlineStr"/>
    </row>
    <row r="208">
      <c r="A208" s="13" t="inlineStr">
        <is>
          <t>TW-C-0164</t>
        </is>
      </c>
      <c r="B208" s="13" t="inlineStr">
        <is>
          <t>C.27</t>
        </is>
      </c>
      <c r="C208" s="14" t="inlineStr">
        <is>
          <t>Cyber incident report. The cyber incident report shall be treated as information created by or for DoD and shall
include, at a minimum, the required elements at https://dibnet.dod.mil.</t>
        </is>
      </c>
      <c r="D208" s="13" t="inlineStr">
        <is>
          <t>TECHNICAL</t>
        </is>
      </c>
      <c r="E208" s="13" t="inlineStr">
        <is>
          <t>C</t>
        </is>
      </c>
      <c r="F208" s="13" t="inlineStr">
        <is>
          <t>Mandatory</t>
        </is>
      </c>
      <c r="G208" s="13" t="n">
        <v>44</v>
      </c>
      <c r="H208" s="13" t="inlineStr"/>
      <c r="I208" s="13" t="inlineStr"/>
    </row>
    <row r="209">
      <c r="A209" s="13" t="inlineStr">
        <is>
          <t>TW-C-0165</t>
        </is>
      </c>
      <c r="B209" s="13" t="inlineStr">
        <is>
          <t>C.27</t>
        </is>
      </c>
      <c r="C209" s="14" t="inlineStr">
        <is>
          <t>Medium assurance certificate requirement. In order to report cyber incidents in accordance with this clause, the
Contractor or subcontractor shall have or acquire a DoD-approved medium assurance certificate to report cyber</t>
        </is>
      </c>
      <c r="D209" s="13" t="inlineStr">
        <is>
          <t>TECHNICAL</t>
        </is>
      </c>
      <c r="E209" s="13" t="inlineStr">
        <is>
          <t>C</t>
        </is>
      </c>
      <c r="F209" s="13" t="inlineStr">
        <is>
          <t>Mandatory</t>
        </is>
      </c>
      <c r="G209" s="13" t="n">
        <v>44</v>
      </c>
      <c r="H209" s="13" t="inlineStr"/>
      <c r="I209" s="13" t="inlineStr"/>
    </row>
    <row r="210">
      <c r="A210" s="13" t="inlineStr">
        <is>
          <t>TW-C-0166</t>
        </is>
      </c>
      <c r="B210" s="13" t="inlineStr">
        <is>
          <t>C.27</t>
        </is>
      </c>
      <c r="C210" s="14" t="inlineStr">
        <is>
          <t>Media preservation and protection. When a Contractor discovers a cyber incident has occurred, the Contractor
shall preserve and protect images of all known affected information systems identified in paragraph (c)(1)(i) of this
clause and all relevant monitoring/packet capture data for at least 90 days from the submission of the cyber incident
report to allow DoD to request the media or decline interest.</t>
        </is>
      </c>
      <c r="D210" s="13" t="inlineStr">
        <is>
          <t>TECHNICAL</t>
        </is>
      </c>
      <c r="E210" s="13" t="inlineStr">
        <is>
          <t>C</t>
        </is>
      </c>
      <c r="F210" s="13" t="inlineStr">
        <is>
          <t>Mandatory</t>
        </is>
      </c>
      <c r="G210" s="13" t="n">
        <v>44</v>
      </c>
      <c r="H210" s="13" t="inlineStr"/>
      <c r="I210" s="13" t="inlineStr"/>
    </row>
    <row r="211">
      <c r="A211" s="13" t="inlineStr">
        <is>
          <t>TW-C-0167</t>
        </is>
      </c>
      <c r="B211" s="13" t="inlineStr">
        <is>
          <t>C.27</t>
        </is>
      </c>
      <c r="C211" s="14" t="inlineStr">
        <is>
          <t>Access to additional information or equipment necessary for forensic analysis. Upon request by DoD, the
Contractor shall provide DoD with access to additional information or equipment that is necessary to conduct a
forensic analysis.</t>
        </is>
      </c>
      <c r="D211" s="13" t="inlineStr">
        <is>
          <t>TECHNICAL</t>
        </is>
      </c>
      <c r="E211" s="13" t="inlineStr">
        <is>
          <t>C</t>
        </is>
      </c>
      <c r="F211" s="13" t="inlineStr">
        <is>
          <t>Mandatory</t>
        </is>
      </c>
      <c r="G211" s="13" t="n">
        <v>44</v>
      </c>
      <c r="H211" s="13" t="inlineStr"/>
      <c r="I211" s="13" t="inlineStr"/>
    </row>
    <row r="212">
      <c r="A212" s="13" t="inlineStr">
        <is>
          <t>TW-C-0168</t>
        </is>
      </c>
      <c r="B212" s="13" t="inlineStr">
        <is>
          <t>C.27</t>
        </is>
      </c>
      <c r="C212" s="14" t="inlineStr">
        <is>
          <t>DoD safeguarding and use of contractor attributional/proprietary information. The Government shall protect
against the unauthorized use or release of information obtained from the contractor (or derived from information
obtained from the contractor) under this clause that includes contractor attributional/proprietary information,
including such information submitted in accordance with paragraph (c). To the maximum extent practicable, the
Contractor shall identify and mark attributional/proprietary information. In making an authorized release of such
information, the Government will implement appropriate procedures to minimize the contractor
attributional/proprietary information that is included in such authorized release, seeking to include only that
information that is necessary for the authorized purpose(s) for which the information is being released.</t>
        </is>
      </c>
      <c r="D212" s="13" t="inlineStr">
        <is>
          <t>TECHNICAL</t>
        </is>
      </c>
      <c r="E212" s="13" t="inlineStr">
        <is>
          <t>C</t>
        </is>
      </c>
      <c r="F212" s="13" t="inlineStr">
        <is>
          <t>Mandatory</t>
        </is>
      </c>
      <c r="G212" s="13" t="n">
        <v>44</v>
      </c>
      <c r="H212" s="13" t="inlineStr"/>
      <c r="I212" s="13" t="inlineStr"/>
    </row>
    <row r="213">
      <c r="A213" s="13" t="inlineStr">
        <is>
          <t>TW-C-0169</t>
        </is>
      </c>
      <c r="B213" s="13" t="inlineStr">
        <is>
          <t>C.27</t>
        </is>
      </c>
      <c r="C213" s="14" t="inlineStr">
        <is>
          <t>To entities with missions that may be affected by such information;</t>
        </is>
      </c>
      <c r="D213" s="13" t="inlineStr">
        <is>
          <t>TECHNICAL</t>
        </is>
      </c>
      <c r="E213" s="13" t="inlineStr">
        <is>
          <t>C</t>
        </is>
      </c>
      <c r="F213" s="13" t="inlineStr">
        <is>
          <t>Desirable</t>
        </is>
      </c>
      <c r="G213" s="13" t="n">
        <v>44</v>
      </c>
      <c r="H213" s="13" t="inlineStr"/>
      <c r="I213" s="13" t="inlineStr"/>
    </row>
    <row r="214">
      <c r="A214" s="13" t="inlineStr">
        <is>
          <t>TW-C-0170</t>
        </is>
      </c>
      <c r="B214" s="13" t="inlineStr">
        <is>
          <t>C.27</t>
        </is>
      </c>
      <c r="C214" s="14" t="inlineStr">
        <is>
          <t>To entities that may be called upon to assist in the diagnosis, detection, or mitigation of cyber incidents;</t>
        </is>
      </c>
      <c r="D214" s="13" t="inlineStr">
        <is>
          <t>TECHNICAL</t>
        </is>
      </c>
      <c r="E214" s="13" t="inlineStr">
        <is>
          <t>C</t>
        </is>
      </c>
      <c r="F214" s="13" t="inlineStr">
        <is>
          <t>Desirable</t>
        </is>
      </c>
      <c r="G214" s="13" t="n">
        <v>44</v>
      </c>
      <c r="H214" s="13" t="inlineStr"/>
      <c r="I214" s="13" t="inlineStr"/>
    </row>
    <row r="215">
      <c r="A215" s="13" t="inlineStr">
        <is>
          <t>TW-C-0171</t>
        </is>
      </c>
      <c r="B215" s="13" t="inlineStr">
        <is>
          <t>C.27</t>
        </is>
      </c>
      <c r="C215" s="14" t="inlineStr">
        <is>
          <t>The Contractor shall conduct activities under this clause in accordance with applicable laws and regulations on
the interception, monitoring, access, use, and disclosure of electronic communications and data.</t>
        </is>
      </c>
      <c r="D215" s="13" t="inlineStr">
        <is>
          <t>TECHNICAL</t>
        </is>
      </c>
      <c r="E215" s="13" t="inlineStr">
        <is>
          <t>C</t>
        </is>
      </c>
      <c r="F215" s="13" t="inlineStr">
        <is>
          <t>Mandatory</t>
        </is>
      </c>
      <c r="G215" s="13" t="n">
        <v>44</v>
      </c>
      <c r="H215" s="13" t="inlineStr"/>
      <c r="I215" s="13" t="inlineStr"/>
    </row>
    <row r="216">
      <c r="A216" s="13" t="inlineStr">
        <is>
          <t>TW-C-0172</t>
        </is>
      </c>
      <c r="B216" s="13" t="inlineStr">
        <is>
          <t>C.27</t>
        </is>
      </c>
      <c r="C216" s="14" t="inlineStr">
        <is>
          <t>The Contractor shall determine if the information required for subcontractor performance retains its identity
as covered defense information and will require protection under this clause, and, if necessary, consult with the</t>
        </is>
      </c>
      <c r="D216" s="13" t="inlineStr">
        <is>
          <t>TECHNICAL</t>
        </is>
      </c>
      <c r="E216" s="13" t="inlineStr">
        <is>
          <t>C</t>
        </is>
      </c>
      <c r="F216" s="13" t="inlineStr">
        <is>
          <t>Mandatory</t>
        </is>
      </c>
      <c r="G216" s="13" t="n">
        <v>44</v>
      </c>
      <c r="H216" s="13" t="inlineStr"/>
      <c r="I216" s="13" t="inlineStr"/>
    </row>
    <row r="217">
      <c r="A217" s="13" t="inlineStr">
        <is>
          <t>TW-C-0173</t>
        </is>
      </c>
      <c r="B217" s="13" t="inlineStr">
        <is>
          <t>C.27</t>
        </is>
      </c>
      <c r="C217" s="14" t="inlineStr">
        <is>
          <t>In accordance with section 855 of the National Defense Authorization Act for Fiscal Year 2022 (Pub. L. 117-81,
10 U.S.C. 4651 note prec.), DoD may not award, extend, or exercise an option on a covered contract with a covered
entity unless such covered entity submits each required disclosure of its use of workforce and facilities in the
People’ s Republic of China, if it employs one or more individuals who perform work in the People’ s Republic of
China on a covered contract.</t>
        </is>
      </c>
      <c r="D217" s="13" t="inlineStr">
        <is>
          <t>TECHNICAL</t>
        </is>
      </c>
      <c r="E217" s="13" t="inlineStr">
        <is>
          <t>C</t>
        </is>
      </c>
      <c r="F217" s="13" t="inlineStr">
        <is>
          <t>Desirable</t>
        </is>
      </c>
      <c r="G217" s="13" t="n">
        <v>44</v>
      </c>
      <c r="H217" s="13" t="inlineStr"/>
      <c r="I217" s="13" t="inlineStr"/>
    </row>
    <row r="218">
      <c r="A218" s="13" t="inlineStr">
        <is>
          <t>TW-C-0174</t>
        </is>
      </c>
      <c r="B218" s="13" t="inlineStr">
        <is>
          <t>C.27</t>
        </is>
      </c>
      <c r="C218" s="14" t="inlineStr">
        <is>
          <t>If the Contractor is a covered entity, the Contractor shall disclose for the Government’ s fiscal years 2023 and
2024, the Contractor’ s employment of one or more individuals who perform work in the People’ s Republic of China
on any covered contract. The disclosures shall include—</t>
        </is>
      </c>
      <c r="D218" s="13" t="inlineStr">
        <is>
          <t>TECHNICAL</t>
        </is>
      </c>
      <c r="E218" s="13" t="inlineStr">
        <is>
          <t>C</t>
        </is>
      </c>
      <c r="F218" s="13" t="inlineStr">
        <is>
          <t>Mandatory</t>
        </is>
      </c>
      <c r="G218" s="13" t="n">
        <v>44</v>
      </c>
      <c r="H218" s="13" t="inlineStr"/>
      <c r="I218" s="13" t="inlineStr"/>
    </row>
    <row r="219">
      <c r="A219" s="13" t="inlineStr">
        <is>
          <t>TW-C-0175</t>
        </is>
      </c>
      <c r="B219" s="13" t="inlineStr">
        <is>
          <t>C.27</t>
        </is>
      </c>
      <c r="C219" s="14" t="inlineStr">
        <is>
          <t>Subcontracts. The Contractor shall insert this clause, including this paragraph (c), without alteration other than to
identify the appropriate parties, in all subcontracts that meet the definition of a covered contract.
(End of clause)</t>
        </is>
      </c>
      <c r="D219" s="13" t="inlineStr">
        <is>
          <t>TECHNICAL</t>
        </is>
      </c>
      <c r="E219" s="13" t="inlineStr">
        <is>
          <t>C</t>
        </is>
      </c>
      <c r="F219" s="13" t="inlineStr">
        <is>
          <t>Mandatory</t>
        </is>
      </c>
      <c r="G219" s="13" t="n">
        <v>44</v>
      </c>
      <c r="H219" s="13" t="inlineStr"/>
      <c r="I219" s="13" t="inlineStr"/>
    </row>
    <row r="220">
      <c r="A220" s="13" t="inlineStr">
        <is>
          <t>TW-C-0176</t>
        </is>
      </c>
      <c r="B220" s="13" t="inlineStr">
        <is>
          <t>K.1</t>
        </is>
      </c>
      <c r="C220" s="14" t="inlineStr">
        <is>
          <t>N0017826R30020003 - FINAL
Page 88 of 114
Section K - Certifications and Representations
K.1 ANNUAL REPRESENTATIONS AND CERTIFICATIONS
Offerors are not required to submit their annual representations and certifications in response to this solicitation or its
subsequent Task Order award, if any, as its representations and certifications are already incorporated at the MAC
level per MAC clause 52.204-19. Additional representations and certifications, specified below, shall be submitted
with the Offeror's proposal to this Task Order solicitation.
PROVISIONS INCORPORATED BY REFERENCE
CLAUSE TITLE DATE
52.201-1 ACQUISITION 360: VOLUNTARY SURVEY SEP
2023
52.209-7 INFORMATION REGARDING RESPONSIBILITY MATTERS OCT
2018
52.209-12 CERTIFICATION REGARDING TAX MATTERS OCT
2020
52.230-1 COST ACCOUNTING STANDARDS NOTICES AND CERTIFICATION  JUN
2020
52.230-7 PROPOSAL DISCLOSURE—COST ACCOUNTING PRACTICE CHANGES APR
2005
252.203-7005 REPRESENTATION RELATING TO COMPENSATION OF FORMER DOD
OFFICIALS 
SEP
2022
252.204-7008 COMPLIANCE WITH SAFEGUARDING COVERED DEFENSE INFORMATION
CONTROLS
OCT
2016
252.204-7016 COVERED DEFENSE TELECOMMUNICATIONS EQUIPMENT OR SERVICES
-REPRESENTATION
DEC
2019
252.204-7017 PROHIBITION ON THE ACQUISITION OF COVERED DEFENSE
TELECOMMUNICATIONS EQUIPMENT OR SERVICES—REPRESENTATION
MAY
2021
252.219-7000 ADV ANCING SMALL BUSINESS GROWTH JUN
2023
252.225-7003 REPORT OF INTENDED PERFORMANCE OUTSIDE THE UNITED SYAYES
AND CANADA- SUBMISSION WITH OFFER
JAN
2025</t>
        </is>
      </c>
      <c r="D220" s="13" t="inlineStr">
        <is>
          <t>TECHNICAL</t>
        </is>
      </c>
      <c r="E220" s="13" t="inlineStr">
        <is>
          <t>C</t>
        </is>
      </c>
      <c r="F220" s="13" t="inlineStr">
        <is>
          <t>Mandatory</t>
        </is>
      </c>
      <c r="G220" s="13" t="n">
        <v>44</v>
      </c>
      <c r="H220" s="13" t="inlineStr"/>
      <c r="I220" s="13" t="inlineStr">
        <is>
          <t>Section K, K.1</t>
        </is>
      </c>
    </row>
    <row r="221">
      <c r="A221" s="13" t="inlineStr">
        <is>
          <t>TW-C-0177</t>
        </is>
      </c>
      <c r="B221" s="13" t="inlineStr">
        <is>
          <t>C.27</t>
        </is>
      </c>
      <c r="C221" s="14" t="inlineStr">
        <is>
          <t>N0017826R30020003 - FINAL
Page 89 of 114
252.225-7055 REPRESENTATION REGARDING BUSINESS OPERATIONS WITH THE
MADURO REGIME
MAY
2022
252.225-7057 PREAWARD DISCLOSURE OF EMPLOYMENT OF INDIVIDUALS WHO
WORK IN THE PEOPLE’S REPUBLIC OF CHINA
AUG
2022
252.225-7966 PROHIBITION REGARDING RUSSIAN FOSSIL FUEL BUSINESS OPERATIONS
—REPRESENTATION (DEVIATION 2024-O0006, REVISION 1)
MAR
2024
252.225-7973 PROHIBITION ON THE PROCUREMENT OF FOREIGN-MADE UNMANNED
AIRCRAFT SYSTEMS-REPRESENTATION (DEVIATION 2024-O0014)
MAY
2020
252.227-7017 IDENTIFICATION AND ASSERTION OF USE, RELEASE, OR DISCLOSURE
RESTRICTIONS
JAN
2023
252.227-7028 TECHNICAL DATA OR COMPUTER SOFTWARE PREVIOUSLY DELIVERED
TO THE GOVERNMENT
JUN
1995
252.239-7009 REPRESENTATION OF USE OF CLOUD COMPUTING SEP
2015
PROVISIONS INCORPORATED BY FULL TEXT
52.204-24 REPRESENTATION REGARDING CERTAIN TELECOMMUNICATIONS AND VIDEO
SURVEILLANCE SERVICES OR EQUIPMENT (NOV 2021)
The Offeror shall not complete the representation at paragraph (d)(1) of this provision if the Offeror has represented
that it "does not provide covered telecommunications equipment or services as a part of its offered products or
services to the Government in the performance of any contract, subcontract, or other contractual instrument" in
paragraph (c)(1) in the provision at 52.204-26, Covered Telecommunications Equipment or Services
—Representation, or in paragraph (v)(2)(i) of the provision at 52.212-3, Offeror Representations and Certifications-
Commercial Products or Commercial Services. The Offeror shall not complete the representation in paragraph (d)(2)
of this provision if the Offeror has represented that it "does not use covered telecommunications equipment or
services, or any equipment, system, or service that uses covered telecommunications equipment or services" in
paragraph (c)(2) of the provision at 52.204-26, or in paragraph (v)(2)(ii) of the provision at 52.212-3.</t>
        </is>
      </c>
      <c r="D221" s="13" t="inlineStr">
        <is>
          <t>TECHNICAL</t>
        </is>
      </c>
      <c r="E221" s="13" t="inlineStr">
        <is>
          <t>C</t>
        </is>
      </c>
      <c r="F221" s="13" t="inlineStr">
        <is>
          <t>Mandatory</t>
        </is>
      </c>
      <c r="G221" s="13" t="n">
        <v>44</v>
      </c>
      <c r="H221" s="13" t="inlineStr"/>
      <c r="I221" s="13" t="inlineStr"/>
    </row>
    <row r="222">
      <c r="A222" s="13" t="inlineStr">
        <is>
          <t>TW-C-0178</t>
        </is>
      </c>
      <c r="B222" s="13" t="inlineStr">
        <is>
          <t>C.27</t>
        </is>
      </c>
      <c r="C222" s="14" t="inlineStr">
        <is>
          <t>N0017826R30020003 - FINAL
Page 90 of 114
technology as part of any system. Nothing in the prohibition shall be construed to—</t>
        </is>
      </c>
      <c r="D222" s="13" t="inlineStr">
        <is>
          <t>TECHNICAL</t>
        </is>
      </c>
      <c r="E222" s="13" t="inlineStr">
        <is>
          <t>C</t>
        </is>
      </c>
      <c r="F222" s="13" t="inlineStr">
        <is>
          <t>Mandatory</t>
        </is>
      </c>
      <c r="G222" s="13" t="n">
        <v>44</v>
      </c>
      <c r="H222" s="13" t="inlineStr"/>
      <c r="I222" s="13" t="inlineStr"/>
    </row>
    <row r="223">
      <c r="A223" s="13" t="inlineStr">
        <is>
          <t>TW-C-0179</t>
        </is>
      </c>
      <c r="B223" s="13" t="inlineStr">
        <is>
          <t>C.27</t>
        </is>
      </c>
      <c r="C223" s="14" t="inlineStr">
        <is>
          <t>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This prohibition applies to the use of covered telecommunications equipment or
services, regardless of whether that use is in performance of work under a Federal contract. Nothing in the
prohibition shall be construed to—</t>
        </is>
      </c>
      <c r="D223" s="13" t="inlineStr">
        <is>
          <t>TECHNICAL</t>
        </is>
      </c>
      <c r="E223" s="13" t="inlineStr">
        <is>
          <t>C</t>
        </is>
      </c>
      <c r="F223" s="13" t="inlineStr">
        <is>
          <t>Mandatory</t>
        </is>
      </c>
      <c r="G223" s="13" t="n">
        <v>44</v>
      </c>
      <c r="H223" s="13" t="inlineStr"/>
      <c r="I223" s="13" t="inlineStr"/>
    </row>
    <row r="224">
      <c r="A224" s="13" t="inlineStr">
        <is>
          <t>TW-C-0180</t>
        </is>
      </c>
      <c r="B224" s="13" t="inlineStr">
        <is>
          <t>C.27</t>
        </is>
      </c>
      <c r="C224" s="14" t="inlineStr">
        <is>
          <t>Procedures. The Offeror shall review the list of excluded parties in the System for Award Management (SAM)
(https://www.sam.gov) for entities excluded from receiving federal awards for "covered telecommunications
equipment or services".</t>
        </is>
      </c>
      <c r="D224" s="13" t="inlineStr">
        <is>
          <t>TECHNICAL</t>
        </is>
      </c>
      <c r="E224" s="13" t="inlineStr">
        <is>
          <t>C</t>
        </is>
      </c>
      <c r="F224" s="13" t="inlineStr">
        <is>
          <t>Mandatory</t>
        </is>
      </c>
      <c r="G224" s="13" t="n">
        <v>44</v>
      </c>
      <c r="H224" s="13" t="inlineStr"/>
      <c r="I224" s="13" t="inlineStr"/>
    </row>
    <row r="225">
      <c r="A225" s="13" t="inlineStr">
        <is>
          <t>TW-C-0181</t>
        </is>
      </c>
      <c r="B225" s="13" t="inlineStr">
        <is>
          <t>C.27</t>
        </is>
      </c>
      <c r="C225" s="14" t="inlineStr">
        <is>
          <t>It _ will, _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t>
        </is>
      </c>
      <c r="D225" s="13" t="inlineStr">
        <is>
          <t>TECHNICAL</t>
        </is>
      </c>
      <c r="E225" s="13" t="inlineStr">
        <is>
          <t>C</t>
        </is>
      </c>
      <c r="F225" s="13" t="inlineStr">
        <is>
          <t>Mandatory</t>
        </is>
      </c>
      <c r="G225" s="13" t="n">
        <v>44</v>
      </c>
      <c r="H225" s="13" t="inlineStr"/>
      <c r="I225" s="13" t="inlineStr">
        <is>
          <t>section i</t>
        </is>
      </c>
    </row>
    <row r="226">
      <c r="A226" s="13" t="inlineStr">
        <is>
          <t>TW-C-0182</t>
        </is>
      </c>
      <c r="B226" s="13" t="inlineStr">
        <is>
          <t>C.27</t>
        </is>
      </c>
      <c r="C226" s="14" t="inlineStr">
        <is>
          <t>After conducting a reasonable inquiry, for purposes of this representation, the Offeror represents that—
It _ does, _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t>
        </is>
      </c>
      <c r="D226" s="13" t="inlineStr">
        <is>
          <t>TECHNICAL</t>
        </is>
      </c>
      <c r="E226" s="13" t="inlineStr">
        <is>
          <t>C</t>
        </is>
      </c>
      <c r="F226" s="13" t="inlineStr">
        <is>
          <t>Mandatory</t>
        </is>
      </c>
      <c r="G226" s="13" t="n">
        <v>44</v>
      </c>
      <c r="H226" s="13" t="inlineStr"/>
      <c r="I226" s="13" t="inlineStr">
        <is>
          <t>section i</t>
        </is>
      </c>
    </row>
    <row r="227">
      <c r="A227" s="13" t="inlineStr">
        <is>
          <t>TW-C-0183</t>
        </is>
      </c>
      <c r="B227" s="13" t="inlineStr">
        <is>
          <t>C.27</t>
        </is>
      </c>
      <c r="C227" s="14" t="inlineStr">
        <is>
          <t>Disclosure for the representation in paragraph (d)(1) of this provision. If the Offeror has responded "will" in the
representation in paragraph (d)(1) of this provision, the Offeror shall provide the following information as part of the
offer:</t>
        </is>
      </c>
      <c r="D227" s="13" t="inlineStr">
        <is>
          <t>TECHNICAL</t>
        </is>
      </c>
      <c r="E227" s="13" t="inlineStr">
        <is>
          <t>C</t>
        </is>
      </c>
      <c r="F227" s="13" t="inlineStr">
        <is>
          <t>Mandatory</t>
        </is>
      </c>
      <c r="G227" s="13" t="n">
        <v>44</v>
      </c>
      <c r="H227" s="13" t="inlineStr"/>
      <c r="I227" s="13" t="inlineStr"/>
    </row>
    <row r="228">
      <c r="A228" s="13" t="inlineStr">
        <is>
          <t>TW-C-0184</t>
        </is>
      </c>
      <c r="B228" s="13" t="inlineStr">
        <is>
          <t>C.27</t>
        </is>
      </c>
      <c r="C228" s="14" t="inlineStr">
        <is>
          <t>Disclosure for the representation in paragraph (d)(2) of this provision. If the Offeror has responded "does" in the
representation in paragraph (d)(2) of this provision, the Offeror shall provide the following information as part of the
offer:</t>
        </is>
      </c>
      <c r="D228" s="13" t="inlineStr">
        <is>
          <t>TECHNICAL</t>
        </is>
      </c>
      <c r="E228" s="13" t="inlineStr">
        <is>
          <t>C</t>
        </is>
      </c>
      <c r="F228" s="13" t="inlineStr">
        <is>
          <t>Mandatory</t>
        </is>
      </c>
      <c r="G228" s="13" t="n">
        <v>44</v>
      </c>
      <c r="H228" s="13" t="inlineStr"/>
      <c r="I228" s="13" t="inlineStr"/>
    </row>
    <row r="229">
      <c r="A229" s="13" t="inlineStr">
        <is>
          <t>TW-C-0185</t>
        </is>
      </c>
      <c r="B229" s="13" t="inlineStr">
        <is>
          <t>C.27</t>
        </is>
      </c>
      <c r="C229" s="14" t="inlineStr">
        <is>
          <t>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
(B) If not associated with maintenance, the PSC of the service being provided; and explanation of the proposed use
of covered telecommunications services and any factors relevant to determining if such use would be permissible
under the prohibition in paragraph (b)(2) of this provision.
K-227-W001 INSTRUCTIONS FOR OBTAINING EXPORT-CONTROLLED TECHNICAL
DATA (NA VSEA) (MAY 2022)</t>
        </is>
      </c>
      <c r="D229" s="13" t="inlineStr">
        <is>
          <t>TECHNICAL</t>
        </is>
      </c>
      <c r="E229" s="13" t="inlineStr">
        <is>
          <t>C</t>
        </is>
      </c>
      <c r="F229" s="13" t="inlineStr">
        <is>
          <t>Desirable</t>
        </is>
      </c>
      <c r="G229" s="13" t="n">
        <v>44</v>
      </c>
      <c r="H229" s="13" t="inlineStr"/>
      <c r="I229" s="13" t="inlineStr"/>
    </row>
    <row r="230">
      <c r="A230" s="13" t="inlineStr">
        <is>
          <t>TW-C-0186</t>
        </is>
      </c>
      <c r="B230" s="13" t="inlineStr">
        <is>
          <t>C.27</t>
        </is>
      </c>
      <c r="C230" s="14" t="inlineStr">
        <is>
          <t>An offeror may not receive export-controlled technical data, which is specified in this solicitation, unless
the offeror is a qualified U.S. contractor as defined in paragraph (b). See paragraph (c) and (d) for instructions
on becoming a qualified U.S. contractor. Questions about this program or DD Form 2345 should be addressed
to U.S./Canada Joint Certification Office, Defense Logistics Information Services (DLIS), Federal Center,
74 Washington Avenue North, Battle Creek, MI 49017-3084; or telephone (877) 352-2255; or
email jcp-admin@dla.mil.</t>
        </is>
      </c>
      <c r="D230" s="13" t="inlineStr">
        <is>
          <t>TECHNICAL</t>
        </is>
      </c>
      <c r="E230" s="13" t="inlineStr">
        <is>
          <t>C</t>
        </is>
      </c>
      <c r="F230" s="13" t="inlineStr">
        <is>
          <t>Highly Desirable</t>
        </is>
      </c>
      <c r="G230" s="13" t="n">
        <v>44</v>
      </c>
      <c r="H230" s="13" t="inlineStr"/>
      <c r="I230" s="13" t="inlineStr"/>
    </row>
    <row r="231">
      <c r="A231" s="13" t="inlineStr">
        <is>
          <t>TW-C-0187</t>
        </is>
      </c>
      <c r="B231" s="13" t="inlineStr">
        <is>
          <t>C.27</t>
        </is>
      </c>
      <c r="C231" s="14" t="inlineStr">
        <is>
          <t>Such data is needed to bid or perform on a contract with the Department of Defense, or other U.S. Government
agency, or for other legitimate business purposes in which the U.S. Contractor is engaged, or plans to engage. The
purpose for which the data is needed shall be described sufficiently in such certification to permit an evaluation of
whether subsequent requests for data are related properly to such business purpose.</t>
        </is>
      </c>
      <c r="D231" s="13" t="inlineStr">
        <is>
          <t>TECHNICAL</t>
        </is>
      </c>
      <c r="E231" s="13" t="inlineStr">
        <is>
          <t>C</t>
        </is>
      </c>
      <c r="F231" s="13" t="inlineStr">
        <is>
          <t>Mandatory</t>
        </is>
      </c>
      <c r="G231" s="13" t="n">
        <v>44</v>
      </c>
      <c r="H231" s="13" t="inlineStr"/>
      <c r="I231" s="13" t="inlineStr"/>
    </row>
    <row r="232">
      <c r="A232" s="13" t="inlineStr">
        <is>
          <t>TW-C-0188</t>
        </is>
      </c>
      <c r="B232" s="13" t="inlineStr">
        <is>
          <t>C.27</t>
        </is>
      </c>
      <c r="C232" s="14" t="inlineStr">
        <is>
          <t>The U.S. Contractor also agrees that, unless dissemination is permitted by the Directive, it will not provide access
to export-controlled technical data subject to the Directive to persons other than its employees or persons acting on
its behalf, without the permission of the DOD component that provided the technical data.</t>
        </is>
      </c>
      <c r="D232" s="13" t="inlineStr">
        <is>
          <t>TECHNICAL</t>
        </is>
      </c>
      <c r="E232" s="13" t="inlineStr">
        <is>
          <t>C</t>
        </is>
      </c>
      <c r="F232" s="13" t="inlineStr">
        <is>
          <t>Desirable</t>
        </is>
      </c>
      <c r="G232" s="13" t="n">
        <v>44</v>
      </c>
      <c r="H232" s="13" t="inlineStr"/>
      <c r="I232" s="13" t="inlineStr"/>
    </row>
    <row r="233">
      <c r="A233" s="13" t="inlineStr">
        <is>
          <t>TW-C-0189</t>
        </is>
      </c>
      <c r="B233" s="13" t="inlineStr">
        <is>
          <t>C.27</t>
        </is>
      </c>
      <c r="C233" s="14" t="inlineStr">
        <is>
          <t>Canadian contractors may be qualified in accordance with the Directive for technical data that do not require a
license for export to Canada under section 125.12 of the International Traffic in Arms Regulations and sections
379.4(d) and 379.5(e) of the Export Administration Regulations, by submitting an equivalent certification to the
DLIC.</t>
        </is>
      </c>
      <c r="D233" s="13" t="inlineStr">
        <is>
          <t>TECHNICAL</t>
        </is>
      </c>
      <c r="E233" s="13" t="inlineStr">
        <is>
          <t>C</t>
        </is>
      </c>
      <c r="F233" s="13" t="inlineStr">
        <is>
          <t>Desirable</t>
        </is>
      </c>
      <c r="G233" s="13" t="n">
        <v>44</v>
      </c>
      <c r="H233" s="13" t="inlineStr"/>
      <c r="I233" s="13" t="inlineStr"/>
    </row>
    <row r="234">
      <c r="A234" s="15" t="inlineStr">
        <is>
          <t>TW-L-0001</t>
        </is>
      </c>
      <c r="B234" s="15" t="inlineStr">
        <is>
          <t>L</t>
        </is>
      </c>
      <c r="C234" s="16" t="inlineStr">
        <is>
          <t>N0017826R30020003 - FINAL
Page 94 of 114
(DEVIATION 2021-O0003)</t>
        </is>
      </c>
      <c r="D234" s="15" t="inlineStr">
        <is>
          <t>L_COMPLIANCE</t>
        </is>
      </c>
      <c r="E234" s="15" t="inlineStr">
        <is>
          <t>L</t>
        </is>
      </c>
      <c r="F234" s="15" t="inlineStr">
        <is>
          <t>Informational</t>
        </is>
      </c>
      <c r="G234" s="15" t="n">
        <v>96</v>
      </c>
      <c r="H234" s="15" t="inlineStr"/>
      <c r="I234" s="15" t="inlineStr"/>
    </row>
    <row r="235">
      <c r="A235" s="15" t="inlineStr">
        <is>
          <t>TW-L-0002</t>
        </is>
      </c>
      <c r="B235" s="15" t="inlineStr">
        <is>
          <t>L</t>
        </is>
      </c>
      <c r="C235" s="16" t="inlineStr">
        <is>
          <t>CLAUSES INCORPORATED BY FULL TEXT
52.211-14 NOTICE OF PRIORITY RATING FOR NATIONAL DEFENSE, EMERGENCY PREPAREDNESS,AND ENERGY USE PROGRAM (APR 2008) 
Any Task Order awarded as a result of this solicitation will be aDO-C9 rated order certified for national defense,emergency preparedness, and energy preparedness, and energy program use under the Defense Priorities and AllocationsSystem (DPAS) (15 CFR 700), and the Contractor will be required to follow all of the requirements of this regulation.
52.216-1 TYPE OF CONTRACT (APR 1984) 
The Government contemplates award of a Cost-Plus-Fixed-Fee contract Cost-Plus-Fixed-Fee (CPFF) for LaborCLINs (6xxx), Cost Only for ODC CLINs (7xxx), and Not Separately Priced (NSP) for Data CLINs (8xxx) Levelof Effort, Task Order, resulting from this solicitation.
52.233-2 SERVICE OF PROTEST   (SEP 2006)</t>
        </is>
      </c>
      <c r="D235" s="15" t="inlineStr">
        <is>
          <t>L_COMPLIANCE</t>
        </is>
      </c>
      <c r="E235" s="15" t="inlineStr">
        <is>
          <t>L</t>
        </is>
      </c>
      <c r="F235" s="15" t="inlineStr">
        <is>
          <t>Mandatory</t>
        </is>
      </c>
      <c r="G235" s="15" t="n">
        <v>96</v>
      </c>
      <c r="H235" s="15" t="inlineStr"/>
      <c r="I235" s="15" t="inlineStr"/>
    </row>
    <row r="236">
      <c r="A236" s="15" t="inlineStr">
        <is>
          <t>TW-L-0003</t>
        </is>
      </c>
      <c r="B236" s="15" t="inlineStr">
        <is>
          <t>L</t>
        </is>
      </c>
      <c r="C236" s="16" t="inlineStr">
        <is>
          <t>Protests, as defined in section 33.101 of the Federal Acquisition Regulation, that are filed directly with an agency,and copies of any protests that are filed with the Government Accountability Office (GAO), shall be served on theContracting Officer (addressed as follows) by obtaining written and dated acknowledgement of receipt from:
Bill J. Turner Jr.
bill.j.turner.civ@us.navy.mil</t>
        </is>
      </c>
      <c r="D236" s="15" t="inlineStr">
        <is>
          <t>L_COMPLIANCE</t>
        </is>
      </c>
      <c r="E236" s="15" t="inlineStr">
        <is>
          <t>L</t>
        </is>
      </c>
      <c r="F236" s="15" t="inlineStr">
        <is>
          <t>Mandatory</t>
        </is>
      </c>
      <c r="G236" s="15" t="n">
        <v>96</v>
      </c>
      <c r="H236" s="15" t="inlineStr"/>
      <c r="I236" s="15" t="inlineStr"/>
    </row>
    <row r="237">
      <c r="A237" s="15" t="inlineStr">
        <is>
          <t>TW-L-0004</t>
        </is>
      </c>
      <c r="B237" s="15" t="inlineStr">
        <is>
          <t>L</t>
        </is>
      </c>
      <c r="C237" s="16" t="inlineStr">
        <is>
          <t>The copy of any protest shall be received in the office designated above within one day of filing a protest with theGAO.
52.252-1   SOLICITATION PROVISIONS INCORPORATED BY REFERENCE (FEB 1998)
This solicitation incorporates one or more solicitation provisions by reference, with the same force and effect as if theywere given in full text. Upon request, the Contracting Officer will make its full text available. The Offeror is cautionedthat the listed provisions may include blocks that must be completed by the Offeror and submitted with its quotation oroffer. In lieu of submitting the full text of those provisions, the Offeror may identify the provision by paragraphidentifier and provide the appropriate information with its quotation or offer. Also, the full text of a solicitation provisionmay be accessed electronically at this address: https://www.acquisition.gov/
52.252-5 AUTHORIZED DEVIATIONS IN PROVISIONS (Nov 2020)</t>
        </is>
      </c>
      <c r="D237" s="15" t="inlineStr">
        <is>
          <t>L_COMPLIANCE</t>
        </is>
      </c>
      <c r="E237" s="15" t="inlineStr">
        <is>
          <t>L</t>
        </is>
      </c>
      <c r="F237" s="15" t="inlineStr">
        <is>
          <t>Mandatory</t>
        </is>
      </c>
      <c r="G237" s="15" t="n">
        <v>96</v>
      </c>
      <c r="H237" s="15" t="inlineStr"/>
      <c r="I237" s="15" t="inlineStr"/>
    </row>
    <row r="238">
      <c r="A238" s="15" t="inlineStr">
        <is>
          <t>TW-L-0005</t>
        </is>
      </c>
      <c r="B238" s="15" t="inlineStr">
        <is>
          <t>L</t>
        </is>
      </c>
      <c r="C238" s="16" t="inlineStr">
        <is>
          <t>NA VSEA may use a contractor to manage official contract files hereinafter referred to as "the support contractor",including the official file supporting this procurement. These official files may contain information that is considered atrade secret, proprietary, business sensitive or otherwise protected pursuant to law or regulation, hereinafter referred toas “protected information”. File management services consist of any of the following: secretarial or clerical support;data entry; document reproduction, scanning, imaging, or destruction; operation, management, or maintenance ofpaper-based or electronic mail rooms, file rooms, or libraries; and supervision in connection with functions listed herein.</t>
        </is>
      </c>
      <c r="D238" s="15" t="inlineStr">
        <is>
          <t>L_COMPLIANCE</t>
        </is>
      </c>
      <c r="E238" s="15" t="inlineStr">
        <is>
          <t>L</t>
        </is>
      </c>
      <c r="F238" s="15" t="inlineStr">
        <is>
          <t>Desirable</t>
        </is>
      </c>
      <c r="G238" s="15" t="n">
        <v>96</v>
      </c>
      <c r="H238" s="15" t="inlineStr"/>
      <c r="I238" s="15" t="inlineStr"/>
    </row>
    <row r="239">
      <c r="A239" s="15" t="inlineStr">
        <is>
          <t>TW-L-0006</t>
        </is>
      </c>
      <c r="B239" s="15" t="inlineStr">
        <is>
          <t>L</t>
        </is>
      </c>
      <c r="C239" s="16" t="inlineStr">
        <is>
          <t>The cognizant Contracting Officer will ensure that any NA VSEA contract under which these file managementservices are acquired will contain a requirement that</t>
        </is>
      </c>
      <c r="D239" s="15" t="inlineStr">
        <is>
          <t>L_COMPLIANCE</t>
        </is>
      </c>
      <c r="E239" s="15" t="inlineStr">
        <is>
          <t>L</t>
        </is>
      </c>
      <c r="F239" s="15" t="inlineStr">
        <is>
          <t>Mandatory</t>
        </is>
      </c>
      <c r="G239" s="15" t="n">
        <v>96</v>
      </c>
      <c r="H239" s="15" t="inlineStr"/>
      <c r="I239" s="15" t="inlineStr"/>
    </row>
    <row r="240">
      <c r="A240" s="15" t="inlineStr">
        <is>
          <t>TW-L-0007</t>
        </is>
      </c>
      <c r="B240" s="15" t="inlineStr">
        <is>
          <t>L</t>
        </is>
      </c>
      <c r="C240" s="16" t="inlineStr">
        <is>
          <t>The support contractor not disclose any information,</t>
        </is>
      </c>
      <c r="D240" s="15" t="inlineStr">
        <is>
          <t>L_COMPLIANCE</t>
        </is>
      </c>
      <c r="E240" s="15" t="inlineStr">
        <is>
          <t>L</t>
        </is>
      </c>
      <c r="F240" s="15" t="inlineStr">
        <is>
          <t>Informational</t>
        </is>
      </c>
      <c r="G240" s="15" t="n">
        <v>96</v>
      </c>
      <c r="H240" s="15" t="inlineStr"/>
      <c r="I240" s="15" t="inlineStr"/>
    </row>
    <row r="241">
      <c r="A241" s="15" t="inlineStr">
        <is>
          <t>TW-L-0008</t>
        </is>
      </c>
      <c r="B241" s="15" t="inlineStr">
        <is>
          <t>L</t>
        </is>
      </c>
      <c r="C241" s="16" t="inlineStr">
        <is>
          <t>In addition to any other rights the Offeror may have, it is a third party beneficiary who has the right of direct actionagainst the support contractor, or any person to whom the support contractor has released or disclosed ProtectedInformation, for the unauthorized duplication, release, or disclosure of such Protected Information.</t>
        </is>
      </c>
      <c r="D241" s="15" t="inlineStr">
        <is>
          <t>L_COMPLIANCE</t>
        </is>
      </c>
      <c r="E241" s="15" t="inlineStr">
        <is>
          <t>L</t>
        </is>
      </c>
      <c r="F241" s="15" t="inlineStr">
        <is>
          <t>Desirable</t>
        </is>
      </c>
      <c r="G241" s="15" t="n">
        <v>96</v>
      </c>
      <c r="H241" s="15" t="inlineStr"/>
      <c r="I241" s="15" t="inlineStr"/>
    </row>
    <row r="242">
      <c r="A242" s="15" t="inlineStr">
        <is>
          <t>TW-L-0009</t>
        </is>
      </c>
      <c r="B242" s="15" t="inlineStr">
        <is>
          <t>L</t>
        </is>
      </c>
      <c r="C242" s="16" t="inlineStr">
        <is>
          <t>Submission of a proposal will be considered as consent to NA VSEA's permitting access to any information,irrespective of restrictive markings or the nature of the information submitted, by its file management support contractorfor the limited purpose of executing its file support contract responsibilities.</t>
        </is>
      </c>
      <c r="D242" s="15" t="inlineStr">
        <is>
          <t>L_COMPLIANCE</t>
        </is>
      </c>
      <c r="E242" s="15" t="inlineStr">
        <is>
          <t>L</t>
        </is>
      </c>
      <c r="F242" s="15" t="inlineStr">
        <is>
          <t>Informational</t>
        </is>
      </c>
      <c r="G242" s="15" t="n">
        <v>96</v>
      </c>
      <c r="H242" s="15" t="inlineStr"/>
      <c r="I242" s="15" t="inlineStr"/>
    </row>
    <row r="243">
      <c r="A243" s="15" t="inlineStr">
        <is>
          <t>TW-L-0010</t>
        </is>
      </c>
      <c r="B243" s="15" t="inlineStr">
        <is>
          <t>L</t>
        </is>
      </c>
      <c r="C243" s="16" t="inlineStr">
        <is>
          <t>NA VSEA may, without further notice, enter into contracts with other contractors for these services. Offerors are freeto enter into separate non-disclosure agreements with the file support contractor. Contact the Procuring ContractingOfficer for contractor specifics. However, any such agreement will not be considered a prerequisite before informationsubmitted is stored in the files or otherwise encumber the Government.
*Note: For the purposes of SeaPort-NxG, Octo Consulting, the software provider/portal maintainer, is the solecontractor who, in the course of trouble-shooting, could have access to the official contract files maintained within theportal.
L-209-H009 NOTIFICATION OF POTENTIAL ORGANIZATIONAL OR PERSONAL CONFLICT(S) OFINTEREST (NA VSEA) (APR 2022)</t>
        </is>
      </c>
      <c r="D243" s="15" t="inlineStr">
        <is>
          <t>L_COMPLIANCE</t>
        </is>
      </c>
      <c r="E243" s="15" t="inlineStr">
        <is>
          <t>L</t>
        </is>
      </c>
      <c r="F243" s="15" t="inlineStr">
        <is>
          <t>Desirable</t>
        </is>
      </c>
      <c r="G243" s="15" t="n">
        <v>96</v>
      </c>
      <c r="H243" s="15" t="inlineStr"/>
      <c r="I243" s="15" t="inlineStr"/>
    </row>
    <row r="244">
      <c r="A244" s="15" t="inlineStr">
        <is>
          <t>TW-L-0011</t>
        </is>
      </c>
      <c r="B244" s="15" t="inlineStr">
        <is>
          <t>L</t>
        </is>
      </c>
      <c r="C244" s="16" t="inlineStr">
        <is>
          <t>Offerors are reminded that certain existing contractual arrangements may preclude, restrict or limit participation, inwhole or in part, either as a subcontractor or as a prime contractor under this competitive procurement.  Of primaryconcern are those contractual arrangements in which the Offeror provides support to IT Services, or related laboratories(if applicable), in support of operation of the office or any of its programs.  General guidance may be found in FAR9.505; however, this guidance is not all-inclusive.  The Offeror's attention is directed to the "Organizational Conflict ofInterest" (OCI) or similar requirement which may be contained in current or completed contract(s) which prohibits theprime or subcontractor from providing certain supplies or services to the Government as described above during theperiod of the current "support" contract(s) or for a period after completion of the "support" contract(s).  Notwithstandingthe existence or non-existence of an OCI or similar requirement in current or completed contract(s), the Offeror shallcomply with FAR subpart 9.5 and identify whether an OCI exists and not rely solely on the presence of an OCI orsimilar requirement.</t>
        </is>
      </c>
      <c r="D244" s="15" t="inlineStr">
        <is>
          <t>L_COMPLIANCE</t>
        </is>
      </c>
      <c r="E244" s="15" t="inlineStr">
        <is>
          <t>L</t>
        </is>
      </c>
      <c r="F244" s="15" t="inlineStr">
        <is>
          <t>Desirable</t>
        </is>
      </c>
      <c r="G244" s="15" t="n">
        <v>96</v>
      </c>
      <c r="H244" s="15" t="inlineStr"/>
      <c r="I244" s="15" t="inlineStr"/>
    </row>
    <row r="245">
      <c r="A245" s="15" t="inlineStr">
        <is>
          <t>TW-L-0012</t>
        </is>
      </c>
      <c r="B245" s="15" t="inlineStr">
        <is>
          <t>L</t>
        </is>
      </c>
      <c r="C245" s="16" t="inlineStr">
        <is>
          <t>Offerors also are reminded that certain potential conflicts of interest may arise where an Offeror has unequal accessto nonpublic information about a competitor that may provide the Offeror with an unfair competitive advantage andpreclude, restrict or limit participation, in whole or in part, either of the individual, subcontractor or prime contractorunder this competitive procurement.  For example, a potential conflict may arise if former Department of Navyemployee(s), subcontractors, or teaming partners of the Offeror may have gained access to nonpublic information abouta competitor through participation in previous or ongoing performance or during the solicitation development/sourceselection process associated with this competitive procurement, and then participates in the formation of the Offeror’ sproposal.  Other potential conflicts of interest may arise where either the former Department of Navy employee(s),subcontractors, or teaming partners of the Offeror under this competitive procurement set the ground rules forcompetition; for example, by drafting specifications or assisting in the drafting of the statement of work. Generalguidance may be found in FAR 3.101 and 9.505; however, this guidance is not all-inclusive.</t>
        </is>
      </c>
      <c r="D245" s="15" t="inlineStr">
        <is>
          <t>L_COMPLIANCE</t>
        </is>
      </c>
      <c r="E245" s="15" t="inlineStr">
        <is>
          <t>L</t>
        </is>
      </c>
      <c r="F245" s="15" t="inlineStr">
        <is>
          <t>Desirable</t>
        </is>
      </c>
      <c r="G245" s="15" t="n">
        <v>96</v>
      </c>
      <c r="H245" s="15" t="inlineStr"/>
      <c r="I245" s="15" t="inlineStr">
        <is>
          <t>FAR 3.101</t>
        </is>
      </c>
    </row>
    <row r="246">
      <c r="A246" s="15" t="inlineStr">
        <is>
          <t>TW-L-0013</t>
        </is>
      </c>
      <c r="B246" s="15" t="inlineStr">
        <is>
          <t>L</t>
        </is>
      </c>
      <c r="C246" s="16" t="inlineStr">
        <is>
          <t>If an Offeror identifies a potential conflict of interest that exists at any tier, that Offeror is requested to notify theContracting Officer within 14 days of the date of this solicitation.  The Offeror shall provide: (1) the contract or previoussource selection’ s solicitation number and name and phone number of the Contracting Officer for the contract whichgives rise to a potential conflict of interest; (2) a copy of the requirement; (3) the statement of work and technicalinstruction from the existing contract, as applicable; (4) a brief description of the type of work to be performed by eachsubcontractor under the competitive procurement; (5) a brief description of the individual’ s, subcontractor’ s, or teaming</t>
        </is>
      </c>
      <c r="D246" s="15" t="inlineStr">
        <is>
          <t>L_COMPLIANCE</t>
        </is>
      </c>
      <c r="E246" s="15" t="inlineStr">
        <is>
          <t>L</t>
        </is>
      </c>
      <c r="F246" s="15" t="inlineStr">
        <is>
          <t>Mandatory</t>
        </is>
      </c>
      <c r="G246" s="15" t="n">
        <v>96</v>
      </c>
      <c r="H246" s="15" t="inlineStr"/>
      <c r="I246" s="15" t="inlineStr"/>
    </row>
    <row r="247">
      <c r="A247" s="15" t="inlineStr">
        <is>
          <t>TW-L-0014</t>
        </is>
      </c>
      <c r="B247" s="15" t="inlineStr">
        <is>
          <t>L</t>
        </is>
      </c>
      <c r="C247" s="16" t="inlineStr">
        <is>
          <t>N0017826R30020003 - FINAL
Page 96 of 114
partner’ s unequal access to nonpublic information about a competitor, which may lead to a conflict of interest in theformation of the Offeror’ s proposal, or establishment of ground rules for this competitive procurement, as applicable; (6)an OCI mitigation plan, as applicable; and (7) any additional information the Contracting Officer should consider inmaking a determination of whether a conflict of interest exists.  The Government may independently verify theinformation received from the Offeror.  The requirement to identify potential conflicts of interest as outlined hereincontinues until contract award.  Notwithstanding the above, the Government reserves the right to determine whether aconflict of interest exists based on any information received from any source.</t>
        </is>
      </c>
      <c r="D247" s="15" t="inlineStr">
        <is>
          <t>L_COMPLIANCE</t>
        </is>
      </c>
      <c r="E247" s="15" t="inlineStr">
        <is>
          <t>L</t>
        </is>
      </c>
      <c r="F247" s="15" t="inlineStr">
        <is>
          <t>Highly Desirable</t>
        </is>
      </c>
      <c r="G247" s="15" t="n">
        <v>96</v>
      </c>
      <c r="H247" s="15" t="inlineStr"/>
      <c r="I247" s="15" t="inlineStr"/>
    </row>
    <row r="248">
      <c r="A248" s="15" t="inlineStr">
        <is>
          <t>TW-L-0015</t>
        </is>
      </c>
      <c r="B248" s="15" t="inlineStr">
        <is>
          <t>L</t>
        </is>
      </c>
      <c r="C248" s="16" t="inlineStr">
        <is>
          <t>The Government will notify an Offeror of any conflict of interest within 14 days of receipt of all requiredinformation.  Those Offerors deemed to have a conflict of interest may be ineligible for award.  Failure to provide theinformation in a timely manner does not waive the Government's rights to make a conflict of interest determination. The Offeror is notified that if it expends time and money on proposal preparation, such expenditure is at its own riskregardless of whether the Government determines a personal or organizational conflict of interest does or does not exist.</t>
        </is>
      </c>
      <c r="D248" s="15" t="inlineStr">
        <is>
          <t>L_COMPLIANCE</t>
        </is>
      </c>
      <c r="E248" s="15" t="inlineStr">
        <is>
          <t>L</t>
        </is>
      </c>
      <c r="F248" s="15" t="inlineStr">
        <is>
          <t>Desirable</t>
        </is>
      </c>
      <c r="G248" s="15" t="n">
        <v>96</v>
      </c>
      <c r="H248" s="15" t="inlineStr"/>
      <c r="I248" s="15" t="inlineStr"/>
    </row>
    <row r="249">
      <c r="A249" s="15" t="inlineStr">
        <is>
          <t>TW-L-0016</t>
        </is>
      </c>
      <c r="B249" s="15" t="inlineStr">
        <is>
          <t>L</t>
        </is>
      </c>
      <c r="C249" s="16" t="inlineStr">
        <is>
          <t>Any potential prime contractor which proposes an individual, subcontractor, or teaming partner later determined tohave a conflict of interest and deemed ineligible to participate in the current competition, may not be granted theopportunity to revise its proposal to remove the ineligible individual, subcontractor or teaming partner.  TheGovernment reserves the right to determine which Offerors remain in the competitive range through the normal sourceselection process.</t>
        </is>
      </c>
      <c r="D249" s="15" t="inlineStr">
        <is>
          <t>L_COMPLIANCE</t>
        </is>
      </c>
      <c r="E249" s="15" t="inlineStr">
        <is>
          <t>L</t>
        </is>
      </c>
      <c r="F249" s="15" t="inlineStr">
        <is>
          <t>Desirable</t>
        </is>
      </c>
      <c r="G249" s="15" t="n">
        <v>96</v>
      </c>
      <c r="H249" s="15" t="inlineStr"/>
      <c r="I249" s="15" t="inlineStr"/>
    </row>
    <row r="250">
      <c r="A250" s="15" t="inlineStr">
        <is>
          <t>TW-L-0017</t>
        </is>
      </c>
      <c r="B250" s="15" t="inlineStr">
        <is>
          <t>L</t>
        </is>
      </c>
      <c r="C250" s="16" t="inlineStr">
        <is>
          <t>If the Offeror determines that a potential organizational and/or personal conflict of interest does not exist at any tier,the Offeror shall include a statement to that effect in its response to this solicitation.
L-211-H001 UPDATES TO PERIOD OF PERFORMANCE AND DELIVERY DATES (NA VSEA) (JUN 2022)
For proposal purposes the estimated date of contract, task order, or delivery order award is 20 August 2026.  The governmentreserves the right to award sooner or later if necessary.  The delivery dates and/or period of performance start and enddates in Section F will be updated at award based upon actual contract, task order, or delivery order award date.
L-215-H004 INSTRUCTIONS FOR PRICING OF CONTRACT DATA REQUIREMENTS LIST (NA VSEA)(OCT 2018)</t>
        </is>
      </c>
      <c r="D250" s="15" t="inlineStr">
        <is>
          <t>L_COMPLIANCE</t>
        </is>
      </c>
      <c r="E250" s="15" t="inlineStr">
        <is>
          <t>L</t>
        </is>
      </c>
      <c r="F250" s="15" t="inlineStr">
        <is>
          <t>Mandatory</t>
        </is>
      </c>
      <c r="G250" s="15" t="n">
        <v>96</v>
      </c>
      <c r="H250" s="15" t="inlineStr"/>
      <c r="I250" s="15" t="inlineStr">
        <is>
          <t>Section F</t>
        </is>
      </c>
    </row>
    <row r="251">
      <c r="A251" s="15" t="inlineStr">
        <is>
          <t>TW-L-0018</t>
        </is>
      </c>
      <c r="B251" s="15" t="inlineStr">
        <is>
          <t>L</t>
        </is>
      </c>
      <c r="C251" s="16" t="inlineStr">
        <is>
          <t>The Offeror shall complete the “Price Group” (Block 17) and “Estimated Total Price” (Block 18) of each data itemon the Contract Data Requirements List (CDRL) of this solicitation using the following instructions:</t>
        </is>
      </c>
      <c r="D251" s="15" t="inlineStr">
        <is>
          <t>L_COMPLIANCE</t>
        </is>
      </c>
      <c r="E251" s="15" t="inlineStr">
        <is>
          <t>L</t>
        </is>
      </c>
      <c r="F251" s="15" t="inlineStr">
        <is>
          <t>Mandatory</t>
        </is>
      </c>
      <c r="G251" s="15" t="n">
        <v>96</v>
      </c>
      <c r="H251" s="15" t="inlineStr"/>
      <c r="I251" s="15" t="inlineStr"/>
    </row>
    <row r="252">
      <c r="A252" s="15" t="inlineStr">
        <is>
          <t>TW-L-0019</t>
        </is>
      </c>
      <c r="B252" s="15" t="inlineStr">
        <is>
          <t>L</t>
        </is>
      </c>
      <c r="C252" s="16" t="inlineStr">
        <is>
          <t>Group I.  Definition – Data which is not otherwise essential to the Offeror’ s performance of the primary contractedeffort (production, development, testing, and administration) but which is required by DD Form 1423.</t>
        </is>
      </c>
      <c r="D252" s="15" t="inlineStr">
        <is>
          <t>L_COMPLIANCE</t>
        </is>
      </c>
      <c r="E252" s="15" t="inlineStr">
        <is>
          <t>L</t>
        </is>
      </c>
      <c r="F252" s="15" t="inlineStr">
        <is>
          <t>Mandatory</t>
        </is>
      </c>
      <c r="G252" s="15" t="n">
        <v>96</v>
      </c>
      <c r="H252" s="15" t="inlineStr"/>
      <c r="I252" s="15" t="inlineStr"/>
    </row>
    <row r="253">
      <c r="A253" s="15" t="inlineStr">
        <is>
          <t>TW-L-0020</t>
        </is>
      </c>
      <c r="B253" s="15" t="inlineStr">
        <is>
          <t>L</t>
        </is>
      </c>
      <c r="C253" s="16" t="inlineStr">
        <is>
          <t>Group II.  Definition – Data which is essential to the performance of the primary contracted effort but the Offeror isrequired to perform additional work to conform to Government requirements with regard to depth of content, format,frequency of submittal, preparation, control, or quality of the data item.</t>
        </is>
      </c>
      <c r="D253" s="15" t="inlineStr">
        <is>
          <t>L_COMPLIANCE</t>
        </is>
      </c>
      <c r="E253" s="15" t="inlineStr">
        <is>
          <t>L</t>
        </is>
      </c>
      <c r="F253" s="15" t="inlineStr">
        <is>
          <t>Informational</t>
        </is>
      </c>
      <c r="G253" s="15" t="n">
        <v>96</v>
      </c>
      <c r="H253" s="15" t="inlineStr"/>
      <c r="I253" s="15" t="inlineStr"/>
    </row>
    <row r="254">
      <c r="A254" s="15" t="inlineStr">
        <is>
          <t>TW-L-0021</t>
        </is>
      </c>
      <c r="B254" s="15" t="inlineStr">
        <is>
          <t>L</t>
        </is>
      </c>
      <c r="C254" s="16" t="inlineStr">
        <is>
          <t>Group III.  Definition – Data which the Offeror must develop for his internal use in performance of the primarycontracted effort and does not require any substantial change to conform to Government requirements with regard todepth of content, format, frequency of submittal, preparation, control, or quality of the data item.</t>
        </is>
      </c>
      <c r="D254" s="15" t="inlineStr">
        <is>
          <t>L_COMPLIANCE</t>
        </is>
      </c>
      <c r="E254" s="15" t="inlineStr">
        <is>
          <t>L</t>
        </is>
      </c>
      <c r="F254" s="15" t="inlineStr">
        <is>
          <t>Mandatory</t>
        </is>
      </c>
      <c r="G254" s="15" t="n">
        <v>96</v>
      </c>
      <c r="H254" s="15" t="inlineStr"/>
      <c r="I254" s="15" t="inlineStr"/>
    </row>
    <row r="255">
      <c r="A255" s="15" t="inlineStr">
        <is>
          <t>TW-L-0022</t>
        </is>
      </c>
      <c r="B255" s="15" t="inlineStr">
        <is>
          <t>L</t>
        </is>
      </c>
      <c r="C255" s="16" t="inlineStr">
        <is>
          <t>N0017826R30020003 - FINAL
Page 97 of 114
his effort in supplying these data to the Government is minimal.</t>
        </is>
      </c>
      <c r="D255" s="15" t="inlineStr">
        <is>
          <t>L_COMPLIANCE</t>
        </is>
      </c>
      <c r="E255" s="15" t="inlineStr">
        <is>
          <t>L</t>
        </is>
      </c>
      <c r="F255" s="15" t="inlineStr">
        <is>
          <t>Informational</t>
        </is>
      </c>
      <c r="G255" s="15" t="n">
        <v>96</v>
      </c>
      <c r="H255" s="15" t="inlineStr"/>
      <c r="I255" s="15" t="inlineStr"/>
    </row>
    <row r="256">
      <c r="A256" s="15" t="inlineStr">
        <is>
          <t>TW-L-0023</t>
        </is>
      </c>
      <c r="B256" s="15" t="inlineStr">
        <is>
          <t>L</t>
        </is>
      </c>
      <c r="C256" s="16" t="inlineStr">
        <is>
          <t>Estimated Price – Group IV items should normally be shown on the DD Form 1423 at no cost.</t>
        </is>
      </c>
      <c r="D256" s="15" t="inlineStr">
        <is>
          <t>L_COMPLIANCE</t>
        </is>
      </c>
      <c r="E256" s="15" t="inlineStr">
        <is>
          <t>L</t>
        </is>
      </c>
      <c r="F256" s="15" t="inlineStr">
        <is>
          <t>Highly Desirable</t>
        </is>
      </c>
      <c r="G256" s="15" t="n">
        <v>96</v>
      </c>
      <c r="H256" s="15" t="inlineStr"/>
      <c r="I256" s="15" t="inlineStr"/>
    </row>
    <row r="257">
      <c r="A257" s="15" t="inlineStr">
        <is>
          <t>TW-L-0024</t>
        </is>
      </c>
      <c r="B257" s="15" t="inlineStr">
        <is>
          <t>L</t>
        </is>
      </c>
      <c r="C257" s="16" t="inlineStr">
        <is>
          <t>Block 18.  For each data item, enter an amount equal to that portion of the total price which is estimated to beattributable to the production or development for the Government of that item of data.  The estimated data prices shallbe developed only from those costs which will be incurred as a direct result of the requirement to supply the data, overand above those costs which would otherwise be incurred in performance of the contract if no data were required.  Theentry “N/C” for “no charge” will be acceptable.  The estimated price shall not include any amount for rights in data. The Government’ s rights to use the data shall be governed by the pertinent provisions of the contract.
L-215-H006 SUBMISSION OF QUESTIONS BY OFFERORS--BASIC (NA VSEA) (APR 2022)</t>
        </is>
      </c>
      <c r="D257" s="15" t="inlineStr">
        <is>
          <t>L_COMPLIANCE</t>
        </is>
      </c>
      <c r="E257" s="15" t="inlineStr">
        <is>
          <t>L</t>
        </is>
      </c>
      <c r="F257" s="15" t="inlineStr">
        <is>
          <t>Mandatory</t>
        </is>
      </c>
      <c r="G257" s="15" t="n">
        <v>96</v>
      </c>
      <c r="H257" s="15" t="inlineStr"/>
      <c r="I257" s="15" t="inlineStr"/>
    </row>
    <row r="258">
      <c r="A258" s="15" t="inlineStr">
        <is>
          <t>TW-L-0025</t>
        </is>
      </c>
      <c r="B258" s="15" t="inlineStr">
        <is>
          <t>L</t>
        </is>
      </c>
      <c r="C258" s="16" t="inlineStr">
        <is>
          <t>Offerors may submit questions or request clarification of any aspect of this solicitation.  It is the Offeror’ sresponsibility to bring to the attention of the Contracting Officer at the earliest possible time, but prior to the closingdate, any ambiguities, discrepancies, inconsistencies, or conflicts between the SOW or PWS (as applicable) and othersolicitation documents attached hereto or incorporated by reference.  Each question should identify solicitation number,document, page number, paragraph number or other identifier relating to the question.  Questions without thisinformation may not be answered.  Acknowledgment of questions received will not be made.</t>
        </is>
      </c>
      <c r="D258" s="15" t="inlineStr">
        <is>
          <t>L_COMPLIANCE</t>
        </is>
      </c>
      <c r="E258" s="15" t="inlineStr">
        <is>
          <t>L</t>
        </is>
      </c>
      <c r="F258" s="15" t="inlineStr">
        <is>
          <t>Highly Desirable</t>
        </is>
      </c>
      <c r="G258" s="15" t="n">
        <v>96</v>
      </c>
      <c r="H258" s="15" t="inlineStr"/>
      <c r="I258" s="15" t="inlineStr"/>
    </row>
    <row r="259">
      <c r="A259" s="15" t="inlineStr">
        <is>
          <t>TW-L-0026</t>
        </is>
      </c>
      <c r="B259" s="15" t="inlineStr">
        <is>
          <t>L</t>
        </is>
      </c>
      <c r="C259" s="16" t="inlineStr">
        <is>
          <t>All questions shall be submitted via the SeaPort portal for this solicitation.  Responses will be posted to the SeaPortportal.
L-216-H001 TASK ORDER GENERAL INFORMATION (NA VSEA) (JUL 2023)</t>
        </is>
      </c>
      <c r="D259" s="15" t="inlineStr">
        <is>
          <t>L_COMPLIANCE</t>
        </is>
      </c>
      <c r="E259" s="15" t="inlineStr">
        <is>
          <t>L</t>
        </is>
      </c>
      <c r="F259" s="15" t="inlineStr">
        <is>
          <t>Mandatory</t>
        </is>
      </c>
      <c r="G259" s="15" t="n">
        <v>96</v>
      </c>
      <c r="H259" s="15" t="inlineStr"/>
      <c r="I259" s="15" t="inlineStr"/>
    </row>
    <row r="260">
      <c r="A260" s="15" t="inlineStr">
        <is>
          <t>TW-L-0027</t>
        </is>
      </c>
      <c r="B260" s="15" t="inlineStr">
        <is>
          <t>L</t>
        </is>
      </c>
      <c r="C260" s="16" t="inlineStr">
        <is>
          <t>There[x ] will be [  ]will not be an industry day.  If there will be an industry day, information will be providedelsewhere in this Section L.</t>
        </is>
      </c>
      <c r="D260" s="15" t="inlineStr">
        <is>
          <t>L_COMPLIANCE</t>
        </is>
      </c>
      <c r="E260" s="15" t="inlineStr">
        <is>
          <t>L</t>
        </is>
      </c>
      <c r="F260" s="15" t="inlineStr">
        <is>
          <t>Informational</t>
        </is>
      </c>
      <c r="G260" s="15" t="n">
        <v>96</v>
      </c>
      <c r="H260" s="15" t="inlineStr"/>
      <c r="I260" s="15" t="inlineStr">
        <is>
          <t>Section L</t>
        </is>
      </c>
    </row>
    <row r="261">
      <c r="A261" s="15" t="inlineStr">
        <is>
          <t>TW-L-0028</t>
        </is>
      </c>
      <c r="B261" s="15" t="inlineStr">
        <is>
          <t>L</t>
        </is>
      </c>
      <c r="C261" s="16" t="inlineStr">
        <is>
          <t>Proposal in response to this solicitation shall be valid for 365 calendar days.</t>
        </is>
      </c>
      <c r="D261" s="15" t="inlineStr">
        <is>
          <t>L_COMPLIANCE</t>
        </is>
      </c>
      <c r="E261" s="15" t="inlineStr">
        <is>
          <t>L</t>
        </is>
      </c>
      <c r="F261" s="15" t="inlineStr">
        <is>
          <t>Mandatory</t>
        </is>
      </c>
      <c r="G261" s="15" t="n">
        <v>96</v>
      </c>
      <c r="H261" s="15" t="inlineStr"/>
      <c r="I261" s="15" t="inlineStr"/>
    </row>
    <row r="262">
      <c r="A262" s="15" t="inlineStr">
        <is>
          <t>TW-L-0029</t>
        </is>
      </c>
      <c r="B262" s="15" t="inlineStr">
        <is>
          <t>L</t>
        </is>
      </c>
      <c r="C262" s="16" t="inlineStr">
        <is>
          <t>Please consider the following suggestions for avoiding last-minute proposal submission problems:
 Verify your account’ s ability to submit the necessary proposal information (either as a prime or subcontractor) well inadvance of the closing time.  This may be accomplished through the following steps:</t>
        </is>
      </c>
      <c r="D262" s="15" t="inlineStr">
        <is>
          <t>L_COMPLIANCE</t>
        </is>
      </c>
      <c r="E262" s="15" t="inlineStr">
        <is>
          <t>L</t>
        </is>
      </c>
      <c r="F262" s="15" t="inlineStr">
        <is>
          <t>Desirable</t>
        </is>
      </c>
      <c r="G262" s="15" t="n">
        <v>96</v>
      </c>
      <c r="H262" s="15" t="inlineStr"/>
      <c r="I262" s="15" t="inlineStr"/>
    </row>
    <row r="263">
      <c r="A263" s="15" t="inlineStr">
        <is>
          <t>TW-L-0030</t>
        </is>
      </c>
      <c r="B263" s="15" t="inlineStr">
        <is>
          <t>L</t>
        </is>
      </c>
      <c r="C263" s="16" t="inlineStr">
        <is>
          <t>Login to the portal and access the “View Events Details” page for this solicitation.</t>
        </is>
      </c>
      <c r="D263" s="15" t="inlineStr">
        <is>
          <t>L_COMPLIANCE</t>
        </is>
      </c>
      <c r="E263" s="15" t="inlineStr">
        <is>
          <t>L</t>
        </is>
      </c>
      <c r="F263" s="15" t="inlineStr">
        <is>
          <t>Informational</t>
        </is>
      </c>
      <c r="G263" s="15" t="n">
        <v>96</v>
      </c>
      <c r="H263" s="15" t="inlineStr"/>
      <c r="I263" s="15" t="inlineStr"/>
    </row>
    <row r="264">
      <c r="A264" s="15" t="inlineStr">
        <is>
          <t>TW-L-0031</t>
        </is>
      </c>
      <c r="B264" s="15" t="inlineStr">
        <is>
          <t>L</t>
        </is>
      </c>
      <c r="C264" s="16" t="inlineStr">
        <is>
          <t>Click on “Place New Bid” in the “Bids” section of the page.  This will open the “Place New Bids” page.</t>
        </is>
      </c>
      <c r="D264" s="15" t="inlineStr">
        <is>
          <t>L_COMPLIANCE</t>
        </is>
      </c>
      <c r="E264" s="15" t="inlineStr">
        <is>
          <t>L</t>
        </is>
      </c>
      <c r="F264" s="15" t="inlineStr">
        <is>
          <t>Informational</t>
        </is>
      </c>
      <c r="G264" s="15" t="n">
        <v>96</v>
      </c>
      <c r="H264" s="15" t="inlineStr"/>
      <c r="I264" s="15" t="inlineStr"/>
    </row>
    <row r="265">
      <c r="A265" s="15" t="inlineStr">
        <is>
          <t>TW-L-0032</t>
        </is>
      </c>
      <c r="B265" s="15" t="inlineStr">
        <is>
          <t>L</t>
        </is>
      </c>
      <c r="C265" s="16" t="inlineStr">
        <is>
          <t>If you are submitting a proposal as a prime, ensure that the “Enter Pricing Info” button is visible and enabled.  Fromhere you may simply hit the “Cancel” button to return to the previous page.</t>
        </is>
      </c>
      <c r="D265" s="15" t="inlineStr">
        <is>
          <t>L_COMPLIANCE</t>
        </is>
      </c>
      <c r="E265" s="15" t="inlineStr">
        <is>
          <t>L</t>
        </is>
      </c>
      <c r="F265" s="15" t="inlineStr">
        <is>
          <t>Desirable</t>
        </is>
      </c>
      <c r="G265" s="15" t="n">
        <v>96</v>
      </c>
      <c r="H265" s="15" t="inlineStr"/>
      <c r="I265" s="15" t="inlineStr"/>
    </row>
    <row r="266">
      <c r="A266" s="15" t="inlineStr">
        <is>
          <t>TW-L-0033</t>
        </is>
      </c>
      <c r="B266" s="15" t="inlineStr">
        <is>
          <t>L</t>
        </is>
      </c>
      <c r="C266" s="16" t="inlineStr">
        <is>
          <t>N0017826R30020003 - FINAL
Page 98 of 114
 (j)  If things do not appear as you believe they should, contact SeaPortSupport.fct@navy.mil for assistance.
L-239-W001 REQUIREMENTS FOR ELECTRONIC INFORMATION TECHNOLOGY (EIT)ACCESSIBILITY STANDARDS/SECTION 508 COMPLIANCE (NA VSEA) (OCT 2018)</t>
        </is>
      </c>
      <c r="D266" s="15" t="inlineStr">
        <is>
          <t>L_COMPLIANCE</t>
        </is>
      </c>
      <c r="E266" s="15" t="inlineStr">
        <is>
          <t>L</t>
        </is>
      </c>
      <c r="F266" s="15" t="inlineStr">
        <is>
          <t>Highly Desirable</t>
        </is>
      </c>
      <c r="G266" s="15" t="n">
        <v>96</v>
      </c>
      <c r="H266" s="15" t="inlineStr"/>
      <c r="I266" s="15" t="inlineStr"/>
    </row>
    <row r="267">
      <c r="A267" s="15" t="inlineStr">
        <is>
          <t>TW-L-0034</t>
        </is>
      </c>
      <c r="B267" s="15" t="inlineStr">
        <is>
          <t>L</t>
        </is>
      </c>
      <c r="C267" s="16" t="inlineStr">
        <is>
          <t>Requirements for accessibility based on Section 508 of the Rehabilitation Act of 1973 (29 U.S.C. 794d) aredetermined to be relevant for product(s)/service(s) procured under this solicitation.  All offerors __ arerequired, X are not required to submit a V oluntary Product Accessibility Template (VPAT) for items or a GovernmentProduct/Service Accessibility Template (GPAT) for service to document compliance with the indicated Section 508Standards.
If required, offerors, which do not provide a VPAT or GPAT, may be determined technically unacceptable.
 (b)  Each Electronic and Information Technology (EIT) item or service provided under this contract shall comply withthe EIT Accessibility Standards listed below:
 _X___ 36 C.F.R. § 1194.21 - Software applications and operating systems
_X___ 36 C.F.R. § 1194.22 - Web-based and internet information and applications
_X___ 36 C.F.R. § 1194.23 - Telecommunications products
_X___ 36 C.F.R. § 1194.24 - Video and multimedia products
_X___ 36 C.F.R. § 1194.25 - Self-contained, closed products
_X___ 36 C.F.R. § 1194.26 - Desktop and portable computers
_X___ 36 C.F.R. § 1194.31 - Functional Performance Criteria
_____ 36 C.F.R. § 1194.41 - Information, Documentation, and Support
 (c)  For more information on VPATs and GPATs please referto: http://www.buyaccessible.gov/ or http://www.section508.gov/content/sell/vpat
L-245-H001 A V AILABILITY OF GOVERNMENT PROPERTY (NA VSEA) (JUL 2024) 
Government property is offered for use under this solicitation.  The contractor is responsible for all costs related tomaking the property available for use, including (but not limited to) payment of all transportation, installation, andrehabilitation costs.
L-245-H002 INSTRUCTIONS REGARDING GOVERNMENT PROPERTY (NA VSEA) (JUL 2024)
All offerors shall submit the following information in their proposal:</t>
        </is>
      </c>
      <c r="D267" s="15" t="inlineStr">
        <is>
          <t>L_COMPLIANCE</t>
        </is>
      </c>
      <c r="E267" s="15" t="inlineStr">
        <is>
          <t>L</t>
        </is>
      </c>
      <c r="F267" s="15" t="inlineStr">
        <is>
          <t>Mandatory</t>
        </is>
      </c>
      <c r="G267" s="15" t="n">
        <v>96</v>
      </c>
      <c r="H267" s="15" t="inlineStr"/>
      <c r="I267" s="15" t="inlineStr"/>
    </row>
    <row r="268">
      <c r="A268" s="15" t="inlineStr">
        <is>
          <t>TW-L-0035</t>
        </is>
      </c>
      <c r="B268" s="15" t="inlineStr">
        <is>
          <t>L</t>
        </is>
      </c>
      <c r="C268" s="16" t="inlineStr">
        <is>
          <t>A list or description of all Government property that the offeror or its subcontractors propose to use on a rent-freebasis. The list shall identify the accountable contract under which the property is held and the authorization for its use(from the contracting officer having cognizance of the property);</t>
        </is>
      </c>
      <c r="D268" s="15" t="inlineStr">
        <is>
          <t>L_COMPLIANCE</t>
        </is>
      </c>
      <c r="E268" s="15" t="inlineStr">
        <is>
          <t>L</t>
        </is>
      </c>
      <c r="F268" s="15" t="inlineStr">
        <is>
          <t>Mandatory</t>
        </is>
      </c>
      <c r="G268" s="15" t="n">
        <v>96</v>
      </c>
      <c r="H268" s="15" t="inlineStr"/>
      <c r="I268" s="15" t="inlineStr"/>
    </row>
    <row r="269">
      <c r="A269" s="15" t="inlineStr">
        <is>
          <t>TW-L-0036</t>
        </is>
      </c>
      <c r="B269" s="15" t="inlineStr">
        <is>
          <t>L</t>
        </is>
      </c>
      <c r="C269" s="16" t="inlineStr">
        <is>
          <t>A description of the offeror's property management system, plan, and any customary commercial practices, voluntaryconsensus standards, or industry-leading practices and standards to be used by the offeror in managing Governmentproperty.
1.0 INSTRUCTIONS FOR SUBMISSION OF OFFERS
Offeror shall comply with the detailed instructions for the format and content of the proposal.  Proposals shall be clear andunambiguous. Proposals that do not comply with the detailed instructions for the format and content of the proposal mayrender the Offeror ineligible for award.  The Government reserves the right to reject any proposal that does not complywith these proposal submission instructions.</t>
        </is>
      </c>
      <c r="D269" s="15" t="inlineStr">
        <is>
          <t>L_COMPLIANCE</t>
        </is>
      </c>
      <c r="E269" s="15" t="inlineStr">
        <is>
          <t>L</t>
        </is>
      </c>
      <c r="F269" s="15" t="inlineStr">
        <is>
          <t>Mandatory</t>
        </is>
      </c>
      <c r="G269" s="15" t="n">
        <v>96</v>
      </c>
      <c r="H269" s="15" t="inlineStr"/>
      <c r="I269" s="15" t="inlineStr"/>
    </row>
    <row r="270">
      <c r="A270" s="15" t="inlineStr">
        <is>
          <t>TW-L-0037</t>
        </is>
      </c>
      <c r="B270" s="15" t="inlineStr">
        <is>
          <t>L</t>
        </is>
      </c>
      <c r="C270" s="16" t="inlineStr">
        <is>
          <t>N0017826R30020003 - FINAL
Page 99 of 114
Proposals shall be submitted through the SeaPort-NxG portal by the solicitation closing date and time specified on thecover page of this solicitation, block (9).  Offers must be received via the SeaPort-NxG portal by the closing date and timein order to be considered for award.  It is not permissible to upload a link to an internet-based data center (e.g. Googlecloud or Dropbox).  Offeror shall submit all required proposal information as files uploaded directly in the SeaPort-NxGportal.   In the rare event the portal is down or inaccessible, Offeror shall immediately notify the cognizant ContractingOfficer for the solicitation via e-mail prior to the solicitation closing date and time.  Offeror shall also contact theSeaPort-NxG helpdesk to register a help ticket that the portal is down or inoperable prior to the closing time and date.  Inthe rare event of a portal malfunction, arrangements must be made with the Contracting Officer cognizant for thesolicitation prior to the solicitation closing date and time in order to submit a proposal electronically outside the portal. Failure to submit a complete proposal prior to the solicitation closing date and time will render the proposal late andunacceptable. 
Offerorsareresponsibleforsubmittingproposalsandany proposal modifications intheportalbythetimespecifiedinthesolicitation. Anyproposalmodificationnotsubmittedintheportalbytheexacttimespecifiedforreceiptofoffersis“late”andwillnotbeconsidered.ThesolicitationwillcloseattheexactdateandtimespecifiedinthesolicitationandOfferorswillbeunabletosubmititsproposalafterthattime.Eachproposalsubmittedintheportalistime/datestamprecordedbytheportalattimeofproposalupload. Proposalsmaybewithdrawnbywrittennoticetothe cognizant ContractingOfficerfor the solicitationprovidedsuchnoticeisreceivedpriortoTaskOrderaward.
2.0 Proposal Format
In order to maximize efficiency and minimize the time for proposal evaluation, all Offerors shall submit their proposals inaccordance with the format and content specified below.   The requirements below apply equally to subcontractors. Proposals that do not meet the below requirements may be deemed unresponsive and may not be eligible for award.  Theelectronic proposal shall be prepared so that if printed, the proposal meets the following format requirements:
· 8.5 x 11 inch paper
· Single-spaced typed lines
· 1 inch margins
· Font text shall be 12-point Times New Roman, except for:
· Graphs, graphics, tables, or charts used to supplement the proposal text shall use Times New Roman that is no smaller than9-point font size.
· Microsoft Office Excel spreadsheets shall use Times New Roman that is no smaller than 9-point font size.  These Excelspreadsheets shall be formatted for printing in landscape orientation such that all row and column headings appear oneach printed page. All spreadsheets shall include calculations in the cells showing all formulas.  Do not enter hard datawhere formulas were used to calculate the entered value. 
· No hyperlinks
· Proposals shall beinEnglishandinU.S.dollars.
· Proposals shall be Microsoft Office (Word, Excel, PowerPoint) 2010 and newer versions or Adobe Acrobat (PDF)compatible.  PDF files shall be searchable when reviewed electronically. 
2.1 Cover Page and Table of Contents
Offeror shall include a cover page and table of contents for each proposal volume.  The cover page shall identify thesolicitation number, proposal volume and title, and the Offeror’ s name. The cover page and table of contents will notcount against page limitations.    
2.2 Glossary of Abbreviations and Acronyms
Offer shall include a glossary of abbreviations and acronyms for each proposal volume that provides correspondingdefinitions.  Glossaries will not count against page limitations.
2.3 Page Numbering System</t>
        </is>
      </c>
      <c r="D270" s="15" t="inlineStr">
        <is>
          <t>L_COMPLIANCE</t>
        </is>
      </c>
      <c r="E270" s="15" t="inlineStr">
        <is>
          <t>L</t>
        </is>
      </c>
      <c r="F270" s="15" t="inlineStr">
        <is>
          <t>Mandatory</t>
        </is>
      </c>
      <c r="G270" s="15" t="n">
        <v>96</v>
      </c>
      <c r="H270" s="15" t="inlineStr"/>
      <c r="I270" s="15" t="inlineStr"/>
    </row>
    <row r="271">
      <c r="A271" s="15" t="inlineStr">
        <is>
          <t>TW-L-0038</t>
        </is>
      </c>
      <c r="B271" s="15" t="inlineStr">
        <is>
          <t>L</t>
        </is>
      </c>
      <c r="C271" s="16" t="inlineStr">
        <is>
          <t>N0017826R30020003 - FINAL
Page 100 of 114
Offeror shall use a standard page numbering system to facilitate proposal references.  All pages shall be numberedconsecutively for each section within a volume.  Charts, graphs, and other inserted materials shall be included in thepage numbering system. 
2.4  Restriction on Disclosure and Use of Data
Offerorsthatincludeintheirproposalsdatathattheydonotwantdisclosedtothepublicforanypurpose,orusedbytheGovernmentexceptforevaluationpurposes, shall markthetitlepagewiththefollowinglegend:
"ThisproposalincludesdatathatshallnotbedisclosedoutsidetheGovernmentandshallnotbeduplicated,used,ordisclosedinwholeorinpartforanypurposeotherthantoevaluatethisproposal.If,however,acontractisawardedtothisOfferorasaresultof,orinconnectionwith,thesubmissionofthisdata,theGovernmentshallhavetherighttoduplicate,use,ordisclosethedatatotheextentprovidedintheresultingcontract.ThisrestrictiondoesnotlimittheGovernment’srighttouseinformationcontainedinthisdataifitisobtainedfromanothersourcewithoutrestriction.Thedatasubjecttothisrestrictionarecontainedinsheets[insertnumbersorotheridentificationofsheets]";
Offerors shall also markeachsheetofdataitwishestorestrictwiththefollowinglegend:
"Useordisclosureofdatacontainedonthissheetissubjecttotherestrictiononthetitlepageofthisproposal."    
2.5 File Naming Convention
All proposal files shall include the Offeror's company name, volume #, document name, and other useful identifyinginformation.  For example:
§  Company_V olume_I _Technical Approach
§  Company_V olume_I_Key Personnel Resume for Jane Doe
§  Company_V olume_II _Past Performance Reference for N00178-26-R-3002
§  Company_V olume_III _Cost Proposal Narrative
§  Company_V olume_IV_Cover Letter
3.0 PROPOSAL ORGANIZATION AND CONTENT
Offeror shall organize its proposal and include all proposal content exactly as described herein.  Offeror shall organizeits proposal into separate volumes and adhere to page limitations as delineated in the Proposal Organization Tablebelow.  Page limitations will be treated as maximums.  If exceeded, excess pages may not be read or considered inproposal evaluation. When both sides of a sheet display printed material, it shall be counted as two pages. 
Proposal Organization Table
V olume Proposal Content Page Limitation
VOLUME I - Technical 
(Factor 1)
Element A: Technical Approach50 pages
Element B: Management Approach25 pages 
Element C: Personnel ApproachStaffing Plan– No page limit.
Key Personnel: 2pages per resume.
VOLUME II - PastPerformance (Factor 2)Past Performance References</t>
        </is>
      </c>
      <c r="D271" s="15" t="inlineStr">
        <is>
          <t>L_COMPLIANCE</t>
        </is>
      </c>
      <c r="E271" s="15" t="inlineStr">
        <is>
          <t>L</t>
        </is>
      </c>
      <c r="F271" s="15" t="inlineStr">
        <is>
          <t>Mandatory</t>
        </is>
      </c>
      <c r="G271" s="15" t="n">
        <v>96</v>
      </c>
      <c r="H271" s="15" t="inlineStr"/>
      <c r="I271" s="15" t="inlineStr"/>
    </row>
    <row r="272">
      <c r="A272" s="15" t="inlineStr">
        <is>
          <t>TW-L-0039</t>
        </is>
      </c>
      <c r="B272" s="15" t="inlineStr">
        <is>
          <t>L</t>
        </is>
      </c>
      <c r="C272" s="16" t="inlineStr">
        <is>
          <t>3 pages per reference
V olume III - Cost Proposal
(Factor 3)
Cost Proposal Spreadsheet
Cost Proposal Narrative
No page limit</t>
        </is>
      </c>
      <c r="D272" s="15" t="inlineStr">
        <is>
          <t>L_COMPLIANCE</t>
        </is>
      </c>
      <c r="E272" s="15" t="inlineStr">
        <is>
          <t>L</t>
        </is>
      </c>
      <c r="F272" s="15" t="inlineStr">
        <is>
          <t>Informational</t>
        </is>
      </c>
      <c r="G272" s="15" t="n">
        <v>96</v>
      </c>
      <c r="H272" s="15" t="inlineStr"/>
      <c r="I272" s="15" t="inlineStr"/>
    </row>
    <row r="273">
      <c r="A273" s="15" t="inlineStr">
        <is>
          <t>TW-L-0040</t>
        </is>
      </c>
      <c r="B273" s="15" t="inlineStr">
        <is>
          <t>L</t>
        </is>
      </c>
      <c r="C273" s="16" t="inlineStr">
        <is>
          <t>N0017826R30020003 - FINAL
Page 101 of 114
VOLUME IV - ContractDocumentation  Cover letter
Solicitation Fill-ins
OCI Mitigation Plan
Pre-Award Survey (SF1408)
Security Requirements (DD 254)
Government Furnished Property
No page limit
3.1    VOLUME I - TECHNICAL (FACTOR 1)
3.1.1 Element A - Technical Approach
The submission of an offer constitutes unconditional acceptance to perform all of the tasks described in the SOW/PWS;therefore, Offeror’ s proposal need not address every single aspect of the SOW/PWS.  Offeror shall describe its specificunderstanding, capability, experience, and technical approach with regards to the following requirements:
Tasks described in C.3 through C.4 of the Statement of Work. 
Offeror should organize its technical approach by grouping together capability, understanding, experience, and approachby specific SOW/PWS requirements, and/or by sample problem if applicable.  Offeror shall clearly demonstrate itsability to meet the requirements.  Offeror shall provide explanatory details assuming that the Government has no priorknowledge of its facilities, capabilities, or experience.  Offerors shall identify technical uncertainties and assumptionswithin the requirements and provide specific courses of action for their resolution. Offerors are encouraged to addressany innovative approaches to meeting the requirements. Offeror shall not simply rephrase or restate the Government’ srequirements in the proposal.  Proposals that merely reiterate the Government’ s own requirements shall be deemedunacceptable and thus ineligible for award.  Offerors are cautioned that failure to provide the necessary information mayresult in its adjectival ratings being downgraded accordingly.
3.1.2 Element B - Management Approach
Offeror shall:
§  Describe overall management approach including details about processes, tools, and other unique characteristics thatdemonstrate the ability to successfully manage this effort. 
§  Provide an organizational chart and describe the management structure addressing the roles and responsibilities of keypersonnel and the reporting lines of authority. 
§  Describe the approach to communication with Government and other stakeholders including details on status reports,meetings, and other forms of communication.  
§  Describe the quality control process including a discussion on how performance and deliverables will meet theGovernment’ s quality standards in accordance with Attachment -J.3 QASP.
§  Describe the approach for monitoring and controlling costs during performance.
§  Describe the approach for risk management including identification of risks and mitigation strategy.
§  Describe the subcontractor team being proposed under this task order, the specific requirements anticipated to besubcontracted, the rationale for why these subcontractors were selected to perform this work, and the overall approach tosubcontractor management.  
§  Describe a detailed plan of action addressing all required steps that need to be taken to fully assume responsibilitiesunder this task order within a proposed transition period.  This plan shall identify measurable milestones for whenactions will be completed.  This plan shall address hiring, onboarding, and training of new personnel.</t>
        </is>
      </c>
      <c r="D273" s="15" t="inlineStr">
        <is>
          <t>L_COMPLIANCE</t>
        </is>
      </c>
      <c r="E273" s="15" t="inlineStr">
        <is>
          <t>L</t>
        </is>
      </c>
      <c r="F273" s="15" t="inlineStr">
        <is>
          <t>Mandatory</t>
        </is>
      </c>
      <c r="G273" s="15" t="n">
        <v>96</v>
      </c>
      <c r="H273" s="15" t="inlineStr"/>
      <c r="I273" s="15" t="inlineStr">
        <is>
          <t>C.3, C.4, J.3</t>
        </is>
      </c>
    </row>
    <row r="274">
      <c r="A274" s="15" t="inlineStr">
        <is>
          <t>TW-L-0041</t>
        </is>
      </c>
      <c r="B274" s="15" t="inlineStr">
        <is>
          <t>J.5</t>
        </is>
      </c>
      <c r="C274" s="16" t="inlineStr">
        <is>
          <t>N0017826R30020003 - FINAL
Page 102 of 114
3.1.3 Element C – Personnel Approach
Staffing Plan. Offeror shall provide a staffing plan using the format provided in Attachment J.5 – Staffing Plan. Offeror shall complete all of the information requested within the provided template. Offeror shall include all proposedpersonnel, including those of its subcontractors, necessary to perform all aspects of the SOW/PWS. Offeror shallpropose staffing in accordance with the labor hours identified in Section B.  Offeror shall propose staffing in accordancewith Attachment J.2 – Personnel Qualifications.  
Offeror shall preface the names of contingent hires with “Contingent -”; for example, “Contingent – Jane Doe.”  Offerorshall preface the names of key personnel with “Key –“; for example, “Key – Jane Doe.”   Offeror shall use “TBD” fornon-key positions that do not have identified personnel.  “TBD” may also be used for labor hours associated with surgeor special study CLINs/SLINs, if such CLINs/SLINs are included in Section B.
Offeror shall provide a mapping of any company-specific labor categories it, or its subcontractors, proposes in thestaffing plan to the corresponding Government Standard eCRAFT Labor Categories.  Unless specified already by theGovernment, Offeror shall propose Standard eCRAFT Labor Categories based on the descriptions listed at:http://www.navsea.navy.mil/Home/Warfare-Centers/NUWC-Newport/Partnerships/Commercial-Contracts/Labor-Categories/. For labor categories that provide for various levels (I, II, III, IV), Offeror shall select the level that bestmatches the proposed individual and company-specific labor category.  For Service Contract Act (SCA) labor categories(if applicable), Offerors may propose an SCA labor category listed in the SCA Directory of Occupations at:http://www.dol.gov/whd/govcontracts/sca.htm. 
Offeror shall propose a staffing plan in the technical volume that fully aligns with the staffing included in the costproposal. Discrepancies between the proposed staffing identified in the technical and cost proposal may result in anidentification of risk, a lowering of the adjectival rating in the technical proposal, and/or an upward adjustment to theproposed cost.
Key Personnel.  Offeror shall provide one resume for each individual proposed to fulfill the positions identified as keypersonnel in accordance with Attachment J.2 – Personnel Qualifications.  All key personnel positions shall identify acurrent employee or contingent hire to fulfil the role.  Each resume shall demonstrate the key personnel’ s qualificationsto complete the tasking for which person has been proposed to perform. 
Offeror shall submit a current “letter of intent” (with salary information redacted) with all resumes supplied forcontingent key personnel hires.  The letter of intent does not count against page limitations and must be signed by thecontingent hire employee and the Offeror.   
Key personnel resumes shall include the following information:
§  Name
§  Key personnel position
§  Security clearance level
§  Citizenship
§  Summary indicating how personnel qualifications are met (e.g., years of relevant experience)
§  Chronology of education, training, and degrees/certifications held
§  Chronology of work experience with emphasis on PWS related experience
Key personnel are deemed essential to the performance of this effort and cannot be replaced without prior Governmentapproval in accordance with C-237-H002 SUBSTITUTION OF KEY PERSONNEL (OCT 2018).  The qualificationslisted in each individual proposed key personnel resume, not the specific individual, are the materially relevant aspectsof the proposed key personnel partially forming the basis of award.  Therefore, even if a proposed key personnelbecomes unavailable to the Offeror between proposal submission and award, the Government will evaluate and make itsaward decision based on the qualifications listed on the proposed resume(s).  When the Government awards a task orderunder those circumstances, the Government will require the awardee to use the qualifications listed on the relevantproposed key personnel resume as the basis for replacing the individual under C-237-H002 SUBSTITUTION OF KEYPERSONNEL (OCT 2018) during task order performance.  The Offeror shall make no substitution of key personnel</t>
        </is>
      </c>
      <c r="D274" s="15" t="inlineStr">
        <is>
          <t>L_COMPLIANCE</t>
        </is>
      </c>
      <c r="E274" s="15" t="inlineStr">
        <is>
          <t>L</t>
        </is>
      </c>
      <c r="F274" s="15" t="inlineStr">
        <is>
          <t>Mandatory</t>
        </is>
      </c>
      <c r="G274" s="15" t="n">
        <v>96</v>
      </c>
      <c r="H274" s="15" t="inlineStr"/>
      <c r="I274" s="15" t="inlineStr">
        <is>
          <t>Section B, Attachment J, J.5, J.2</t>
        </is>
      </c>
    </row>
    <row r="275">
      <c r="A275" s="15" t="inlineStr">
        <is>
          <t>TW-L-0042</t>
        </is>
      </c>
      <c r="B275" s="15" t="inlineStr">
        <is>
          <t>L</t>
        </is>
      </c>
      <c r="C275" s="16" t="inlineStr">
        <is>
          <t>N0017826R30020003 - FINAL
Page 103 of 114
without prior notification to and concurrence of the Contracting Officer
3.2 VOLUME II - PAST PERFORMANCE (FACTOR 2)
Offeror shall provide all past performance information in accordance with Attachment J.6 – Past PerformanceReference.  Offeror shall provide three past performance references, if available, which shall reflect recent experienceperformed within the last Five years of the solicitation release date and that demonstrates experience relevant to thesolicitation’ s PWS/SOW.  In addition to these three past performance references, Offeror shall submit one additionalpast performance reference for each subcontractor proposed to perform more than 5% of the total labor hours, ifavailable.  Offeror shall describe how the past performance references are relevant including details about how it issimilar in scope and complexity to this solicitation’ s SOW/PWS.</t>
        </is>
      </c>
      <c r="D275" s="15" t="inlineStr">
        <is>
          <t>L_COMPLIANCE</t>
        </is>
      </c>
      <c r="E275" s="15" t="inlineStr">
        <is>
          <t>L</t>
        </is>
      </c>
      <c r="F275" s="15" t="inlineStr">
        <is>
          <t>Mandatory</t>
        </is>
      </c>
      <c r="G275" s="15" t="n">
        <v>96</v>
      </c>
      <c r="H275" s="15" t="inlineStr"/>
      <c r="I275" s="15" t="inlineStr">
        <is>
          <t>Attachment J, J.6</t>
        </is>
      </c>
    </row>
    <row r="276">
      <c r="A276" s="15" t="inlineStr">
        <is>
          <t>TW-L-0043</t>
        </is>
      </c>
      <c r="B276" s="15" t="inlineStr">
        <is>
          <t>L</t>
        </is>
      </c>
      <c r="C276" s="16" t="inlineStr">
        <is>
          <t>3.3 VOLUME III - COST PROPOSAL (FACTOR 3)
3.3.1 Section B Pricing
Offeror shall submit Section B pricing for each priced CLIN/SLIN through the SeaPort-NxG portal.  The Section Bpricing will take precedence should there be any discrepancies with any other pricing information submitted.  As such,the resulting task order award will be made to the successful Offeror using their proposed Section B pricing. 
3.3.2 Cost Proposal Spreadsheet
Offeror and their subcontractors shall each separately submit a cost proposal spreadsheet using the format set forthin J.4 - Cost Proposal Spreadsheet. The cost proposal spreadsheet shall provide a detailed breakout of every singlecost element proposed across each base and option year as applicable.  The cost proposal spreadsheet shall includecalculations in the cells showing all formulas used to calculate the values.  Do not enter hard data where formulas wereused to calculate the entered value. 
The Offeror’ s cost proposal spreadsheet shall be overarching, encompassing all proposed costs inclusive of sanitizedsubcontractor costs, and it shall fully align with and support the proposed Section B pricing.  Subcontractor’ sunsanitized cost proposal spreadsheets shall be submitted separately through the SeaPort-NxG portal in order to protecttheir proprietary information. Subcontractor cost proposals shall be received by the time and date specified for receipt ofproposals specified in this solicitation.     
Offeror shall provide a clear crosswalk of all company-specific labor categories to corresponding Government StandardeCRAFT Labor Categories.  Unless specified already by the Government, Offeror shall propose Standard eCRAFTLabor Categories based on the descriptions listed at: http://www.navsea.navy.mil/Home/Warfare-Centers/NUWC-Newport/Partnerships/Commercial-Contracts/Labor-Categories/. For labor categories that provide for various levels (I,II, III, IV), Offeror shall select the level that best matches the proposed individual and company-specific labor category. For Service Contract Act (SCA) labor categories (if applicable), Offerors may propose an SCA labor category listed inthe SCA Directory of Occupations at http://www.dol.gov/whd/govcontracts/sca.htm. 
3.3.3 Cost Proposal Narrative
Offeror shall provide a cost proposal narrative that fully substantiates the reasonableness and realism of the proposedcosts.  The cost proposal narrative shall fully align with and support the proposed Section B pricing.  The cost proposalnarrative shall fully corroborate every cost element that is proposed.  Providing insufficient information to substantiatethe reasonableness and realism of the proposed costs may result in the identification of a risk, an upward costadjustment, and/or in the offer no longer being considered eligible for award. 
Offeror shall propose realistic costs within its proposal.  Offeror bears the sole responsibility to demonstrate that itsproposed costs are realistic within its proposal.  Offeror is advised that proposing unrealistically lower costs withoutsubstantial justification will be an indication that the Offeror does not have a clear understanding of the requirements ordoes not have the requisite capability to support the effort.  Any inconsistency between promised performance in thetechnical proposal (e.g. V olume 1 – Technical) and the proposed cost must be explained in the proposal. Anyinconsistency, if unexplained, may raise a fundamental question of the Offeror’ s understanding of the nature and scopeof the work required and may adversely impact the evaluation of the Offeror’ s proposal.
The cost proposal narrative shall address:</t>
        </is>
      </c>
      <c r="D276" s="15" t="inlineStr">
        <is>
          <t>L_COMPLIANCE</t>
        </is>
      </c>
      <c r="E276" s="15" t="inlineStr">
        <is>
          <t>L</t>
        </is>
      </c>
      <c r="F276" s="15" t="inlineStr">
        <is>
          <t>Mandatory</t>
        </is>
      </c>
      <c r="G276" s="15" t="n">
        <v>96</v>
      </c>
      <c r="H276" s="15" t="inlineStr"/>
      <c r="I276" s="15" t="inlineStr">
        <is>
          <t>Section B, J.4</t>
        </is>
      </c>
    </row>
    <row r="277">
      <c r="A277" s="15" t="inlineStr">
        <is>
          <t>TW-L-0044</t>
        </is>
      </c>
      <c r="B277" s="15" t="inlineStr">
        <is>
          <t>L</t>
        </is>
      </c>
      <c r="C277" s="16" t="inlineStr">
        <is>
          <t>N0017826R30020003 - FINAL
Page 104 of 114
Subcontractors.  Offeror shall describe the contract type proposed for each subcontractor and rationale for why thechosen contract type is most appropriate.  In particular, Offeror shall demonstrate the suitability of any Time-and-Materials or fixed price contract types (e.g. FFP, FFP LOE, etc.) and describe how the Government will be billedthroughout the performance of this requirement.  Offeror shall demonstrate that their subcontractors have the necessarybusiness systems to perform the contract types being proposed.  Offeror shall conduct appropriate cost or price analysisto establish the reasonableness of the proposed subcontract prices and include the results of these analyses within its costproposal narrative, in accordance with FAR 15.404-3(b).  Offeror shall propose only those subcontractors that areregistered as team members in SeaPort-NxG.
All subcontractors shall submit cost proposal narratives in order to fully substantiate the reasonableness and realism oftheir proposed costs.  Subcontractors that are proposed on cost reimbursement basis shall provide the same level ofinformation as required from the Offeror to substantiate their own costs within their cost proposal narratives. Subcontractors that are proposed on a Time-and-Materials or fixed price basis (e.g. FFP, FFP LOE, etc.) are not requiredto provide the same level details as required under cost reimbursable proposals, but shall still provide an itemizedbreakout of pricing that is customary with the contract type proposed.  Subcontractor unsanitized cost proposalnarratives shall be submitted separately through the SeaPort-NxG portal in order to protect their proprietaryinformation.  Subcontractor cost proposals shall be received by the time and date specified for receipt of proposalsspecified in this solicitation. 
Labor hours.  Offerorshallpropose the labor hours exactly as specifiedinSectionB, and shall demonstrate overalladherence to the Section B labor hours.  The labor hours shall include both the Offeror and subcontractor labor hours, ifapplicable.
Direct labor rates.   Offeror and cost reimbursement subcontractors shall describe the basis of estimate for each directlabor rate proposed and provide substantiating information that fully corroborates each direct labor rate proposed.    
For each current employee named in the cost proposal spreadsheet, Offeror and cost reimbursement subcontractors shallprovide a screenshot that captures pertinent information from the employer's payroll system, incurred within the lastthree months preceding release of this solicitation.  Payroll screenshots shall not contain any personally identifiableinformation, such as, social security numbers, date and place of birth, etc.  Cost proposal narratives shall fully explainall pertinent data on a screenshot. The Government must be able to derive the individual’ s direct rate (both inclusive andexclusive of the impact of uncompensated overtime, if proposed) from the payroll screenshot.  Alternatively, Offerorand cost reimbursement subcontractors may provide payroll verification instead of payroll screenshots.  Payrollverification shall consist of a form containing the named personnel, proposed labor category, direct labor rate,certification status (per labor category as required), description of current position, and a signed certification by anauthorized representative of the company that the information contained in the form is correct and current within the lastthree months preceding release of this solicitation. This supporting direct labor rate information shall clearly map toindividual direct labor rates included within the cost proposal spreadsheet. 
For each contingent hire in the cost proposal spreadsheet, Offeror and cost reimbursement subcontractors shall clearlyindicate named contingent hires and shall provide a signed letter of intent that explicitly lists the agreed upon annualsalary for the named individual and the amount of uncompensated work required. The cost proposal narrative shall fullyexplain all pertinent data about the letter of intent. The Government must be able to derive the individual’ s direct rate(both inclusive and exclusive of the impact of uncompensated overtime, if proposed) from the letter of intentinformation.
For any position for which no candidate has been identified by name, Offeror and cost reimbursement subcontractorsshall provide payroll data for a comparable position and an analysis of how the proposed position is comparable tothe position corresponding to the payroll data supplied.  For any position where there is no similar position with apayroll screenshot, Offerors and cost reimbursement subcontractors shall provide other substantiating cost datato support the basis of estimate and an analysis of how the proposed position is comparable to the positioncorresponding to the payroll data supplied.
Surge and Special Studies.  Offeror shall propose surge and special studies CLINs/SLINs in accordance with Section Bif applicable. All surge and special studies CLINs/SLINs shall be proposed utilizing the composite rate for all non-surgeand special studies labor in the appropriate year. The following is an example of how to calculate the hourly surge andspecial studies rate and dollars:</t>
        </is>
      </c>
      <c r="D277" s="15" t="inlineStr">
        <is>
          <t>L_COMPLIANCE</t>
        </is>
      </c>
      <c r="E277" s="15" t="inlineStr">
        <is>
          <t>L</t>
        </is>
      </c>
      <c r="F277" s="15" t="inlineStr">
        <is>
          <t>Mandatory</t>
        </is>
      </c>
      <c r="G277" s="15" t="n">
        <v>96</v>
      </c>
      <c r="H277" s="15" t="inlineStr"/>
      <c r="I277" s="15" t="inlineStr">
        <is>
          <t>Section B, FAR 15.404-3</t>
        </is>
      </c>
    </row>
    <row r="278">
      <c r="A278" s="15" t="inlineStr">
        <is>
          <t>TW-L-0045</t>
        </is>
      </c>
      <c r="B278" s="15" t="inlineStr">
        <is>
          <t>L</t>
        </is>
      </c>
      <c r="C278" s="16" t="inlineStr">
        <is>
          <t>N0017826R30020003 - FINAL
Page 105 of 114
Base Year Surge Hourly Rate = Base Year Labor (excluding fee)/Base Year Hours
Base Year Surge Dollars = Base Year Surge Hourly Rate * Base Year Surge Hours
Base Year Fixed Fee = Base Year Surge Dollars * Proposed Fixed Fee Percentage
Uncompensated Overtime. Any uncompensated overtime proposed shall be in accordance with FAR 52.237-10,IDENTIFICATION OF UNCOMPENSATED OVERTIME.  For any Offeror and/or subcontractors that proposesuncompensated overtime, Offeror and/or subcontractor shall ensure compliance with the following.  Describe thecompany’ s uncompensated overtime policies and include a copy of its policy addressing uncompensated overtime. Describe the uncompensated overtime being proposed along with an explanation of how it will be used in performanceof this requirement and why it is necessary.  Describe how the adjusted hourly rate was derived while clearlydemonstrating the reasonableness and realism. Describe the company’ s historical levels of uncompensated overtimeincurred previously and provide substantiating historical data that corroborates the adjusted hourly rates proposed. 
Forward Pricing Rate Agreement (FPRA) or Forward Pricing Rate Recommendation (FPRR).  Offeror and costreimbursement subcontractors shall indicate whether an FPRA or FPRR has been established for their company and theextent it was used in establishing proposed costs.  If an FPRA/FPRR exists, a copy shall be provided within the costproposal narrative.    
Escalation.  The below table reflects minimum escalation rates.  Offeror may propose escalation that deviates from theseminimum escalation rates; however, the Government reserves the right to make upward cost realism adjustments usingthese minimum escalation rates, unless proposed escalation rates are fully supported by an approved FPRA. 
  BaseYear OptionYear 1OptionYear 2OptionYear 3OptionYear 4
MinimumEscalationRate
    2.98%     2.98%     2.98%     2.98%     2.98%
Indirect Rates.  Offeror and cost reimbursement subcontractors shall describe its proposed indirect rates, basis ofestimate, and calculation methodologies.  Offeror and cost reimbursement subcontractors shall provide the three mostrecent years of incurred actuals for each proposed indirect rate, any provisional billing rates available, also indicating thebeginning and end dates for each fiscal year. This history shall include the most recently completed fiscal year even ifthe rates are considered preliminary and have not been submitted to DCAA for audit. The Offeror shall note whether theactual rates have been audited by DCAA or any other independent organization; specifically state which indirect rateshave been finalized by DCAA/DCMA.  If proposed rates are below historical rates, the cost narrative shall include anexplanation along with supporting information to corroborate why the proposed indirect rates that are lower thanhistorical rates.  If a cap on any of the indirect rates is being proposed, the cost narrative shall identify each capped rateand shall propose legally binding verbiage, which can be included in the resultant task order award subject toGovernment acceptance. 
Maximum Pass-Through and Fee Rates.  Offeror shall ensure its proposal is in compliance with the “Maximum PassThrough Rate” and “Maximum Profit/Fee Rate” requirements contained within its basic IDIQ MAC.  Any proposed ratethat exceeds these maximum rate requirements may render the proposal unacceptable, and thus ineligible for award.  Feebecomes a fixed dollar amount at the time of task order award and is subject to the associated fee payment clauses inSection B.  Offeror’ s proposed fee rate shall represent the maximum fee rate applicable to its subcontractors under thiseffort.
The Government also strongly encourages the Offeror to eliminate “double pass-thru” costs by avoiding second tiersubcontractors/consultants during performance and, where this situation is unavoidable, limiting subcontractor pass-thrucosts to the lower of: (1) The Offeror’ s pass-thru rate under their IDIQ MAC, or (2) The subcontractor’ s pass-thru rateunder their IDIQ MAC, if applicable. 
Other Direct Costs (ODCs).  Offeror shall propose ODCs in accordance with below table.  The below table reflectsGovernment estimated ODCs, which include travel and incidental material costs only.  The estimated ODCs do not</t>
        </is>
      </c>
      <c r="D278" s="15" t="inlineStr">
        <is>
          <t>L_COMPLIANCE</t>
        </is>
      </c>
      <c r="E278" s="15" t="inlineStr">
        <is>
          <t>L</t>
        </is>
      </c>
      <c r="F278" s="15" t="inlineStr">
        <is>
          <t>Mandatory</t>
        </is>
      </c>
      <c r="G278" s="15" t="n">
        <v>96</v>
      </c>
      <c r="H278" s="15" t="inlineStr"/>
      <c r="I278" s="15" t="inlineStr">
        <is>
          <t>Section B, FAR 52.237-10</t>
        </is>
      </c>
    </row>
    <row r="279">
      <c r="A279" s="15" t="inlineStr">
        <is>
          <t>TW-L-0046</t>
        </is>
      </c>
      <c r="B279" s="15" t="inlineStr">
        <is>
          <t>L</t>
        </is>
      </c>
      <c r="C279" s="16" t="inlineStr">
        <is>
          <t>N0017826R30020003 - FINAL
Page 106 of 114
account for any company specific burdens such as material handling or G&amp;A. Offeror shall propose all applicableburdens in accordance with its disclosure statements.</t>
        </is>
      </c>
      <c r="D279" s="15" t="inlineStr">
        <is>
          <t>L_COMPLIANCE</t>
        </is>
      </c>
      <c r="E279" s="15" t="inlineStr">
        <is>
          <t>L</t>
        </is>
      </c>
      <c r="F279" s="15" t="inlineStr">
        <is>
          <t>Mandatory</t>
        </is>
      </c>
      <c r="G279" s="15" t="n">
        <v>96</v>
      </c>
      <c r="H279" s="15" t="inlineStr"/>
      <c r="I279" s="15" t="inlineStr"/>
    </row>
    <row r="280">
      <c r="A280" s="15" t="inlineStr">
        <is>
          <t>TW-L-0047</t>
        </is>
      </c>
      <c r="B280" s="15" t="inlineStr">
        <is>
          <t>L</t>
        </is>
      </c>
      <c r="C280" s="16" t="inlineStr">
        <is>
          <t>Base Year Option Year 1Option Year 2Option Year 3Option Year 4
ODCs $63,074.12 $63,554.12 $64,816.57 $64,543.11 $65,052.49 
In order for any additional expenses to be allowed as a direct charge under the resulting task order, it must be identifiedand described within the cost proposal narrative and be reflected in the Section B pricing. For example, the ODCestimates do not include facility related costs since these are typically treated as an indirect cost; however, if the Offerorproposes to direct charge facility costs, Offeror shall propose such cost separately from the ODC estimate, provide abasis of estimate, rationale for direct charging such cost, and explain how the direct cost will be properly allocated tothis requirement. ODCs are not subject to fee. Reimbursement for travel will be in accordance with the Joint TravelRegulation (JTR) and B-231-H001 TRA VEL COSTS (NA VSEA) (OCT 2018).
3.4 VOLUME IV - CONTRACT DOCUMENTATION
3.4.1. Cover Letter. 
Offeror and subcontractors shall provide a cover letter with the following information:
§  Solicitation number;
§  Company name, CAGE code, Unique Entity ID (UEI), address, e-mail address, and telephone number;
§  A statement confirming agreement with all terms, conditions, and provisions included in the solicitation and agreementto furnish any or all items upon which prices are offered at the price set opposite each item;
§  A statement that the proposal is valid through 365calendar days from the date specified for receipt of proposals;
§  Names, titles, telephone numbers, and e-mail addresses of persons authorized to negotiate on the Offeror's behalf withthe Government in connection with this solicitation;
§  DCAA and DCMA office POC, including branch location, contact name, telephone number and e-mail address;
§  Name, title, and signature of person authorized to sign the proposal. Proposals signed by an agent shall be accompaniedby evidence of that agent's authority, unless that evidence has been previously furnished to the issuing office. TheOfferor’ s signature on their proposal indicates the company will meet all requirements of the SOW/PWS, withoutexception; and
§  Identify all enclosures being transmitted as part of the Offeror's proposal.
§  If an Offeror believes no organizational conflict(s) of interest exists, an affirmative statement that no such conflict existsshall be included in the cover letter.
3.4.2 Solicitation Fill-ins. 
Offeror shall complete all solicitation fill-Ins using the latest amended solicitation version and provide a copy withinV olume IV .
3.4.3 Small Business Participation.
The North American Industry Classification (NAICS) code applicable to this solicitation is 541330.  Therefore,companies proposing as a subcontractor under this solicitation as a small business concern must have had an averageannual receipt over its five previous fiscal years that was less than $47,000,000.  Companies proposed as a smallbusiness concern shall meet this size standard as of the date of the proposal submission under this solicitation.
Offerors are advised that this solicitation is 100% set aside for small business.  Immediately after the specified closingdate and time, the Government will verify each Offeror’ s size status in SAM.gov to ensure that Offerors are certified as</t>
        </is>
      </c>
      <c r="D280" s="15" t="inlineStr">
        <is>
          <t>L_COMPLIANCE</t>
        </is>
      </c>
      <c r="E280" s="15" t="inlineStr">
        <is>
          <t>L</t>
        </is>
      </c>
      <c r="F280" s="15" t="inlineStr">
        <is>
          <t>Mandatory</t>
        </is>
      </c>
      <c r="G280" s="15" t="n">
        <v>96</v>
      </c>
      <c r="H280" s="15" t="inlineStr"/>
      <c r="I280" s="15" t="inlineStr">
        <is>
          <t>Section B</t>
        </is>
      </c>
    </row>
    <row r="281">
      <c r="A281" s="15" t="inlineStr">
        <is>
          <t>TW-L-0048</t>
        </is>
      </c>
      <c r="B281" s="15" t="inlineStr">
        <is>
          <t>L</t>
        </is>
      </c>
      <c r="C281" s="16" t="inlineStr">
        <is>
          <t>N0017826R30020003 - FINAL
Page 107 of 114
a small business.  Any Offeror that is not certified appropriately will be ineligible for award and, therefore, will not beevaluated.
In the event multiple similarly situated small businesses join in order to meet the requirement to perform more than 50%of the effort, Offerors are advised that there may be an inherent technical risk associated with no clear prime contractorin charge of ensuring successful performance.  Offerors should consider this risk in determining how many partners areneeded in order to comply with the greater than 50% requirement.  
3.4.4 Organizational Conflict of Interest (OCI) Mitigation Plan.
Offeror’ s OCI Mitigation Plan shall be provided in V olume IV .  In accordance with the “C.14 ORGANIZA TIONALCONFLICT OF INTEREST” clause within the SeaPort-NxG IDIQ MAC, Offeror shall identify any and all conflicts ofinterest or potential conflicts of interest related to this solicitation. Offerors shall follow the below described two-step processfor identifying known or potential OCI issues to the Government for this solicitation.
Step 1:  If it is believed that conflicts of interest are real, possible, or perceived, the contractor shall submit a letter withinfourteen (14) days of the release of the solicitation identifying those OCI issues and the strategy that the Offeror intends to usefor mitigation.  This letter will be for notification purposes only, for the Government to conduct any research, and nodetermination will be made by the Government at that time.  If no OCI issues are present or anticipated, no action is requiredof the Offeror within this window.
Step 2:  Offerors shall submit a statement in affirmation or negation whether they have an OCI conflict regarding thissolicitation.  If OCI issues are present or anticipated, Offerors shall provide details and submit an OCI mitigation plan and itscorporate policy for resolving as part of their proposal submission.  If it is believed that no conflicts of interest exist, then theOfferor shall clearly state this, in addition to providing their corporate policy for resolving OCIs.  Organizational charts and/orcorporate policy are authorized to be submitted in addition to the OCI Mitigation Plan and do not count toward any pagelimitation.
Award will only be made to an Offeror, including all subcontractors, that has no organizational conflict of interest as defined inFAR 9.5 or that the Government determines has provided a satisfactory mitigation plan in accordance with L-209-H009herein. Failure by an Offeror to disclose a potential OCI or to submit an OCI mitigation plan with its proposal may renderitself no longer being considered for award.
3.4.5 Pre-Award Survey (SF1408).</t>
        </is>
      </c>
      <c r="D281" s="15" t="inlineStr">
        <is>
          <t>L_COMPLIANCE</t>
        </is>
      </c>
      <c r="E281" s="15" t="inlineStr">
        <is>
          <t>L</t>
        </is>
      </c>
      <c r="F281" s="15" t="inlineStr">
        <is>
          <t>Mandatory</t>
        </is>
      </c>
      <c r="G281" s="15" t="n">
        <v>96</v>
      </c>
      <c r="H281" s="15" t="inlineStr"/>
      <c r="I281" s="15" t="inlineStr">
        <is>
          <t>FAR 9.5, C.14</t>
        </is>
      </c>
    </row>
    <row r="282">
      <c r="A282" s="15" t="inlineStr">
        <is>
          <t>TW-L-0049</t>
        </is>
      </c>
      <c r="B282" s="15" t="inlineStr">
        <is>
          <t>L</t>
        </is>
      </c>
      <c r="C282" s="16" t="inlineStr">
        <is>
          <t>Offeror and cost reimbursement subcontractors shall assert whether it has a DCAA approved accounting system andprovide the date it was approved.  If the Offeror or any cost reimbursement subcontractors do not have an approvedaccounting system, then an SF1408 Pre-Award Survey shall be completed. Offeror is solely responsible for verifyingthat subcontractors proposed on a cost reimbursement basis have either an approved accounting system or havesubmitted the SF1408 as part of the subcontractor’ s proposal. An SF1408 does not need to be submitted for companiesthat already have an approved accounting system.  A copy of the SF1408 is at https://www.gsa.gov/Forms/TrackForm/32838.
3.4.6 Security Requirements.</t>
        </is>
      </c>
      <c r="D282" s="15" t="inlineStr">
        <is>
          <t>L_COMPLIANCE</t>
        </is>
      </c>
      <c r="E282" s="15" t="inlineStr">
        <is>
          <t>L</t>
        </is>
      </c>
      <c r="F282" s="15" t="inlineStr">
        <is>
          <t>Mandatory</t>
        </is>
      </c>
      <c r="G282" s="15" t="n">
        <v>96</v>
      </c>
      <c r="H282" s="15" t="inlineStr"/>
      <c r="I282" s="15" t="inlineStr"/>
    </row>
    <row r="283">
      <c r="A283" s="15" t="inlineStr">
        <is>
          <t>TW-L-0050</t>
        </is>
      </c>
      <c r="B283" s="15" t="inlineStr">
        <is>
          <t>J.1</t>
        </is>
      </c>
      <c r="C283" s="16" t="inlineStr">
        <is>
          <t>Security requirements associated with this effort have been identified Attachment J.1 – DD254.  Offeror shalldemonstrate the ability to meet the facility clearance and safeguarding capability requirements identified in the attachedDD254. Describe the plan to implement the required security clearances and physical access requirements during thetransition period so that service is not interrupted.  If the Offeror does not currently possess the required facilityclearance, the Offeror shall demonstrate the steps it will take to be granted the facility clearance in accordance withDoDM 5220.32 (or latest guidance), including a detailed schedule for attaining the required facility clearance.
3.4.7 Government Furnished Property (GFP).</t>
        </is>
      </c>
      <c r="D283" s="15" t="inlineStr">
        <is>
          <t>L_COMPLIANCE</t>
        </is>
      </c>
      <c r="E283" s="15" t="inlineStr">
        <is>
          <t>L</t>
        </is>
      </c>
      <c r="F283" s="15" t="inlineStr">
        <is>
          <t>Mandatory</t>
        </is>
      </c>
      <c r="G283" s="15" t="n">
        <v>96</v>
      </c>
      <c r="H283" s="15" t="inlineStr"/>
      <c r="I283" s="15" t="inlineStr">
        <is>
          <t>Attachment J, J.1</t>
        </is>
      </c>
    </row>
    <row r="284">
      <c r="A284" s="15" t="inlineStr">
        <is>
          <t>TW-L-0051</t>
        </is>
      </c>
      <c r="B284" s="15" t="inlineStr">
        <is>
          <t>J.8</t>
        </is>
      </c>
      <c r="C284" s="16" t="inlineStr">
        <is>
          <t>GFP associated with this effort has been identified in Attachment J.8 - GFP List. Offeror shall describe its plan for</t>
        </is>
      </c>
      <c r="D284" s="15" t="inlineStr">
        <is>
          <t>L_COMPLIANCE</t>
        </is>
      </c>
      <c r="E284" s="15" t="inlineStr">
        <is>
          <t>L</t>
        </is>
      </c>
      <c r="F284" s="15" t="inlineStr">
        <is>
          <t>Mandatory</t>
        </is>
      </c>
      <c r="G284" s="15" t="n">
        <v>96</v>
      </c>
      <c r="H284" s="15" t="inlineStr"/>
      <c r="I284" s="15" t="inlineStr">
        <is>
          <t>Attachment J, J.8</t>
        </is>
      </c>
    </row>
    <row r="285">
      <c r="A285" s="15" t="inlineStr">
        <is>
          <t>TW-L-0052</t>
        </is>
      </c>
      <c r="B285" s="15" t="inlineStr">
        <is>
          <t>L</t>
        </is>
      </c>
      <c r="C285" s="16" t="inlineStr">
        <is>
          <t>N0017826R30020003 - FINAL
Page 108 of 114
managing this GFP in accordance with FAR 52.245-1 “Government Property” and DFARS 252.245-7005 “Managementand Reporting of Government Property”.  Alternatively, Offeror may provide proof that its Property ManagementSystem is currently approved by DCMA.  Offeror shall address L-245-H001 “A V AILABILITY OF GOVERNMENTPROPERTY” and L-245-H002 “INSTRUCTIONS REGARDING GOVERNMENT PROPERTY” requirements, ifapplicable.</t>
        </is>
      </c>
      <c r="D285" s="15" t="inlineStr">
        <is>
          <t>L_COMPLIANCE</t>
        </is>
      </c>
      <c r="E285" s="15" t="inlineStr">
        <is>
          <t>L</t>
        </is>
      </c>
      <c r="F285" s="15" t="inlineStr">
        <is>
          <t>Mandatory</t>
        </is>
      </c>
      <c r="G285" s="15" t="n">
        <v>96</v>
      </c>
      <c r="H285" s="15" t="inlineStr"/>
      <c r="I285" s="15" t="inlineStr">
        <is>
          <t>FAR 52.245-1, DFARS 252.245-7005</t>
        </is>
      </c>
    </row>
    <row r="286">
      <c r="A286" s="8" t="inlineStr">
        <is>
          <t>TW-M-0001</t>
        </is>
      </c>
      <c r="B286" s="8" t="inlineStr">
        <is>
          <t>M</t>
        </is>
      </c>
      <c r="C286" s="9" t="inlineStr">
        <is>
          <t>The proposal must comply in all material respects with the requirements of the law, regulation, and all requirements
set forth in this solicitation and in the SeaPort-NxG basic IDIQ MAC. A proposal that fails to meet any material
requirement will render the proposal ineligible for award and it will be excluded from further consideration.
The Government intends to evaluate proposals and award based upon initial offers; therefore, Offeror’ s initial
proposal should contain the best terms from a cost and technical standpoint. The Government reserves the right to
award a task order without discussions with respective Offerors. The Government may conduct discussions if
deemed in its best interest. The Government anticipates a single task order award resulting from this solicitation;
however, the Government reserves the right to award more than one or no task order depending on the quality of the
proposals received and the availability of funds.</t>
        </is>
      </c>
      <c r="D286" s="8" t="inlineStr">
        <is>
          <t>EVALUATION</t>
        </is>
      </c>
      <c r="E286" s="8" t="inlineStr">
        <is>
          <t>M</t>
        </is>
      </c>
      <c r="F286" s="8" t="inlineStr">
        <is>
          <t>Mandatory</t>
        </is>
      </c>
      <c r="G286" s="8" t="n">
        <v>112</v>
      </c>
      <c r="H286" s="8" t="inlineStr"/>
      <c r="I286" s="8" t="inlineStr"/>
    </row>
    <row r="287">
      <c r="A287" s="8" t="inlineStr">
        <is>
          <t>TW-M-0002</t>
        </is>
      </c>
      <c r="B287" s="8" t="inlineStr">
        <is>
          <t>M</t>
        </is>
      </c>
      <c r="C287" s="9" t="inlineStr">
        <is>
          <t>The following terms and definitions will be used for proposal evaluations:
Deficiency is a material failure of a proposal to meet a Government requirement or a combination of significant
weaknesses in a proposal that increases the risk of unsuccessful contract performance to an unacceptable level.
Risk, as it pertains to source selection, is the potential for unsuccessful contract performance. The consideration of
risk assesses the degree to which an Offeror’ s proposed approach to achieving the technical factor or subfactor may
involve risk of disruption of schedule, increased cost or degradation of performance, the need for increased
Government oversight, and the likelihood of unsuccessful contract performance.
Strength is an aspect of an Offeror's proposal with merit or will exceed specified performance or capability
requirements to the advantage of the Government during contract performance.
Weakn ess means a flaw in the proposal that increases the risk of unsuccessful contract performance.
Significant Strength is an aspect of the Offeror’ s proposal with appreciable merit or will exceed specified
performance or capability requirements to the considerable advantage of the Government during contract</t>
        </is>
      </c>
      <c r="D287" s="8" t="inlineStr">
        <is>
          <t>EVALUATION</t>
        </is>
      </c>
      <c r="E287" s="8" t="inlineStr">
        <is>
          <t>M</t>
        </is>
      </c>
      <c r="F287" s="8" t="inlineStr">
        <is>
          <t>Mandatory</t>
        </is>
      </c>
      <c r="G287" s="8" t="n">
        <v>112</v>
      </c>
      <c r="H287" s="8" t="inlineStr"/>
      <c r="I287" s="8" t="inlineStr"/>
    </row>
    <row r="288">
      <c r="A288" s="8" t="inlineStr">
        <is>
          <t>TW-M-0003</t>
        </is>
      </c>
      <c r="B288" s="8" t="inlineStr">
        <is>
          <t>M</t>
        </is>
      </c>
      <c r="C288" s="9" t="inlineStr">
        <is>
          <t>Significant Weakness in the proposal is a flaw that appreciably increases the risk of unsuccessful contract</t>
        </is>
      </c>
      <c r="D288" s="8" t="inlineStr">
        <is>
          <t>EVALUATION</t>
        </is>
      </c>
      <c r="E288" s="8" t="inlineStr">
        <is>
          <t>M</t>
        </is>
      </c>
      <c r="F288" s="8" t="inlineStr">
        <is>
          <t>Mandatory</t>
        </is>
      </c>
      <c r="G288" s="8" t="n">
        <v>112</v>
      </c>
      <c r="H288" s="8" t="inlineStr"/>
      <c r="I288" s="8" t="inlineStr"/>
    </row>
    <row r="289">
      <c r="A289" s="8" t="inlineStr">
        <is>
          <t>TW-M-0004</t>
        </is>
      </c>
      <c r="B289" s="8" t="inlineStr">
        <is>
          <t>M</t>
        </is>
      </c>
      <c r="C289" s="9" t="inlineStr">
        <is>
          <t>N0017826R30020003 - FINAL
Page 110 of 114
performance.</t>
        </is>
      </c>
      <c r="D289" s="8" t="inlineStr">
        <is>
          <t>EVALUATION</t>
        </is>
      </c>
      <c r="E289" s="8" t="inlineStr">
        <is>
          <t>M</t>
        </is>
      </c>
      <c r="F289" s="8" t="inlineStr">
        <is>
          <t>Informational</t>
        </is>
      </c>
      <c r="G289" s="8" t="n">
        <v>112</v>
      </c>
      <c r="H289" s="8" t="inlineStr"/>
      <c r="I289" s="8" t="inlineStr"/>
    </row>
    <row r="290">
      <c r="A290" s="8" t="inlineStr">
        <is>
          <t>TW-M-0005</t>
        </is>
      </c>
      <c r="B290" s="8" t="inlineStr">
        <is>
          <t>M</t>
        </is>
      </c>
      <c r="C290" s="9" t="inlineStr">
        <is>
          <t>2.0 BASIS FOR AWARD
The award decision will be determined based on the Government’ s evaluation of each Offeror’ s proposal against the
evaluation factors identified within this solicitation. Award will be made to the responsible Offeror whose proposal
demonstrates the best value to the Government based on the evaluation factors. Best value means the expected
outcome of an acquisition that, in the Government’ s estimation, provides the greatest overall benefit in response to
the requirement.  A tradeoff analysis may be used when it is in the best interest of the Government to consider award
to other than the lowest total evaluated cost Offeror or other than the highest technically rated Offeror. The
comparison will trade off differences in technical capability based on the non-cost factors and total evaluated cost. If
one Offeror has both the better technical capability and the lower total evaluated cost, then that Offeror will be the
better value. If one Offeror has the better technical capability and a higher total evaluated cost, the Government will
decide whether the difference in technical capability is worth the difference in price. If it is determined that the
difference in technical capability is worth the difference in price, then the more capable, higher-priced Offeror will
be the better value. If not, then the less capable, lower-priced Offeror will be the better value.  In order to be eligible
for award, a proposal shall, at a minimum, meet the requirements of the Solicitation and demonstrate an adequate
approach and understanding of the requirements. Accordingly, an offeror must receive an adjectival rating of
“Acceptable” or higher under Factor 1 in order to be eligible for award.
3.0 RELATIVE IMPORTANCE OF EV ALUATION FACTORS
The Government will evaluate each Offeror's proposal in accordance with the evaluation factors to determine the
best value proposal. The evaluation factors represent key areas of importance to be considered in the source selection</t>
        </is>
      </c>
      <c r="D290" s="8" t="inlineStr">
        <is>
          <t>EVALUATION</t>
        </is>
      </c>
      <c r="E290" s="8" t="inlineStr">
        <is>
          <t>M</t>
        </is>
      </c>
      <c r="F290" s="8" t="inlineStr">
        <is>
          <t>Mandatory</t>
        </is>
      </c>
      <c r="G290" s="8" t="n">
        <v>112</v>
      </c>
      <c r="H290" s="8" t="inlineStr"/>
      <c r="I290" s="8" t="inlineStr"/>
    </row>
    <row r="291">
      <c r="A291" s="8" t="inlineStr">
        <is>
          <t>TW-M-0006</t>
        </is>
      </c>
      <c r="B291" s="8" t="inlineStr">
        <is>
          <t>M</t>
        </is>
      </c>
      <c r="C291" s="9" t="inlineStr">
        <is>
          <t>The factors and associated elements have been chosen to support meaningful discrimination between
competing proposals.
Factor Elements</t>
        </is>
      </c>
      <c r="D291" s="8" t="inlineStr">
        <is>
          <t>EVALUATION</t>
        </is>
      </c>
      <c r="E291" s="8" t="inlineStr">
        <is>
          <t>M</t>
        </is>
      </c>
      <c r="F291" s="8" t="inlineStr">
        <is>
          <t>Informational</t>
        </is>
      </c>
      <c r="G291" s="8" t="n">
        <v>112</v>
      </c>
      <c r="H291" s="8" t="inlineStr"/>
      <c r="I291" s="8" t="inlineStr"/>
    </row>
    <row r="292">
      <c r="A292" s="8" t="inlineStr">
        <is>
          <t>TW-M-0007</t>
        </is>
      </c>
      <c r="B292" s="8" t="inlineStr">
        <is>
          <t>M</t>
        </is>
      </c>
      <c r="C292" s="9" t="inlineStr">
        <is>
          <t>Cost Proposal None
The relative importance of the evaluation factors is as follows.  Factor 1 is more important than Factor 2.  Factors 1
and 2, when combined, are significantly more important than Factor 3.
The degree of importance of Factor 3 will increase with the degree of equality of the proposals in relation to the
non-cost factors on which selection is to be based, or when the evaluated cost delta between Offerors is so significant</t>
        </is>
      </c>
      <c r="D292" s="8" t="inlineStr">
        <is>
          <t>EVALUATION</t>
        </is>
      </c>
      <c r="E292" s="8" t="inlineStr">
        <is>
          <t>M</t>
        </is>
      </c>
      <c r="F292" s="8" t="inlineStr">
        <is>
          <t>Mandatory</t>
        </is>
      </c>
      <c r="G292" s="8" t="n">
        <v>112</v>
      </c>
      <c r="H292" s="8" t="inlineStr"/>
      <c r="I292" s="8" t="inlineStr"/>
    </row>
    <row r="293">
      <c r="A293" s="8" t="inlineStr">
        <is>
          <t>TW-M-0008</t>
        </is>
      </c>
      <c r="B293" s="8" t="inlineStr">
        <is>
          <t>M</t>
        </is>
      </c>
      <c r="C293" s="9" t="inlineStr">
        <is>
          <t>N0017826R30020003 - FINAL
Page 111 of 114
as to diminish the value of the superiority of the non-cost factors.
4.0 DESCRIPTION OF EV ALUATION FACTORS
Factor 1: Technical (Volume I)
Element A - Technical Approach. The Government will evaluate the extent to which the proposal demonstrates
specific understanding, capability, and experience to successfully perform the requirements, and the soundness of the
proposed technical approach. 
Element B - Management Approach.  The Government will evaluate the extent to which the proposal demonstrates
an effective management organization with the capability, processes, and tools to successfully perform the
requirements and ensure the highest quality deliverables, communication, cost management, risk management, and
subcontractor management.  The Government will evaluate the extent to which the proposal demonstrates a thorough
and realistic approach for efficiently and effectively assuming responsibility over requirements while minimizing
risk of performance disruption. 
Element C – Personnel Approach.  The Government will evaluate the extent to which the staffing plan addresses the
labor hours identified in Section B and proposed personnel are able to perform all aspects of the SOW/PWS.  The
Government will evaluate the extent to which the proposal demonstrates a staffing plan and key personnel that are
qualified, experienced, and suitable for performing the requirements.
Adjectival Rating Description. The Government will assign an adjectival rating for Factor 1 in accordance with the
below adjectival rating table.  Elements will not be separately rated.
Adjectival Rating Description
Outstanding
Proposal demonstrates an exceptional approach and understanding of
the requirements and contains multiple strengths and/or at least one
significant strength, and risk of unsuccessful performance is low.
Good
Proposal indicates a thorough approach and understanding of the
requirements and contains at least one strength or significant
strength, and risk of unsuccessful performance is low to moderate.
Acceptable
Proposal meets requirements and indicates an adequate approach and
understanding of the requirements, and risk of unsuccessful
performance is no worse than moderate.
Marginal
Proposal has not demonstrated an adequate approach and
understanding of the requirements, and/or risk of unsuccessful
performance is high.
Unacceptable
Proposal does not meet requirements of the solicitation and, thus,
contains one or more deficiencies and is unawardable, and/or risk of
performance is unacceptably high.</t>
        </is>
      </c>
      <c r="D293" s="8" t="inlineStr">
        <is>
          <t>EVALUATION</t>
        </is>
      </c>
      <c r="E293" s="8" t="inlineStr">
        <is>
          <t>M</t>
        </is>
      </c>
      <c r="F293" s="8" t="inlineStr">
        <is>
          <t>Mandatory</t>
        </is>
      </c>
      <c r="G293" s="8" t="n">
        <v>112</v>
      </c>
      <c r="H293" s="8" t="inlineStr"/>
      <c r="I293" s="8" t="inlineStr">
        <is>
          <t>Section B</t>
        </is>
      </c>
    </row>
    <row r="294">
      <c r="A294" s="8" t="inlineStr">
        <is>
          <t>TW-M-0009</t>
        </is>
      </c>
      <c r="B294" s="8" t="inlineStr">
        <is>
          <t>M</t>
        </is>
      </c>
      <c r="C294" s="9" t="inlineStr">
        <is>
          <t>Factor 2: Past Performance (Volume II)
The Government will evaluate the past performance references for recency, relevancy and quality of performance.
 Recent performance includes efforts performed within the past five calendar years from solicitation release date.
 Relevant performance includes efforts that are of similar scope and complexity as identified in the PWS/SOW.  Past
performance references that reflect projects with a similar scope and complexity to efforts described in this
solicitation will be considered to have greater importance in the evaluation of this factor. The Government will
evaluate all past performance information collected and determine the quality of the Offeror’ s performance, general
trends, and usefulness of the information and incorporate these into the assignment of a performance confidence
assessment rating. 
The Government reserves its right to collect and use information from sources other than those identified in the
proposal to evaluate past performance.  This may include, but not limited to, Federal, State, and local Government
agencies, Contractor Performance Assessment Reporting System (CPARS), Better Business Bureaus, published
media and electronic databases, and/or personal knowledge. The Government may contact past or current customers
to collect additional information for use in evaluating past performance. The Government reserves the right to limit
or expand the number of references it decides to contact and to contact other references than those provided in the
proposal.The Government reserves the right to not perform a past performance evaluation on any Offeror that is
assigned an “Unacceptable” adjectival rating under Factor 1 - Technical.
Adjectival Rating Description. The Government will assign adjectival ratings for Factor 2 in accordance with the
following information.  For recency, each past performance reference will be assigned a rating of “Recent” or “Not
Recent” as determined by whether the effort was performed within the past five calendar years from solicitation
release date.  For relevancy, each past performance reference will be assigned a rating in accordance with the below</t>
        </is>
      </c>
      <c r="D294" s="8" t="inlineStr">
        <is>
          <t>EVALUATION</t>
        </is>
      </c>
      <c r="E294" s="8" t="inlineStr">
        <is>
          <t>M</t>
        </is>
      </c>
      <c r="F294" s="8" t="inlineStr">
        <is>
          <t>Mandatory</t>
        </is>
      </c>
      <c r="G294" s="8" t="n">
        <v>112</v>
      </c>
      <c r="H294" s="8" t="inlineStr"/>
      <c r="I294" s="8" t="inlineStr"/>
    </row>
    <row r="295">
      <c r="A295" s="8" t="inlineStr">
        <is>
          <t>TW-M-0010</t>
        </is>
      </c>
      <c r="B295" s="8" t="inlineStr">
        <is>
          <t>M</t>
        </is>
      </c>
      <c r="C295" s="9" t="inlineStr">
        <is>
          <t>Adjectival Ratings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
The third aspect of the past performance evaluation is to establish the overall quality of the Offeror’ s past</t>
        </is>
      </c>
      <c r="D295" s="8" t="inlineStr">
        <is>
          <t>EVALUATION</t>
        </is>
      </c>
      <c r="E295" s="8" t="inlineStr">
        <is>
          <t>M</t>
        </is>
      </c>
      <c r="F295" s="8" t="inlineStr">
        <is>
          <t>Mandatory</t>
        </is>
      </c>
      <c r="G295" s="8" t="n">
        <v>112</v>
      </c>
      <c r="H295" s="8" t="inlineStr"/>
      <c r="I295" s="8" t="inlineStr"/>
    </row>
    <row r="296">
      <c r="A296" s="8" t="inlineStr">
        <is>
          <t>TW-M-0011</t>
        </is>
      </c>
      <c r="B296" s="8" t="inlineStr">
        <is>
          <t>M</t>
        </is>
      </c>
      <c r="C296" s="9" t="inlineStr">
        <is>
          <t>The Government will review all past performance information collected and determine the quality of</t>
        </is>
      </c>
      <c r="D296" s="8" t="inlineStr">
        <is>
          <t>EVALUATION</t>
        </is>
      </c>
      <c r="E296" s="8" t="inlineStr">
        <is>
          <t>M</t>
        </is>
      </c>
      <c r="F296" s="8" t="inlineStr">
        <is>
          <t>Informational</t>
        </is>
      </c>
      <c r="G296" s="8" t="n">
        <v>112</v>
      </c>
      <c r="H296" s="8" t="inlineStr"/>
      <c r="I296" s="8" t="inlineStr"/>
    </row>
    <row r="297">
      <c r="A297" s="8" t="inlineStr">
        <is>
          <t>TW-M-0012</t>
        </is>
      </c>
      <c r="B297" s="8" t="inlineStr">
        <is>
          <t>M</t>
        </is>
      </c>
      <c r="C297" s="9" t="inlineStr">
        <is>
          <t>N0017826R30020003 - FINAL
Page 113 of 114
the Offeror’ s performance, general trends, and usefulness of the information and incorporate these into a
performance confidence assessment. A separate quality assessment rating will not be assigned; rather, an overall
performance confidence assessment rating will be assigned based on the Offeror’ s overall record of recency,
relevancy, and quality of performance.  With respect to relevancy, more relevant past performance will typically be a
stronger predictor of future success and have more influence on the past performance confidence assessment than
past performance of lesser relevance.  The Government will assign an overall performance confidence assessment
ratings in accordance with the below table. 
Adjectival Ratings Description
Substantial Confidence Based on the Offeror’ s recent/relevant performance record, the
Government has a high expectation that the Offeror will
successfully perform the required effort.
Satisfactory Confidence Based on the Offeror’ s recent/relevant performance record, the
Government has a reasonable expectation that the Offeror will
successfully perform the required effort.
Neutral Confidence No recent/relevant performance record is available or the
Offeror’ s performance record is so sparse that no meaningful
confidence assessment rating can be reasonably assigned. The
Offeror may not be evaluated favorably or unfavorably on the
factor of past performance.
Limited Confidence Based on the Offeror’ s recent/relevant performance record, the
Government has a low expectation that the Offeror will
successfully perform the required effort.
No Confidence Based on the Offeror’ s recent/relevant performance record, the
Government has no expectation that the Offeror will be able to
successfully perform the required effort.
While “Neutral Confidence” ratings will not be evaluated favorably or unfavorably, the Government may determine
that a “Substantial Confidence” or “Satisfactory Confidence” rating is worth more than a “Neutral Confidence” past
performance rating in a best value tradeoff. 
Factor 3: Cost Proposal (Volume III)
The Government will perform a cost realism analysis of the cost proposal. The Government will evaluate the
proposed cost elements to determine whether they are realistic for the work to be performed; reflect a clear
understanding of the requirements; and are consistent with the technical proposal (e.g. V olume 1 – Technical).  The
Government will determine the probable cost of performance by calculating the total evaluated cost for the entire
cost proposal.  The total evaluated cost is the sum of the realistic costs for all priced CLINs/SLINs inclusive of
options and proposed fees.  The total evaluated cost is determined by upwardly adjusting proposed costs to reflect
more realistic levels based on the cost realism substantiating data, unless otherwise stated in Section L.  The total
evaluated cost may differ from the proposed cost and will reflect the Government’ s best estimate of the cost of actual</t>
        </is>
      </c>
      <c r="D297" s="8" t="inlineStr">
        <is>
          <t>EVALUATION</t>
        </is>
      </c>
      <c r="E297" s="8" t="inlineStr">
        <is>
          <t>M</t>
        </is>
      </c>
      <c r="F297" s="8" t="inlineStr">
        <is>
          <t>Mandatory</t>
        </is>
      </c>
      <c r="G297" s="8" t="n">
        <v>112</v>
      </c>
      <c r="H297" s="8" t="inlineStr"/>
      <c r="I297" s="8" t="inlineStr">
        <is>
          <t>Section L</t>
        </is>
      </c>
    </row>
    <row r="298">
      <c r="A298" s="8" t="inlineStr">
        <is>
          <t>TW-M-0013</t>
        </is>
      </c>
      <c r="B298" s="8" t="inlineStr">
        <is>
          <t>M</t>
        </is>
      </c>
      <c r="C298" s="9" t="inlineStr">
        <is>
          <t>N0017826R30020003 - FINAL
Page 114 of 114
performance in contract execution.  The total evaluated cost will be used for purposes of evaluation to determine the
best value. 
The Government will evaluate whether the proposed costs are unrealistically low and the Government will make
upward adjustments to those proposed costs that it determines in its judgement to be unrealistically low.  The
Government may also assign risk, weaknesses, and/or deficiencies to proposals that contain unrealistically low costs,
unsupported costs, and/or costs inconsistent with the technical volume.  The Government will not evaluate whether
proposed cost elements are unrealistically high in a competitive environment since the fundamental purpose of a cost
realism analysis is to guard the Government against any unrealistic claims of cost savings. 
The Government reserves the right to use information other than the information provided in the cost proposal in
order to perform cost realism analysis and develop the total evaluated cost.  This may include, but not limited to,
information from DCMA or DCAA, independent government cost estimates, salary databases or websites, invoices,
aggregated cost data, historical data, etc. The Government also reserves the right to limit or expand its evaluation of
the cost proposal to include technical analysis, unbalanced pricing analysis, cost analysis, and/or price analysis using
the methods authorized under FAR 15.404-1. 
The Government reserves the right to limit cost realism analysis to only those Offerors that represent the most likely
candidates for award and not make any cost realism adjustments to those Offeror’ s cost proposals that are high cost
and have inferior adjectival ratings under Factor 1 - Technical.  The Government reserves the right to not perform a
cost realism analysis on any Offeror that is assigned an “Unacceptable” adjectival rating under Factor 1 - Technical. 
The Government reserves the right to not perform cost realism analysis on subcontractor proposals that reflect less
than 5%  of the total labor hours.  The Government will not perform cost realism analysis on subcontractor proposals
that are proposed on a Time-and-Materials or fixed priced basis (e.g. FFP, FFP LOE, etc.).   
5.0 CONTRACT DOCUMENTATION (VOLUME IV)  
The Government will evaluate the submitted contract documentation on a pass/fail basis to verify compliance with
all requirements.  If the Offeror has failed to meet any of the pass/fail requirements, the proposal is ineligible for
award and will be eliminated from further consideration.  The Government may waive minor oversights and
irregularities in the submitted contract documentation provided that they are considered immaterial in its judgment. 
The Government reserves the right to not evaluate other proposal volumes I-III (Factors 1-3) if Offeror has failed to
meet the requirements under V olume IV .</t>
        </is>
      </c>
      <c r="D298" s="8" t="inlineStr">
        <is>
          <t>EVALUATION</t>
        </is>
      </c>
      <c r="E298" s="8" t="inlineStr">
        <is>
          <t>M</t>
        </is>
      </c>
      <c r="F298" s="8" t="inlineStr">
        <is>
          <t>Mandatory</t>
        </is>
      </c>
      <c r="G298" s="8" t="n">
        <v>112</v>
      </c>
      <c r="H298" s="8" t="inlineStr"/>
      <c r="I298" s="8" t="inlineStr">
        <is>
          <t>FAR 15.404-1</t>
        </is>
      </c>
    </row>
    <row r="299">
      <c r="A299" s="8" t="inlineStr">
        <is>
          <t>TW-M-0014</t>
        </is>
      </c>
      <c r="B299" s="8" t="inlineStr">
        <is>
          <t>J.4</t>
        </is>
      </c>
      <c r="C299" s="9">
        <f>== Sheet: Cost Proposal Spreadsheet ===
SOLICITATION NO. N0017826R3002 - ATTACHMENT J.4 |  |  |  |  |  |  |  |  |  |  |  |  |  |  |  |  |  |  | 
COST PROPOSAL SPREADSHEEET |  |  |  |  |  |  |  |  |  |  |  |  |  |  |  |  |  |  | 
Prime Offeror Name: |  |  |  |  |  |  |  |  |  |  |  |  |  |  |  |  |  |  | 
Subcontractor Name (if applicable):  |  |  |  |  |  |  |  |  |  |  |  |  |  |  |  |  |  |  | 
DCAA Point of Contact Information:   |  |  |  |  |  |  |  |  |  |  |  |  |  |  |  |  |  |  | 
 |  |  | Total for All Years |  | Base Period |  |  | Option Year 1 |  |  | Option Year 2 |  |  | Option Year 3 |  |  | Option Year 4 |  | 
Cost Elements | Company Labor Category | eCRAFT Labor Category | Hours | Amount | Rate | Hours | Amount | Rate | Hours | Amount | Rate | Hours | Amount | Rate | Hours | Amount | Rate | Hours | Amount
Prime Contractor Labor Cost |  |  |  |  |  |  |  |  |  |  |  |  |  |  |  |  |  |  | 
Prime Contractor Direct Labor |  |  |  |  |  |  |  |  |  |  |  |  |  |  |  |  |  |  | 
Employee Name 1 |  |  |  |  |  |  |  |  |  |  |  |  |  |  |  |  |  |  | 
Employee Name 2 |  |  |  |  |  |  |  |  |  |  |  |  |  |  |  |  |  |  | 
Etc. |  |  |  |  |  |  |  |  |  |  |  |  |  |  |  |  |  |  | 
Total Direct Labor Cost |  |  |  |  |  |  |  |  |  |  |  |  |  |  |  |  |  |  | 
Prime Contractor Indirect Labor Cost |  |  |  |  |  |  |  |  |  |  |  |  |  |  |  |  |  |  | 
Overhead |  |  |  |  |  |  |  |  |  |  |  |  |  |  |  |  |  |  | 
Fringe Benefits |  |  |  |  |  |  |  |  |  |  |  |  |  |  |  |  |  |  | 
G&amp;A |  |  |  |  |  |  |  |  |  |  |  |  |  |  |  |  |  |  | 
Total Indirect Labor Cost |  |  |  |  |  |  |  |  |  |  |  |  |  |  |  |  |  |  | 
Total Direct and Indirect Labor cost |  |  |  |  |  |  |  |  |  |  |  |  |  |  |  |  |  |  | 
COM |  |  |  |  |  |  |  |  |  |  |  |  |  |  |  |  |  |  | 
Total Prime Contractor Labor Cost |  |  |  |  |  |  |  |  |  |  |  |  |  |  |  |  |  |  | 
Subcontractor Labor Cost |  |  |  |  |  |  |  |  |  |  |  |  |  |  |  |  |  |  | 
Subcontractor proposed cost and fee |  |  |  |  |  |  |  |  |  |  |  |  |  |  |  |  |  |  | 
Subcontractor 1 |  |  |  |  |  |  |  |  |  |  |  |  |  |  |  |  |  |  | 
Subcontractor 2 |  |  |  |  |  |  |  |  |  |  |  |  |  |  |  |  |  |  | 
Etc. |  |  |  |  |  |  |  |  |  |  |  |  |  |  |  |  |  |  | 
Total proposed subcontractor labor cost and fee |  |  |  |  |  |  |  |  |  |  |  |  |  |  |  |  |  |  | 
Prime contractor pass through (not including fee) |  |  |  |  |  |  |  |  |  |  |  |  |  |  |  |  |  |  | 
Handling |  |  |  |  |  |  |  |  |  |  |  |  |  |  |  |  |  |  | 
G&amp;A |  |  |  |  |  |  |  |  |  |  |  |  |  |  |  |  |  |  | 
Other (if any) |  |  |  |  |  |  |  |  |  |  |  |  |  |  |  |  |  |  | 
Total pass through (not including fee) |  |  |  |  |  |  |  |  |  |  |  |  |  |  |  |  |  |  | 
Total Subcontractor Cost including pass through |  |  |  |  |  |  |  |  |  |  |  |  |  |  |  |  |  |  | 
Total Labor Cost (Prime and Subcontractor Labor) |  |  |  |  |  |  |  |  |  |  |  |  |  |  |  |  |  |  | 
Fixed Fee |  |  |  |  |  |  |  |  |  |  |  |  |  |  |  |  |  |  | 
Prime Contractor Fee for Prime Contractor Labor  |  |  |  |  |  |  |  |  |  |  |  |  |  |  |  |  |  |  | 
Prime Contractor Fee for Subcontractor Labor * |  |  |  |  |  |  |  |  |  |  |  |  |  |  |  |  |  |  | 
Total Fee (for Prime and Subcontractor Labor) |  |  |  |  |  |  |  |  |  |  |  |  |  |  |  |  |  |  | 
Total Labor Cost Plus Fixed Fee (CPFF) |  |  |  |  |  |  |  |  |  |  |  |  |  |  |  |  |  |  | 
Other Direct Costs |  |  |  |  |  |  |  |  |  |  |  |  |  |  |  |  |  |  | 
Other Direct Costs (ODCs) |  |  |  |  |  |  |  |  |  |  |  |  |  |  |  |  |  |  | 
Any adders to ODCs such as G&amp;A (cost only - no fee) |  |  |  |  |  |  |  |  |  |  |  |  |  |  |  |  |  |  | 
Total ODCs |  |  |  |  |  |  |  |  |  |  |  |  |  |  |  |  |  |  | 
Total CPFF all CLINs (Labor and ODCs) |  |  |  |  |  |  |  |  |  |  |  |  |  |  |  |  |  |  | 
Pass Through Analysis - Total for All Years |  | Amount | Percent |  |  |  |  |  |  |  |  |  |  |  |  |  |  |  | 
Subcontractor proposed cost and fee |  |  |  |  |  |  |  |  |  |  |  |  |  |  |  |  |  |  | 
Pass Through Amount (not including fee) |  |  |  |  |  |  |  |  |  |  |  |  |  |  |  |  |  |  | 
Prime Contractor Fee for Subcontractor Labor * |  |  |  |  |  |  |  |  |  |  |  |  |  |  |  |  |  |  | 
Total Pass Through Amount (including fee) |  |  | #DIV/0! |  |  |  |  |  |  |  |  |  |  |  |  |  |  |  | 
Maximum Pass Through Allowed by SeaPort-e IDIQ Contract |  |  | 0.08 |  |  |  |  |  |  |  |  |  |  |  |  |  |  |  | 
Fee Analysis - Total for All Years |  | Amount | Percent |  |  |  |  |  |  |  |  |  |  |  |  |  |  |  | 
Prime Contractor Labor Cost |  |  |  |  |  |  |  |  |  |  |  |  |  |  |  |  |  |  | 
Fixed Fee for Labor Performed by Prime Contractor |  |  | #DIV/0! |  |  |  |  |  |  |  |  |  |  |  |  |  |  |  | 
Maximum Fixed Fee Allowed by SeaPort-e IDIQ Contract |  |  |  |  |  |  |  |  |  |  |  |  |  |  |  |  |  |  | 
*  When analyzing pass through costs, the Government will consider prime offeror fee on subcontractor price as an element of pass through as explained in the Section H Savings Clause of the MACs.  In Section B, however, prime offeror fee on subcontractor price is a fee element rather than a cost element.  Prime offeror fee on subcontractor price should be included in the fee column (rather than the cost column) of Section B.
 |  |  |  |  |  |  |  |  |  |  |  |  |  |  |  |  |  |  |</f>
        <v/>
      </c>
      <c r="D299" s="8" t="inlineStr">
        <is>
          <t>EVALUATION</t>
        </is>
      </c>
      <c r="E299" s="8" t="inlineStr">
        <is>
          <t>M</t>
        </is>
      </c>
      <c r="F299" s="8" t="inlineStr">
        <is>
          <t>Highly Desirable</t>
        </is>
      </c>
      <c r="G299" s="8" t="n">
        <v>112</v>
      </c>
      <c r="H299" s="8" t="inlineStr"/>
      <c r="I299" s="8" t="inlineStr">
        <is>
          <t>Section H, Section B, ATTACHMENT J, J.4</t>
        </is>
      </c>
    </row>
    <row r="300">
      <c r="A300" s="8" t="inlineStr">
        <is>
          <t>TW-M-0015</t>
        </is>
      </c>
      <c r="B300" s="8" t="inlineStr">
        <is>
          <t>J.5</t>
        </is>
      </c>
      <c r="C300" s="9">
        <f>== Sheet: Sheet1 ===
Solicitaion # N00178-26-R-3002  Attachment J.5 - Staffing Plan |  |  |  |  |  |  |  |  |  |  |  |  |  |  |  |  |  | 
Company Name |  |  |  |  |  |  |  |  |  |  |  |  |  |  |  |  |  | 
NAME | EMPLOYER | COMPANY LABOR CATEGORY | ECRAFT LABOR CATEGORY | PWS TASK AREA SUPPORTED | LOCATION | LABOR HOURS PROPOSED |  |  |  |  | % OF TOTALTIME DEDICATED TO CONTRACT | YEARS OF RELEVANT EXPERIENCE | HIGHEST EDUCATION DEGREE ATTAINED | DEGREE AREA | SECURITY CLEARANCE LEVEL | CITIZENSHIP | CERTIFICATIONS | NOTES
 |  |  |  |  |  | Base Year | Option Year 1 | Option Year 2 | Option Year 3 | Option Year 4 |  |  |  |  |  |  |  | 
Note:   |  |  |  |  |  |  |  |  |  |  |  |  |  |  |  |  |  |</f>
        <v/>
      </c>
      <c r="D300" s="8" t="inlineStr">
        <is>
          <t>EVALUATION</t>
        </is>
      </c>
      <c r="E300" s="8" t="inlineStr">
        <is>
          <t>M</t>
        </is>
      </c>
      <c r="F300" s="8" t="inlineStr">
        <is>
          <t>Informational</t>
        </is>
      </c>
      <c r="G300" s="8" t="n">
        <v>112</v>
      </c>
      <c r="H300" s="8" t="inlineStr"/>
      <c r="I300" s="8" t="inlineStr">
        <is>
          <t>Attachment J, J.5</t>
        </is>
      </c>
    </row>
    <row r="301">
      <c r="A301" s="8" t="inlineStr">
        <is>
          <t>TW-M-0016</t>
        </is>
      </c>
      <c r="B301" s="8" t="inlineStr">
        <is>
          <t>M</t>
        </is>
      </c>
      <c r="C301" s="9" t="inlineStr">
        <is>
          <t>Full Staffing Plan to be provided in the format above. |  |  |  |  |  |  |  |  |  |  |  |  |  |  |  |  |  |</t>
        </is>
      </c>
      <c r="D301" s="8" t="inlineStr">
        <is>
          <t>EVALUATION</t>
        </is>
      </c>
      <c r="E301" s="8" t="inlineStr">
        <is>
          <t>M</t>
        </is>
      </c>
      <c r="F301" s="8" t="inlineStr">
        <is>
          <t>Informational</t>
        </is>
      </c>
      <c r="G301" s="8" t="n">
        <v>112</v>
      </c>
      <c r="H301" s="8" t="inlineStr"/>
      <c r="I301" s="8" t="inlineStr"/>
    </row>
    <row r="302">
      <c r="A302" s="8" t="inlineStr">
        <is>
          <t>TW-M-0017</t>
        </is>
      </c>
      <c r="B302" s="8" t="inlineStr">
        <is>
          <t>M</t>
        </is>
      </c>
      <c r="C302" s="9" t="inlineStr">
        <is>
          <t>Information to be sorted first by “Task Area” and then by “Labor Category”.  |  |  |  |  |  |  |  |  |  |  |  |  |  |  |  |  |  |</t>
        </is>
      </c>
      <c r="D302" s="8" t="inlineStr">
        <is>
          <t>EVALUATION</t>
        </is>
      </c>
      <c r="E302" s="8" t="inlineStr">
        <is>
          <t>M</t>
        </is>
      </c>
      <c r="F302" s="8" t="inlineStr">
        <is>
          <t>Informational</t>
        </is>
      </c>
      <c r="G302" s="8" t="n">
        <v>112</v>
      </c>
      <c r="H302" s="8" t="inlineStr"/>
      <c r="I302" s="8" t="inlineStr"/>
    </row>
    <row r="303">
      <c r="A303" s="8" t="inlineStr">
        <is>
          <t>TW-M-0018</t>
        </is>
      </c>
      <c r="B303" s="8" t="inlineStr">
        <is>
          <t>M</t>
        </is>
      </c>
      <c r="C303" s="9" t="inlineStr">
        <is>
          <t>Offeror shall preface the names of contingent hires with “Contingent -”; for example, “Contingent – Jane Doe.”  |  |  |  |  |  |  |  |  |  |  |  |  |  |  |  |  |  | 
Offeror shall preface the names of key personnel with “Key –“; for example, “Key – Jane Doe.”   
Offeror shall use “TBD” for non-key positions that do not have identified personnel.  
“TBD” may also be used for labor hours associated with surge or special study CLINs/SLINs, if such CLINs/SLINs are included in Section B. 
 |  |  |  |  |  |  |  |  |  |  |  |  |  |  |  |  |  |</t>
        </is>
      </c>
      <c r="D303" s="8" t="inlineStr">
        <is>
          <t>EVALUATION</t>
        </is>
      </c>
      <c r="E303" s="8" t="inlineStr">
        <is>
          <t>M</t>
        </is>
      </c>
      <c r="F303" s="8" t="inlineStr">
        <is>
          <t>Mandatory</t>
        </is>
      </c>
      <c r="G303" s="8" t="n">
        <v>112</v>
      </c>
      <c r="H303" s="8" t="inlineStr"/>
      <c r="I303" s="8" t="inlineStr">
        <is>
          <t>Section B</t>
        </is>
      </c>
    </row>
    <row r="304">
      <c r="A304" s="11" t="inlineStr">
        <is>
          <t>TW-J-0011</t>
        </is>
      </c>
      <c r="B304" s="11" t="inlineStr">
        <is>
          <t>Attachments Bundle 1</t>
        </is>
      </c>
      <c r="C304" s="12" t="inlineStr">
        <is>
          <t>Six (6) years of professional experience in relation to implementation of business and technical requirements; analyzing; planning and development; application testing; and database management support. Qualified experience in Department of Defense Architecture Framework (DoDAF) and enterprise architecture tools such as IBM’s System Architect. This position is required to be designated as IAT III level with a T3.</t>
        </is>
      </c>
      <c r="D304" s="11" t="inlineStr">
        <is>
          <t>ATTACHMENT</t>
        </is>
      </c>
      <c r="E304" s="11" t="inlineStr">
        <is>
          <t>J</t>
        </is>
      </c>
      <c r="F304" s="11" t="inlineStr">
        <is>
          <t>Mandatory</t>
        </is>
      </c>
      <c r="G304" s="11" t="n">
        <v>1</v>
      </c>
      <c r="H304" s="11" t="inlineStr">
        <is>
          <t>Attachment+J.2+Personnel+Qualifications+(Dated+02272025)(8+Pages).docx</t>
        </is>
      </c>
      <c r="I304" s="11" t="inlineStr"/>
    </row>
    <row r="305">
      <c r="A305" s="11" t="inlineStr">
        <is>
          <t>TW-J-0016</t>
        </is>
      </c>
      <c r="B305" s="11" t="inlineStr">
        <is>
          <t>Attachments Bundle 1</t>
        </is>
      </c>
      <c r="C305" s="12" t="inlineStr">
        <is>
          <t>Two (2) years of professional experience in acquisition support with preparing procurement packages and/or artifacts for the procuring activities. Experience in conducting market research, acquiring vendor quotes, and preparing, submitting, monitoring IT Purchase Requests via Navy Information Technology Approval System (NAV-ITAS). This position is required to be designated as IAM II level with a T3.</t>
        </is>
      </c>
      <c r="D305" s="11" t="inlineStr">
        <is>
          <t>ATTACHMENT</t>
        </is>
      </c>
      <c r="E305" s="11" t="inlineStr">
        <is>
          <t>J</t>
        </is>
      </c>
      <c r="F305" s="11" t="inlineStr">
        <is>
          <t>Mandatory</t>
        </is>
      </c>
      <c r="G305" s="11" t="n">
        <v>1</v>
      </c>
      <c r="H305" s="11" t="inlineStr">
        <is>
          <t>Attachment+J.2+Personnel+Qualifications+(Dated+02272025)(8+Pages).docx</t>
        </is>
      </c>
      <c r="I305" s="11" t="inlineStr"/>
    </row>
    <row r="306">
      <c r="A306" s="11" t="inlineStr">
        <is>
          <t>TW-J-0021</t>
        </is>
      </c>
      <c r="B306" s="11" t="inlineStr">
        <is>
          <t>Attachments Bundle 1</t>
        </is>
      </c>
      <c r="C306" s="12" t="inlineStr">
        <is>
          <t>Four (4) years of professional experience in relation to using various programming languages to develop websites and network systems, maintaining databases, developing new user interfaces and designing and debugging website. Qualified experience in HTML, JavaScript, CSS and C++ programming language and experience in SharePoint. This position is required to be designated as IAT II level with a T3.</t>
        </is>
      </c>
      <c r="D306" s="11" t="inlineStr">
        <is>
          <t>ATTACHMENT</t>
        </is>
      </c>
      <c r="E306" s="11" t="inlineStr">
        <is>
          <t>J</t>
        </is>
      </c>
      <c r="F306" s="11" t="inlineStr">
        <is>
          <t>Mandatory</t>
        </is>
      </c>
      <c r="G306" s="11" t="n">
        <v>1</v>
      </c>
      <c r="H306" s="11" t="inlineStr">
        <is>
          <t>Attachment+J.2+Personnel+Qualifications+(Dated+02272025)(8+Pages).docx</t>
        </is>
      </c>
      <c r="I306" s="11" t="inlineStr"/>
    </row>
    <row r="307">
      <c r="A307" s="11" t="inlineStr">
        <is>
          <t>TW-J-0025</t>
        </is>
      </c>
      <c r="B307" s="11" t="inlineStr">
        <is>
          <t>Attachments Bundle 1</t>
        </is>
      </c>
      <c r="C307" s="12" t="inlineStr">
        <is>
          <t>Two (2) years of work-related experience in management support. Demonstrated technical understanding and ability to prepare complex and detailed technical documents and reports; OR, three (3) years of specialized experience in: financial planning, budgeting and execution of project funds for allocation purposes; integrated management schedule (IMS) development and tracking for planning and budgeting; coordination of task planning, schedule development and task execution for DoD and Navy programs and projects. Skill set requires demonstrating both a comprehensive knowledge of software applications and best business practices along with a high degree of skill in applying software functions necessary to prepare complex and detailed documents utilizing the Microsoft (MS) Office suite of products and providing management support. Experience in processing complex and lengthy technical reports that include tables, graphs, charts, or multiple columns, participating in Technical Progress and Design Reviews and program technical meetings, and providing status and inputs to technical reports, white papers and meetings. This position is required to be designated as IAT II level with a T3.</t>
        </is>
      </c>
      <c r="D307" s="11" t="inlineStr">
        <is>
          <t>ATTACHMENT</t>
        </is>
      </c>
      <c r="E307" s="11" t="inlineStr">
        <is>
          <t>J</t>
        </is>
      </c>
      <c r="F307" s="11" t="inlineStr">
        <is>
          <t>Mandatory</t>
        </is>
      </c>
      <c r="G307" s="11" t="n">
        <v>1</v>
      </c>
      <c r="H307" s="11" t="inlineStr">
        <is>
          <t>Attachment+J.2+Personnel+Qualifications+(Dated+02272025)(8+Pages).docx</t>
        </is>
      </c>
      <c r="I307" s="11" t="inlineStr"/>
    </row>
    <row r="308">
      <c r="A308" s="11" t="inlineStr">
        <is>
          <t>TW-J-0029</t>
        </is>
      </c>
      <c r="B308" s="11" t="inlineStr">
        <is>
          <t>Attachments Bundle 1</t>
        </is>
      </c>
      <c r="C308" s="12" t="inlineStr">
        <is>
          <t>Five (5) years of professional experience providing expertise for support of user requirements of complex to highly complex software/hardware applications, hunt methodologies, advanced actor campaigns and exploits and telemetry refinement related to Cyber. Participates in all phases of incident response or hunt methodology (kill chain, pyramid of pain, diamond model).  Provides expert level assistance to Digital Forensics and Incident Response and threat intelligence operations teams on advanced actor tactics, techniques and procedures (TTPs) related to Cyber. Keeps current on industry direction, trends, and future capabilities with respect to cyber threat analytics.  Provides expertise for support of user requirements of complex to highly complex software/hardware applications, hunt methodologies, advanced actor campaigns and exploits and telemetry refinement related to Cyber.  Provides assistance to Digital Forensics and Incident Response and threat intelligence operations teams on advanced actor TTPs related to Cyber. Keeps current on industry direction, trends, and future capabilities with respect to cyber threat analytics. This position is required to be designated as IAT II level with a T5.</t>
        </is>
      </c>
      <c r="D308" s="11" t="inlineStr">
        <is>
          <t>ATTACHMENT</t>
        </is>
      </c>
      <c r="E308" s="11" t="inlineStr">
        <is>
          <t>J</t>
        </is>
      </c>
      <c r="F308" s="11" t="inlineStr">
        <is>
          <t>Mandatory</t>
        </is>
      </c>
      <c r="G308" s="11" t="n">
        <v>1</v>
      </c>
      <c r="H308" s="11" t="inlineStr">
        <is>
          <t>Attachment+J.2+Personnel+Qualifications+(Dated+02272025)(8+Pages).docx</t>
        </is>
      </c>
      <c r="I308"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1-4</t>
        </is>
      </c>
      <c r="C9" t="inlineStr">
        <is>
          <t>0 subsections identified</t>
        </is>
      </c>
    </row>
    <row r="10">
      <c r="A10" t="inlineStr">
        <is>
          <t>Section K</t>
        </is>
      </c>
      <c r="B10" t="inlineStr">
        <is>
          <t>Pages 4-4</t>
        </is>
      </c>
      <c r="C10" t="inlineStr">
        <is>
          <t>0 subsections identified</t>
        </is>
      </c>
    </row>
    <row r="11">
      <c r="A11" t="inlineStr">
        <is>
          <t>Section J</t>
        </is>
      </c>
      <c r="B11" t="inlineStr">
        <is>
          <t>Pages 4-4</t>
        </is>
      </c>
      <c r="C11" t="inlineStr">
        <is>
          <t>0 subsections identified</t>
        </is>
      </c>
    </row>
    <row r="12">
      <c r="A12" t="inlineStr">
        <is>
          <t>Section I</t>
        </is>
      </c>
      <c r="B12" t="inlineStr">
        <is>
          <t>Pages 4-4</t>
        </is>
      </c>
      <c r="C12" t="inlineStr">
        <is>
          <t>0 subsections identified</t>
        </is>
      </c>
    </row>
    <row r="13">
      <c r="A13" t="inlineStr">
        <is>
          <t>Section B</t>
        </is>
      </c>
      <c r="B13" t="inlineStr">
        <is>
          <t>Pages 4-4</t>
        </is>
      </c>
      <c r="C13" t="inlineStr">
        <is>
          <t>0 subsections identified</t>
        </is>
      </c>
    </row>
    <row r="14">
      <c r="A14" t="inlineStr">
        <is>
          <t>Section D</t>
        </is>
      </c>
      <c r="B14" t="inlineStr">
        <is>
          <t>Pages 4-4</t>
        </is>
      </c>
      <c r="C14" t="inlineStr">
        <is>
          <t>0 subsections identified</t>
        </is>
      </c>
    </row>
    <row r="15">
      <c r="A15" t="inlineStr">
        <is>
          <t>Section E</t>
        </is>
      </c>
      <c r="B15" t="inlineStr">
        <is>
          <t>Pages 4-4</t>
        </is>
      </c>
      <c r="C15" t="inlineStr">
        <is>
          <t>0 subsections identified</t>
        </is>
      </c>
    </row>
    <row r="16">
      <c r="A16" t="inlineStr">
        <is>
          <t>Section F</t>
        </is>
      </c>
      <c r="B16" t="inlineStr">
        <is>
          <t>Pages 4-4</t>
        </is>
      </c>
      <c r="C16" t="inlineStr">
        <is>
          <t>0 subsections identified</t>
        </is>
      </c>
    </row>
    <row r="17">
      <c r="A17" t="inlineStr">
        <is>
          <t>Section G</t>
        </is>
      </c>
      <c r="B17" t="inlineStr">
        <is>
          <t>Pages 4-4</t>
        </is>
      </c>
      <c r="C17" t="inlineStr">
        <is>
          <t>0 subsections identified</t>
        </is>
      </c>
    </row>
    <row r="18">
      <c r="A18" t="inlineStr">
        <is>
          <t>Section H</t>
        </is>
      </c>
      <c r="B18" t="inlineStr">
        <is>
          <t>Pages 4-9</t>
        </is>
      </c>
      <c r="C18" t="inlineStr">
        <is>
          <t>0 subsections identified</t>
        </is>
      </c>
    </row>
    <row r="19">
      <c r="A19" t="inlineStr">
        <is>
          <t>Section C</t>
        </is>
      </c>
      <c r="B19" t="inlineStr">
        <is>
          <t>Pages 9-96</t>
        </is>
      </c>
      <c r="C19" t="inlineStr">
        <is>
          <t>7 subsections identified</t>
        </is>
      </c>
    </row>
    <row r="20">
      <c r="A20" t="inlineStr">
        <is>
          <t>Section L</t>
        </is>
      </c>
      <c r="B20" t="inlineStr">
        <is>
          <t>Pages 96-112</t>
        </is>
      </c>
      <c r="C20" t="inlineStr">
        <is>
          <t>0 subsections identified</t>
        </is>
      </c>
    </row>
    <row r="21">
      <c r="A21" t="inlineStr">
        <is>
          <t>Section M</t>
        </is>
      </c>
      <c r="B21" t="inlineStr">
        <is>
          <t>Pages 112-1</t>
        </is>
      </c>
      <c r="C21" t="inlineStr">
        <is>
          <t>0 subsections identified</t>
        </is>
      </c>
    </row>
    <row r="23">
      <c r="A23" t="inlineStr">
        <is>
          <t>SOW Location</t>
        </is>
      </c>
      <c r="B23" t="inlineStr">
        <is>
          <t>SECTION_C</t>
        </is>
      </c>
    </row>
    <row r="25">
      <c r="A25" s="2" t="inlineStr">
        <is>
          <t>ATTACHMENTS</t>
        </is>
      </c>
    </row>
    <row r="26">
      <c r="A26" t="inlineStr">
        <is>
          <t>Attachment J</t>
        </is>
      </c>
      <c r="B26" t="inlineStr">
        <is>
          <t>General</t>
        </is>
      </c>
      <c r="C26" t="inlineStr">
        <is>
          <t>1 pages</t>
        </is>
      </c>
      <c r="D26" t="inlineStr">
        <is>
          <t>Contains requirements</t>
        </is>
      </c>
    </row>
    <row r="27">
      <c r="A27" t="inlineStr">
        <is>
          <t>Attachments Bundle 1</t>
        </is>
      </c>
      <c r="B27" t="inlineStr">
        <is>
          <t>Personnel</t>
        </is>
      </c>
      <c r="C27" t="inlineStr">
        <is>
          <t>7 pages</t>
        </is>
      </c>
      <c r="D27"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2025-12-03T00:13:50Z</dcterms:created>
  <dcterms:modified xmlns:dcterms="http://purl.org/dc/terms/" xmlns:xsi="http://www.w3.org/2001/XMLSchema-instance" xsi:type="dcterms:W3CDTF">2025-12-03T00:13:50Z</dcterms:modified>
</cp:coreProperties>
</file>